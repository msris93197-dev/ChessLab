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Tasks" sheetId="3" state="visible" r:id="rId3"/>
    <sheet name="Lessons" sheetId="4" state="visible" r:id="rId4"/>
    <sheet name="Lesson Notes" sheetId="5" state="visible" r:id="rId5"/>
    <sheet name="Code Index" sheetId="6" state="visible" r:id="rId6"/>
    <sheet name="Code" sheetId="7" state="visible" r:id="rId7"/>
    <sheet name="API Reference" sheetId="8" state="visible" r:id="rId8"/>
    <sheet name="Config &amp; Env" sheetId="9" state="visible" r:id="rId9"/>
    <sheet name="Checklists" sheetId="10" state="visible" r:id="rId10"/>
    <sheet name="Troubleshooting" sheetId="11" state="visible" r:id="rId11"/>
    <sheet name="Glossary" sheetId="12" state="visible" r:id="rId12"/>
    <sheet name="Resources" sheetId="13" state="visible" r:id="rId13"/>
    <sheet name="Interview Prep" sheetId="14" state="visible" r:id="rId14"/>
    <sheet name="Decisions" sheetId="15" state="visible" r:id="rId15"/>
  </sheets>
  <definedNames>
    <definedName name="_xlnm._FilterDatabase" localSheetId="2" hidden="1">'Tasks'!$A$1:$O$202</definedName>
    <definedName name="_xlnm._FilterDatabase" localSheetId="3" hidden="1">'Lessons'!$A$1:$H$60</definedName>
    <definedName name="_xlnm._FilterDatabase" localSheetId="5" hidden="1">'Code Index'!$A$1:$F$94</definedName>
    <definedName name="_xlnm._FilterDatabase" localSheetId="9" hidden="1">'Checklists'!$A$1:$E$41</definedName>
    <definedName name="_xlnm._FilterDatabase" localSheetId="10" hidden="1">'Troubleshooting'!$A$1:$D$50</definedName>
    <definedName name="_xlnm._FilterDatabase" localSheetId="11" hidden="1">'Glossary'!$A$1:$C$118</definedName>
    <definedName name="_xlnm._FilterDatabase" localSheetId="12" hidden="1">'Resources'!$A$1:$D$182</definedName>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20">
    <font>
      <name val="Calibri"/>
      <family val="2"/>
      <color theme="1"/>
      <sz val="11"/>
      <scheme val="minor"/>
    </font>
    <font>
      <name val="Arial"/>
      <b val="1"/>
      <color rgb="001F3864"/>
      <sz val="10"/>
    </font>
    <font>
      <name val="Arial"/>
      <b val="1"/>
      <color rgb="00FFFFFF"/>
      <sz val="10"/>
    </font>
    <font>
      <name val="Arial"/>
      <color rgb="000563C1"/>
      <sz val="10"/>
      <u val="single"/>
    </font>
    <font>
      <name val="Consolas"/>
      <color rgb="00808080"/>
      <sz val="8"/>
    </font>
    <font>
      <name val="Consolas"/>
      <sz val="9"/>
    </font>
    <font>
      <name val="Arial"/>
      <color rgb="00000000"/>
      <sz val="10"/>
    </font>
    <font>
      <name val="Arial"/>
      <b val="1"/>
      <color rgb="00FFFFFF"/>
      <sz val="11"/>
    </font>
    <font>
      <name val="Arial"/>
      <color rgb="000000FF"/>
      <sz val="10"/>
    </font>
    <font>
      <name val="Arial"/>
      <b val="1"/>
      <color rgb="00000000"/>
      <sz val="10"/>
    </font>
    <font>
      <name val="Arial"/>
      <b val="1"/>
      <color rgb="001F3864"/>
      <sz val="11"/>
    </font>
    <font>
      <name val="Arial"/>
      <b val="1"/>
      <color rgb="001F3864"/>
      <sz val="16"/>
    </font>
    <font>
      <name val="Arial"/>
      <i val="1"/>
      <color rgb="00000000"/>
      <sz val="10"/>
    </font>
    <font>
      <name val="Arial"/>
      <b val="1"/>
      <color rgb="000000FF"/>
      <sz val="10"/>
    </font>
    <font>
      <name val="Arial"/>
      <i val="1"/>
      <color rgb="00000000"/>
      <sz val="9"/>
    </font>
    <font>
      <name val="Arial"/>
      <b val="1"/>
      <color rgb="001F3864"/>
      <sz val="18"/>
    </font>
    <font>
      <name val="Arial"/>
      <i val="1"/>
      <color rgb="00000000"/>
      <sz val="11"/>
    </font>
    <font>
      <name val="Arial"/>
      <b val="1"/>
      <color rgb="00FFFFFF"/>
      <sz val="12"/>
    </font>
    <font>
      <name val="Arial"/>
      <color rgb="001F3864"/>
      <sz val="10"/>
    </font>
    <font>
      <name val="Arial"/>
      <b val="1"/>
      <color rgb="00C00000"/>
      <sz val="10"/>
    </font>
  </fonts>
  <fills count="11">
    <fill>
      <patternFill/>
    </fill>
    <fill>
      <patternFill patternType="gray125"/>
    </fill>
    <fill>
      <patternFill patternType="solid">
        <fgColor rgb="002F5597"/>
        <bgColor rgb="002F5597"/>
      </patternFill>
    </fill>
    <fill>
      <patternFill patternType="solid">
        <fgColor rgb="001F3864"/>
        <bgColor rgb="001F3864"/>
      </patternFill>
    </fill>
    <fill>
      <patternFill patternType="solid">
        <fgColor rgb="00DCE6F2"/>
        <bgColor rgb="00DCE6F2"/>
      </patternFill>
    </fill>
    <fill>
      <patternFill patternType="solid">
        <fgColor rgb="00F2F2F2"/>
        <bgColor rgb="00F2F2F2"/>
      </patternFill>
    </fill>
    <fill>
      <patternFill patternType="solid">
        <fgColor rgb="00FFF2CC"/>
        <bgColor rgb="00FFF2CC"/>
      </patternFill>
    </fill>
    <fill>
      <patternFill patternType="solid">
        <fgColor rgb="00D9E2F3"/>
        <bgColor rgb="00D9E2F3"/>
      </patternFill>
    </fill>
    <fill>
      <patternFill patternType="solid">
        <fgColor rgb="00E2EFDA"/>
        <bgColor rgb="00E2EFDA"/>
      </patternFill>
    </fill>
    <fill>
      <patternFill patternType="solid">
        <fgColor rgb="00DDEBF7"/>
        <bgColor rgb="00DDEBF7"/>
      </patternFill>
    </fill>
    <fill>
      <patternFill patternType="solid">
        <fgColor rgb="00EDEDED"/>
        <bgColor rgb="00EDEDE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6">
    <xf numFmtId="0" fontId="0" fillId="0" borderId="0" pivotButton="0" quotePrefix="0" xfId="0"/>
    <xf numFmtId="0" fontId="15" fillId="0" borderId="0" pivotButton="0" quotePrefix="0" xfId="0"/>
    <xf numFmtId="0" fontId="16" fillId="0" borderId="0" pivotButton="0" quotePrefix="0" xfId="0"/>
    <xf numFmtId="0" fontId="17" fillId="3" borderId="0" pivotButton="0" quotePrefix="0" xfId="0"/>
    <xf numFmtId="0" fontId="0" fillId="3"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1" fillId="6" borderId="0" applyAlignment="1" pivotButton="0" quotePrefix="0" xfId="0">
      <alignment vertical="top" wrapText="1"/>
    </xf>
    <xf numFmtId="0" fontId="6" fillId="6" borderId="0" applyAlignment="1" pivotButton="0" quotePrefix="0" xfId="0">
      <alignment vertical="top" wrapText="1"/>
    </xf>
    <xf numFmtId="0" fontId="6" fillId="0" borderId="0" applyAlignment="1" pivotButton="0" quotePrefix="0" xfId="0">
      <alignment vertical="top" wrapText="1"/>
    </xf>
    <xf numFmtId="0" fontId="18" fillId="0" borderId="0" applyAlignment="1" pivotButton="0" quotePrefix="0" xfId="0">
      <alignment vertical="top" wrapText="1"/>
    </xf>
    <xf numFmtId="0" fontId="11" fillId="0" borderId="0" pivotButton="0" quotePrefix="0" xfId="0"/>
    <xf numFmtId="0" fontId="12" fillId="0" borderId="0" pivotButton="0" quotePrefix="0" xfId="0"/>
    <xf numFmtId="0" fontId="2" fillId="3" borderId="1" applyAlignment="1" pivotButton="0" quotePrefix="0" xfId="0">
      <alignment vertical="center" wrapText="1"/>
    </xf>
    <xf numFmtId="0" fontId="6" fillId="7" borderId="1" applyAlignment="1" pivotButton="0" quotePrefix="0" xfId="0">
      <alignment vertical="top" wrapText="1"/>
    </xf>
    <xf numFmtId="0" fontId="6" fillId="0" borderId="1" applyAlignment="1" pivotButton="0" quotePrefix="0" xfId="0">
      <alignment vertical="top" wrapText="1"/>
    </xf>
    <xf numFmtId="1" fontId="6" fillId="0" borderId="1" pivotButton="0" quotePrefix="0" xfId="0"/>
    <xf numFmtId="9" fontId="6" fillId="0" borderId="1" pivotButton="0" quotePrefix="0" xfId="0"/>
    <xf numFmtId="164" fontId="6" fillId="0" borderId="1" pivotButton="0" quotePrefix="0" xfId="0"/>
    <xf numFmtId="0" fontId="9" fillId="0" borderId="1" applyAlignment="1" pivotButton="0" quotePrefix="0" xfId="0">
      <alignment vertical="top" wrapText="1"/>
    </xf>
    <xf numFmtId="0" fontId="6" fillId="8" borderId="1" applyAlignment="1" pivotButton="0" quotePrefix="0" xfId="0">
      <alignment vertical="top" wrapText="1"/>
    </xf>
    <xf numFmtId="0" fontId="9" fillId="0" borderId="0" pivotButton="0" quotePrefix="0" xfId="0"/>
    <xf numFmtId="1" fontId="9" fillId="0" borderId="1" pivotButton="0" quotePrefix="0" xfId="0"/>
    <xf numFmtId="9" fontId="9" fillId="0" borderId="1" pivotButton="0" quotePrefix="0" xfId="0"/>
    <xf numFmtId="164" fontId="9" fillId="0" borderId="1" pivotButton="0" quotePrefix="0" xfId="0"/>
    <xf numFmtId="9" fontId="9" fillId="0" borderId="0" pivotButton="0" quotePrefix="0" xfId="0"/>
    <xf numFmtId="0" fontId="13" fillId="6" borderId="1" pivotButton="0" quotePrefix="0" xfId="0"/>
    <xf numFmtId="0" fontId="14" fillId="0" borderId="0" pivotButton="0" quotePrefix="0" xfId="0"/>
    <xf numFmtId="9" fontId="13" fillId="6" borderId="1" pivotButton="0" quotePrefix="0" xfId="0"/>
    <xf numFmtId="164" fontId="9" fillId="0" borderId="0" pivotButton="0" quotePrefix="0" xfId="0"/>
    <xf numFmtId="1" fontId="0" fillId="0" borderId="0" pivotButton="0" quotePrefix="0" xfId="0"/>
    <xf numFmtId="9" fontId="0" fillId="0" borderId="0" pivotButton="0" quotePrefix="0" xfId="0"/>
    <xf numFmtId="0" fontId="2" fillId="0" borderId="1" applyAlignment="1" pivotButton="0" quotePrefix="0" xfId="0">
      <alignment vertical="center" wrapText="1"/>
    </xf>
    <xf numFmtId="0" fontId="9" fillId="8" borderId="0" pivotButton="0" quotePrefix="0" xfId="0"/>
    <xf numFmtId="0" fontId="9" fillId="9" borderId="0" pivotButton="0" quotePrefix="0" xfId="0"/>
    <xf numFmtId="0" fontId="1" fillId="0" borderId="0" pivotButton="0" quotePrefix="0" xfId="0"/>
    <xf numFmtId="0" fontId="0" fillId="7" borderId="0" pivotButton="0" quotePrefix="0" xfId="0"/>
    <xf numFmtId="0" fontId="10" fillId="7" borderId="0" pivotButton="0" quotePrefix="0" xfId="0"/>
    <xf numFmtId="0" fontId="1" fillId="7" borderId="0" applyAlignment="1" pivotButton="0" quotePrefix="0" xfId="0">
      <alignment vertical="top" wrapText="1"/>
    </xf>
    <xf numFmtId="0" fontId="9" fillId="8" borderId="1" applyAlignment="1" pivotButton="0" quotePrefix="0" xfId="0">
      <alignment vertical="top" wrapText="1"/>
    </xf>
    <xf numFmtId="0" fontId="5" fillId="0" borderId="1" applyAlignment="1" pivotButton="0" quotePrefix="0" xfId="0">
      <alignment vertical="top" wrapText="1"/>
    </xf>
    <xf numFmtId="0" fontId="3" fillId="0" borderId="1" applyAlignment="1" pivotButton="0" quotePrefix="0" xfId="0">
      <alignment vertical="top" wrapText="1"/>
    </xf>
    <xf numFmtId="2" fontId="6" fillId="0" borderId="1" applyAlignment="1" pivotButton="0" quotePrefix="0" xfId="0">
      <alignment vertical="top" wrapText="1"/>
    </xf>
    <xf numFmtId="0" fontId="8" fillId="6" borderId="1" applyAlignment="1" pivotButton="0" quotePrefix="0" xfId="0">
      <alignment vertical="top" wrapText="1"/>
    </xf>
    <xf numFmtId="165" fontId="8" fillId="6" borderId="1" applyAlignment="1" pivotButton="0" quotePrefix="0" xfId="0">
      <alignment vertical="top" wrapText="1"/>
    </xf>
    <xf numFmtId="0" fontId="9" fillId="9" borderId="1" applyAlignment="1" pivotButton="0" quotePrefix="0" xfId="0">
      <alignment vertical="top" wrapText="1"/>
    </xf>
    <xf numFmtId="0" fontId="9" fillId="10" borderId="1" applyAlignment="1" pivotButton="0" quotePrefix="0" xfId="0">
      <alignment vertical="top" wrapText="1"/>
    </xf>
    <xf numFmtId="0" fontId="0" fillId="8" borderId="0" pivotButton="0" quotePrefix="0" xfId="0"/>
    <xf numFmtId="0" fontId="10" fillId="8" borderId="0" pivotButton="0" quotePrefix="0" xfId="0"/>
    <xf numFmtId="0" fontId="1" fillId="8" borderId="0" applyAlignment="1" pivotButton="0" quotePrefix="0" xfId="0">
      <alignment vertical="top" wrapText="1"/>
    </xf>
    <xf numFmtId="0" fontId="8" fillId="6" borderId="1" pivotButton="0" quotePrefix="0" xfId="0"/>
    <xf numFmtId="0" fontId="3" fillId="0" borderId="1" pivotButton="0" quotePrefix="0" xfId="0"/>
    <xf numFmtId="0" fontId="0" fillId="6" borderId="1" applyAlignment="1" pivotButton="0" quotePrefix="0" xfId="0">
      <alignment vertical="top" wrapText="1"/>
    </xf>
    <xf numFmtId="164" fontId="0" fillId="0" borderId="0" pivotButton="0" quotePrefix="0" xfId="0"/>
    <xf numFmtId="0" fontId="7" fillId="2" borderId="0" applyAlignment="1" pivotButton="0" quotePrefix="0" xfId="0">
      <alignment vertical="center" wrapText="1"/>
    </xf>
    <xf numFmtId="0" fontId="3" fillId="0" borderId="0" pivotButton="0" quotePrefix="0" xfId="0"/>
    <xf numFmtId="0" fontId="1" fillId="4" borderId="0" applyAlignment="1" pivotButton="0" quotePrefix="0" xfId="0">
      <alignment vertical="top" wrapText="1"/>
    </xf>
    <xf numFmtId="0" fontId="6" fillId="4" borderId="0" applyAlignment="1" pivotButton="0" quotePrefix="0" xfId="0">
      <alignment vertical="top" wrapText="1"/>
    </xf>
    <xf numFmtId="0" fontId="1" fillId="5" borderId="0" applyAlignment="1" pivotButton="0" quotePrefix="0" xfId="0">
      <alignment vertical="top" wrapText="1"/>
    </xf>
    <xf numFmtId="0" fontId="6" fillId="5" borderId="0" applyAlignment="1" pivotButton="0" quotePrefix="0" xfId="0">
      <alignment vertical="top" wrapText="1"/>
    </xf>
    <xf numFmtId="0" fontId="2" fillId="2" borderId="0" pivotButton="0" quotePrefix="0" xfId="0"/>
    <xf numFmtId="0" fontId="4" fillId="0" borderId="0" pivotButton="0" quotePrefix="0" xfId="0"/>
    <xf numFmtId="0" fontId="5" fillId="0" borderId="0" pivotButton="0" quotePrefix="0" xfId="0"/>
    <xf numFmtId="0" fontId="19"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developer.mozilla.org/en-US/docs/Web/HTTP/Overview" TargetMode="External" Id="rId1" /><Relationship Type="http://schemas.openxmlformats.org/officeDocument/2006/relationships/hyperlink" Target="https://developer.mozilla.org/en-US/docs/Web/HTTP/Status" TargetMode="External" Id="rId2" /><Relationship Type="http://schemas.openxmlformats.org/officeDocument/2006/relationships/hyperlink" Target="https://developer.mozilla.org/en-US/docs/Learn_web_development" TargetMode="External" Id="rId3" /><Relationship Type="http://schemas.openxmlformats.org/officeDocument/2006/relationships/hyperlink" Target="https://fullstackopen.com/en/" TargetMode="External" Id="rId4" /><Relationship Type="http://schemas.openxmlformats.org/officeDocument/2006/relationships/hyperlink" Target="https://gitforwindows.org/" TargetMode="External" Id="rId5" /><Relationship Type="http://schemas.openxmlformats.org/officeDocument/2006/relationships/hyperlink" Target="https://missing.csail.mit.edu/2020/course-shell/" TargetMode="External" Id="rId6" /><Relationship Type="http://schemas.openxmlformats.org/officeDocument/2006/relationships/hyperlink" Target="https://www.gnu.org/software/bash/manual/bash.html" TargetMode="External" Id="rId7" /><Relationship Type="http://schemas.openxmlformats.org/officeDocument/2006/relationships/hyperlink" Target="https://code.visualstudio.com/docs/terminal/profiles" TargetMode="External" Id="rId8" /><Relationship Type="http://schemas.openxmlformats.org/officeDocument/2006/relationships/hyperlink" Target="https://git-scm.com/book/en/v2" TargetMode="External" Id="rId9" /><Relationship Type="http://schemas.openxmlformats.org/officeDocument/2006/relationships/hyperlink" Target="https://learngitbranching.js.org/" TargetMode="External" Id="rId10" /><Relationship Type="http://schemas.openxmlformats.org/officeDocument/2006/relationships/hyperlink" Target="https://docs.github.com/en/pull-requests/collaborating-with-pull-requests/proposing-changes-to-your-work-with-pull-requests/about-pull-requests" TargetMode="External" Id="rId11" /><Relationship Type="http://schemas.openxmlformats.org/officeDocument/2006/relationships/hyperlink" Target="https://www.conventionalcommits.org/" TargetMode="External" Id="rId12" /><Relationship Type="http://schemas.openxmlformats.org/officeDocument/2006/relationships/hyperlink" Target="https://docs.astral.sh/uv/" TargetMode="External" Id="rId13" /><Relationship Type="http://schemas.openxmlformats.org/officeDocument/2006/relationships/hyperlink" Target="https://docs.npmjs.com/cli/v10/configuring-npm/package-lock-json" TargetMode="External" Id="rId14" /><Relationship Type="http://schemas.openxmlformats.org/officeDocument/2006/relationships/hyperlink" Target="https://semver.org/" TargetMode="External" Id="rId15" /><Relationship Type="http://schemas.openxmlformats.org/officeDocument/2006/relationships/hyperlink" Target="https://www.typescriptlang.org/docs/handbook/intro.html" TargetMode="External" Id="rId16" /><Relationship Type="http://schemas.openxmlformats.org/officeDocument/2006/relationships/hyperlink" Target="https://www.typescriptlang.org/docs/handbook/typescript-in-5-minutes.html" TargetMode="External" Id="rId17" /><Relationship Type="http://schemas.openxmlformats.org/officeDocument/2006/relationships/hyperlink" Target="https://developer.mozilla.org/en-US/docs/Web/JavaScript/Reference/Statements/async_function" TargetMode="External" Id="rId18" /><Relationship Type="http://schemas.openxmlformats.org/officeDocument/2006/relationships/hyperlink" Target="https://react.dev/learn" TargetMode="External" Id="rId19" /><Relationship Type="http://schemas.openxmlformats.org/officeDocument/2006/relationships/hyperlink" Target="https://react.dev/learn/synchronizing-with-effects" TargetMode="External" Id="rId20" /><Relationship Type="http://schemas.openxmlformats.org/officeDocument/2006/relationships/hyperlink" Target="https://react.dev/learn/referencing-values-with-refs" TargetMode="External" Id="rId21" /><Relationship Type="http://schemas.openxmlformats.org/officeDocument/2006/relationships/hyperlink" Target="https://react.dev/learn/you-might-not-need-an-effect" TargetMode="External" Id="rId22" /><Relationship Type="http://schemas.openxmlformats.org/officeDocument/2006/relationships/hyperlink" Target="https://reactrouter.com/6.30.0/start/tutorial" TargetMode="External" Id="rId23" /><Relationship Type="http://schemas.openxmlformats.org/officeDocument/2006/relationships/hyperlink" Target="https://vite.dev/guide/" TargetMode="External" Id="rId24" /><Relationship Type="http://schemas.openxmlformats.org/officeDocument/2006/relationships/hyperlink" Target="https://vite.dev/guide/env-and-mode" TargetMode="External" Id="rId25" /><Relationship Type="http://schemas.openxmlformats.org/officeDocument/2006/relationships/hyperlink" Target="https://vercel.com/docs/frameworks/frontend/vite" TargetMode="External" Id="rId26" /><Relationship Type="http://schemas.openxmlformats.org/officeDocument/2006/relationships/hyperlink" Target="https://developer.mozilla.org/en-US/docs/Web/API/Web_Workers_API/Using_web_workers" TargetMode="External" Id="rId27" /><Relationship Type="http://schemas.openxmlformats.org/officeDocument/2006/relationships/hyperlink" Target="https://github.com/nmrugg/stockfish.js" TargetMode="External" Id="rId28" /><Relationship Type="http://schemas.openxmlformats.org/officeDocument/2006/relationships/hyperlink" Target="https://developer.mozilla.org/en-US/docs/WebAssembly/Concepts" TargetMode="External" Id="rId29" /><Relationship Type="http://schemas.openxmlformats.org/officeDocument/2006/relationships/hyperlink" Target="https://www.chessprogramming.org/Forsyth-Edwards_Notation" TargetMode="External" Id="rId30" /><Relationship Type="http://schemas.openxmlformats.org/officeDocument/2006/relationships/hyperlink" Target="https://www.saremba.de/chessgml/standards/pgn/pgn-complete.htm" TargetMode="External" Id="rId31" /><Relationship Type="http://schemas.openxmlformats.org/officeDocument/2006/relationships/hyperlink" Target="https://www.chessprogramming.org/Algebraic_Chess_Notation" TargetMode="External" Id="rId32" /><Relationship Type="http://schemas.openxmlformats.org/officeDocument/2006/relationships/hyperlink" Target="https://www.chessprogramming.org/Minimax" TargetMode="External" Id="rId33" /><Relationship Type="http://schemas.openxmlformats.org/officeDocument/2006/relationships/hyperlink" Target="https://www.chessprogramming.org/Alpha-Beta" TargetMode="External" Id="rId34" /><Relationship Type="http://schemas.openxmlformats.org/officeDocument/2006/relationships/hyperlink" Target="https://www.chessprogramming.org/Quiescence_Search" TargetMode="External" Id="rId35" /><Relationship Type="http://schemas.openxmlformats.org/officeDocument/2006/relationships/hyperlink" Target="https://backscattering.de/chess/uci/" TargetMode="External" Id="rId36" /><Relationship Type="http://schemas.openxmlformats.org/officeDocument/2006/relationships/hyperlink" Target="https://official-stockfish.github.io/docs/stockfish-wiki/Home.html" TargetMode="External" Id="rId37" /><Relationship Type="http://schemas.openxmlformats.org/officeDocument/2006/relationships/hyperlink" Target="https://github.com/thomasahle/sunfish" TargetMode="External" Id="rId38" /><Relationship Type="http://schemas.openxmlformats.org/officeDocument/2006/relationships/hyperlink" Target="https://docs.python.org/3/tutorial/modules.html" TargetMode="External" Id="rId39" /><Relationship Type="http://schemas.openxmlformats.org/officeDocument/2006/relationships/hyperlink" Target="https://docs.astral.sh/uv/guides/projects/" TargetMode="External" Id="rId40" /><Relationship Type="http://schemas.openxmlformats.org/officeDocument/2006/relationships/hyperlink" Target="https://realpython.com/python-type-checking/" TargetMode="External" Id="rId41" /><Relationship Type="http://schemas.openxmlformats.org/officeDocument/2006/relationships/hyperlink" Target="https://developer.mozilla.org/en-US/docs/Web/HTTP/Methods" TargetMode="External" Id="rId42" /><Relationship Type="http://schemas.openxmlformats.org/officeDocument/2006/relationships/hyperlink" Target="https://github.com/microsoft/api-guidelines/blob/vNext/azure/Guidelines.md" TargetMode="External" Id="rId43" /><Relationship Type="http://schemas.openxmlformats.org/officeDocument/2006/relationships/hyperlink" Target="https://opensource.zalando.com/restful-api-guidelines/" TargetMode="External" Id="rId44" /><Relationship Type="http://schemas.openxmlformats.org/officeDocument/2006/relationships/hyperlink" Target="https://fastapi.tiangolo.com/tutorial/" TargetMode="External" Id="rId45" /><Relationship Type="http://schemas.openxmlformats.org/officeDocument/2006/relationships/hyperlink" Target="https://fastapi.tiangolo.com/tutorial/dependencies/" TargetMode="External" Id="rId46" /><Relationship Type="http://schemas.openxmlformats.org/officeDocument/2006/relationships/hyperlink" Target="https://fastapi.tiangolo.com/tutorial/bigger-applications/" TargetMode="External" Id="rId47" /><Relationship Type="http://schemas.openxmlformats.org/officeDocument/2006/relationships/hyperlink" Target="https://docs.pydantic.dev/latest/" TargetMode="External" Id="rId48" /><Relationship Type="http://schemas.openxmlformats.org/officeDocument/2006/relationships/hyperlink" Target="https://fastapi.tiangolo.com/tutorial/testing/" TargetMode="External" Id="rId49" /><Relationship Type="http://schemas.openxmlformats.org/officeDocument/2006/relationships/hyperlink" Target="https://sqlbolt.com/" TargetMode="External" Id="rId50" /><Relationship Type="http://schemas.openxmlformats.org/officeDocument/2006/relationships/hyperlink" Target="https://www.postgresql.org/docs/current/tutorial.html" TargetMode="External" Id="rId51" /><Relationship Type="http://schemas.openxmlformats.org/officeDocument/2006/relationships/hyperlink" Target="https://www.postgresql.org/docs/current/sql-insert.html#SQL-ON-CONFLICT" TargetMode="External" Id="rId52" /><Relationship Type="http://schemas.openxmlformats.org/officeDocument/2006/relationships/hyperlink" Target="https://use-the-index-luke.com/" TargetMode="External" Id="rId53" /><Relationship Type="http://schemas.openxmlformats.org/officeDocument/2006/relationships/hyperlink" Target="https://docs.docker.com/get-started/" TargetMode="External" Id="rId54" /><Relationship Type="http://schemas.openxmlformats.org/officeDocument/2006/relationships/hyperlink" Target="https://hub.docker.com/_/postgres" TargetMode="External" Id="rId55" /><Relationship Type="http://schemas.openxmlformats.org/officeDocument/2006/relationships/hyperlink" Target="https://learn.microsoft.com/en-us/windows/wsl/install" TargetMode="External" Id="rId56" /><Relationship Type="http://schemas.openxmlformats.org/officeDocument/2006/relationships/hyperlink" Target="https://docs.docker.com/desktop/features/wsl/" TargetMode="External" Id="rId57" /><Relationship Type="http://schemas.openxmlformats.org/officeDocument/2006/relationships/hyperlink" Target="https://docs.sqlalchemy.org/en/20/tutorial/index.html" TargetMode="External" Id="rId58" /><Relationship Type="http://schemas.openxmlformats.org/officeDocument/2006/relationships/hyperlink" Target="https://docs.sqlalchemy.org/en/20/orm/quickstart.html" TargetMode="External" Id="rId59" /><Relationship Type="http://schemas.openxmlformats.org/officeDocument/2006/relationships/hyperlink" Target="https://docs.sqlalchemy.org/en/20/dialects/postgresql.html#insert-on-conflict-upsert" TargetMode="External" Id="rId60" /><Relationship Type="http://schemas.openxmlformats.org/officeDocument/2006/relationships/hyperlink" Target="https://www.psycopg.org/psycopg3/docs/" TargetMode="External" Id="rId61" /><Relationship Type="http://schemas.openxmlformats.org/officeDocument/2006/relationships/hyperlink" Target="https://alembic.sqlalchemy.org/en/latest/tutorial.html" TargetMode="External" Id="rId62" /><Relationship Type="http://schemas.openxmlformats.org/officeDocument/2006/relationships/hyperlink" Target="https://alembic.sqlalchemy.org/en/latest/autogenerate.html" TargetMode="External" Id="rId63" /><Relationship Type="http://schemas.openxmlformats.org/officeDocument/2006/relationships/hyperlink" Target="https://martinfowler.com/articles/evodb.html" TargetMode="External" Id="rId64" /><Relationship Type="http://schemas.openxmlformats.org/officeDocument/2006/relationships/hyperlink" Target="https://12factor.net/config" TargetMode="External" Id="rId65" /><Relationship Type="http://schemas.openxmlformats.org/officeDocument/2006/relationships/hyperlink" Target="https://docs.pydantic.dev/latest/concepts/pydantic_settings/" TargetMode="External" Id="rId66" /><Relationship Type="http://schemas.openxmlformats.org/officeDocument/2006/relationships/hyperlink" Target="https://cheatsheetseries.owasp.org/cheatsheets/Secrets_Management_Cheat_Sheet.html" TargetMode="External" Id="rId67" /><Relationship Type="http://schemas.openxmlformats.org/officeDocument/2006/relationships/hyperlink" Target="https://cheatsheetseries.owasp.org/cheatsheets/Session_Management_Cheat_Sheet.html" TargetMode="External" Id="rId68" /><Relationship Type="http://schemas.openxmlformats.org/officeDocument/2006/relationships/hyperlink" Target="https://docs.python.org/3/library/secrets.html" TargetMode="External" Id="rId69" /><Relationship Type="http://schemas.openxmlformats.org/officeDocument/2006/relationships/hyperlink" Target="https://developer.mozilla.org/en-US/docs/Web/HTTP/Headers/Authorization" TargetMode="External" Id="rId70" /><Relationship Type="http://schemas.openxmlformats.org/officeDocument/2006/relationships/hyperlink" Target="https://owasp.org/API-Security/editions/2023/en/0xa1-broken-object-level-authorization/" TargetMode="External" Id="rId71" /><Relationship Type="http://schemas.openxmlformats.org/officeDocument/2006/relationships/hyperlink" Target="https://cheatsheetseries.owasp.org/cheatsheets/Insecure_Direct_Object_Reference_Prevention_Cheat_Sheet.html" TargetMode="External" Id="rId72" /><Relationship Type="http://schemas.openxmlformats.org/officeDocument/2006/relationships/hyperlink" Target="https://developer.mozilla.org/en-US/docs/Web/HTTP/CORS" TargetMode="External" Id="rId73" /><Relationship Type="http://schemas.openxmlformats.org/officeDocument/2006/relationships/hyperlink" Target="https://fastapi.tiangolo.com/tutorial/cors/" TargetMode="External" Id="rId74" /><Relationship Type="http://schemas.openxmlformats.org/officeDocument/2006/relationships/hyperlink" Target="https://fastapi.tiangolo.com/tutorial/handling-errors/" TargetMode="External" Id="rId75" /><Relationship Type="http://schemas.openxmlformats.org/officeDocument/2006/relationships/hyperlink" Target="https://www.rfc-editor.org/rfc/rfc9457" TargetMode="External" Id="rId76" /><Relationship Type="http://schemas.openxmlformats.org/officeDocument/2006/relationships/hyperlink" Target="https://docs.pytest.org/en/stable/getting-started.html" TargetMode="External" Id="rId77" /><Relationship Type="http://schemas.openxmlformats.org/officeDocument/2006/relationships/hyperlink" Target="https://docs.pytest.org/en/stable/how-to/fixtures.html" TargetMode="External" Id="rId78" /><Relationship Type="http://schemas.openxmlformats.org/officeDocument/2006/relationships/hyperlink" Target="https://martinfowler.com/articles/practical-test-pyramid.html" TargetMode="External" Id="rId79" /><Relationship Type="http://schemas.openxmlformats.org/officeDocument/2006/relationships/hyperlink" Target="https://vitest.dev/guide/" TargetMode="External" Id="rId80" /><Relationship Type="http://schemas.openxmlformats.org/officeDocument/2006/relationships/hyperlink" Target="https://playwright.dev/docs/intro" TargetMode="External" Id="rId81" /><Relationship Type="http://schemas.openxmlformats.org/officeDocument/2006/relationships/hyperlink" Target="https://playwright.dev/docs/locators" TargetMode="External" Id="rId82" /><Relationship Type="http://schemas.openxmlformats.org/officeDocument/2006/relationships/hyperlink" Target="https://testing-library.com/docs/guiding-principles" TargetMode="External" Id="rId83" /><Relationship Type="http://schemas.openxmlformats.org/officeDocument/2006/relationships/hyperlink" Target="https://docs.docker.com/reference/dockerfile/" TargetMode="External" Id="rId84" /><Relationship Type="http://schemas.openxmlformats.org/officeDocument/2006/relationships/hyperlink" Target="https://docs.docker.com/build/building/best-practices/" TargetMode="External" Id="rId85" /><Relationship Type="http://schemas.openxmlformats.org/officeDocument/2006/relationships/hyperlink" Target="https://packages.debian.org/bookworm/stockfish" TargetMode="External" Id="rId86" /><Relationship Type="http://schemas.openxmlformats.org/officeDocument/2006/relationships/hyperlink" Target="https://docs.docker.com/compose/" TargetMode="External" Id="rId87" /><Relationship Type="http://schemas.openxmlformats.org/officeDocument/2006/relationships/hyperlink" Target="https://docs.docker.com/reference/compose-file/" TargetMode="External" Id="rId88" /><Relationship Type="http://schemas.openxmlformats.org/officeDocument/2006/relationships/hyperlink" Target="https://render.com/docs/background-workers" TargetMode="External" Id="rId89" /><Relationship Type="http://schemas.openxmlformats.org/officeDocument/2006/relationships/hyperlink" Target="https://brandur.org/job-drain" TargetMode="External" Id="rId90" /><Relationship Type="http://schemas.openxmlformats.org/officeDocument/2006/relationships/hyperlink" Target="https://www.postgresql.org/docs/current/sql-select.html#SQL-FOR-UPDATE-SHARE" TargetMode="External" Id="rId91" /><Relationship Type="http://schemas.openxmlformats.org/officeDocument/2006/relationships/hyperlink" Target="https://www.postgresql.org/docs/current/explicit-locking.html" TargetMode="External" Id="rId92" /><Relationship Type="http://schemas.openxmlformats.org/officeDocument/2006/relationships/hyperlink" Target="https://martin.kleppmann.com/2016/02/08/how-to-do-distributed-locking.html" TargetMode="External" Id="rId93" /><Relationship Type="http://schemas.openxmlformats.org/officeDocument/2006/relationships/hyperlink" Target="https://stripe.com/blog/idempotency" TargetMode="External" Id="rId94" /><Relationship Type="http://schemas.openxmlformats.org/officeDocument/2006/relationships/hyperlink" Target="https://aws.amazon.com/builders-library/timeouts-retries-and-backoff-with-jitter/" TargetMode="External" Id="rId95" /><Relationship Type="http://schemas.openxmlformats.org/officeDocument/2006/relationships/hyperlink" Target="https://brandur.org/idempotency-keys" TargetMode="External" Id="rId96" /><Relationship Type="http://schemas.openxmlformats.org/officeDocument/2006/relationships/hyperlink" Target="https://www.postgresql.org/docs/current/transaction-iso.html" TargetMode="External" Id="rId97" /><Relationship Type="http://schemas.openxmlformats.org/officeDocument/2006/relationships/hyperlink" Target="https://dataintensive.net/" TargetMode="External" Id="rId98" /><Relationship Type="http://schemas.openxmlformats.org/officeDocument/2006/relationships/hyperlink" Target="https://developer.mozilla.org/en-US/docs/Web/API/Page_Visibility_API" TargetMode="External" Id="rId99" /><Relationship Type="http://schemas.openxmlformats.org/officeDocument/2006/relationships/hyperlink" Target="https://developer.mozilla.org/en-US/docs/Web/API/WebSockets_API" TargetMode="External" Id="rId100" /><Relationship Type="http://schemas.openxmlformats.org/officeDocument/2006/relationships/hyperlink" Target="https://lichess.org/api" TargetMode="External" Id="rId101" /><Relationship Type="http://schemas.openxmlformats.org/officeDocument/2006/relationships/hyperlink" Target="https://lichess.org/page/api-tips" TargetMode="External" Id="rId102" /><Relationship Type="http://schemas.openxmlformats.org/officeDocument/2006/relationships/hyperlink" Target="https://www.chess.com/news/view/published-data-api" TargetMode="External" Id="rId103" /><Relationship Type="http://schemas.openxmlformats.org/officeDocument/2006/relationships/hyperlink" Target="https://www.python-httpx.org/quickstart/#streaming-responses" TargetMode="External" Id="rId104" /><Relationship Type="http://schemas.openxmlformats.org/officeDocument/2006/relationships/hyperlink" Target="https://github.com/ndjson/ndjson-spec" TargetMode="External" Id="rId105" /><Relationship Type="http://schemas.openxmlformats.org/officeDocument/2006/relationships/hyperlink" Target="https://cheatsheetseries.owasp.org/cheatsheets/Input_Validation_Cheat_Sheet.html" TargetMode="External" Id="rId106" /><Relationship Type="http://schemas.openxmlformats.org/officeDocument/2006/relationships/hyperlink" Target="https://python-chess.readthedocs.io/en/latest/pgn.html" TargetMode="External" Id="rId107" /><Relationship Type="http://schemas.openxmlformats.org/officeDocument/2006/relationships/hyperlink" Target="https://python-chess.readthedocs.io/en/latest/core.html" TargetMode="External" Id="rId108" /><Relationship Type="http://schemas.openxmlformats.org/officeDocument/2006/relationships/hyperlink" Target="https://python-chess.readthedocs.io/en/latest/engine.html" TargetMode="External" Id="rId109" /><Relationship Type="http://schemas.openxmlformats.org/officeDocument/2006/relationships/hyperlink" Target="https://github.com/niklasf/python-chess" TargetMode="External" Id="rId110" /><Relationship Type="http://schemas.openxmlformats.org/officeDocument/2006/relationships/hyperlink" Target="https://www.chessprogramming.org/Centipawns" TargetMode="External" Id="rId111" /><Relationship Type="http://schemas.openxmlformats.org/officeDocument/2006/relationships/hyperlink" Target="https://www.chessprogramming.org/Principal_Variation" TargetMode="External" Id="rId112" /><Relationship Type="http://schemas.openxmlformats.org/officeDocument/2006/relationships/hyperlink" Target="https://lichess.org/page/accuracy" TargetMode="External" Id="rId113" /><Relationship Type="http://schemas.openxmlformats.org/officeDocument/2006/relationships/hyperlink" Target="https://lichess.org/practice/fundamental-tactics/the-fork/Qj281y1p" TargetMode="External" Id="rId114" /><Relationship Type="http://schemas.openxmlformats.org/officeDocument/2006/relationships/hyperlink" Target="https://lichess.org/training/themes" TargetMode="External" Id="rId115" /><Relationship Type="http://schemas.openxmlformats.org/officeDocument/2006/relationships/hyperlink" Target="https://www.chessprogramming.org/Point_Value" TargetMode="External" Id="rId116" /><Relationship Type="http://schemas.openxmlformats.org/officeDocument/2006/relationships/hyperlink" Target="https://aima.cs.berkeley.edu/" TargetMode="External" Id="rId117" /><Relationship Type="http://schemas.openxmlformats.org/officeDocument/2006/relationships/hyperlink" Target="https://www.maiachess.com/" TargetMode="External" Id="rId118" /><Relationship Type="http://schemas.openxmlformats.org/officeDocument/2006/relationships/hyperlink" Target="https://www.chessprogramming.org/Stockfish_NNUE" TargetMode="External" Id="rId119" /><Relationship Type="http://schemas.openxmlformats.org/officeDocument/2006/relationships/hyperlink" Target="https://developers.google.com/machine-learning/crash-course/classification/accuracy-precision-recall" TargetMode="External" Id="rId120" /><Relationship Type="http://schemas.openxmlformats.org/officeDocument/2006/relationships/hyperlink" Target="https://pair.withgoogle.com/guidebook/" TargetMode="External" Id="rId121" /><Relationship Type="http://schemas.openxmlformats.org/officeDocument/2006/relationships/hyperlink" Target="https://ehudreiter.com/2016/12/18/nlg-vs-templates/" TargetMode="External" Id="rId122" /><Relationship Type="http://schemas.openxmlformats.org/officeDocument/2006/relationships/hyperlink" Target="https://database.lichess.org/#puzzles" TargetMode="External" Id="rId123" /><Relationship Type="http://schemas.openxmlformats.org/officeDocument/2006/relationships/hyperlink" Target="https://en.wikipedia.org/wiki/Reservoir_sampling" TargetMode="External" Id="rId124" /><Relationship Type="http://schemas.openxmlformats.org/officeDocument/2006/relationships/hyperlink" Target="https://python-zstandard.readthedocs.io/" TargetMode="External" Id="rId125" /><Relationship Type="http://schemas.openxmlformats.org/officeDocument/2006/relationships/hyperlink" Target="https://arxiv.org/abs/1803.09010" TargetMode="External" Id="rId126" /><Relationship Type="http://schemas.openxmlformats.org/officeDocument/2006/relationships/hyperlink" Target="https://en.wikipedia.org/wiki/Elo_rating_system#Theory" TargetMode="External" Id="rId127" /><Relationship Type="http://schemas.openxmlformats.org/officeDocument/2006/relationships/hyperlink" Target="https://www.fi.muni.cz/~xpelanek/publications/CAE-elo.pdf" TargetMode="External" Id="rId128" /><Relationship Type="http://schemas.openxmlformats.org/officeDocument/2006/relationships/hyperlink" Target="https://en.wikipedia.org/wiki/Zone_of_proximal_development" TargetMode="External" Id="rId129" /><Relationship Type="http://schemas.openxmlformats.org/officeDocument/2006/relationships/hyperlink" Target="https://en.wikipedia.org/wiki/Spaced_repetition" TargetMode="External" Id="rId130" /><Relationship Type="http://schemas.openxmlformats.org/officeDocument/2006/relationships/hyperlink" Target="https://developers.google.com/machine-learning/crash-course/classification/accuracy-precision-recall" TargetMode="External" Id="rId131" /><Relationship Type="http://schemas.openxmlformats.org/officeDocument/2006/relationships/hyperlink" Target="https://en.wikipedia.org/wiki/Binomial_proportion_confidence_interval#Wilson_score_interval" TargetMode="External" Id="rId132" /><Relationship Type="http://schemas.openxmlformats.org/officeDocument/2006/relationships/hyperlink" Target="https://en.wikipedia.org/wiki/Cohen%27s_kappa" TargetMode="External" Id="rId133" /><Relationship Type="http://schemas.openxmlformats.org/officeDocument/2006/relationships/hyperlink" Target="https://en.wikipedia.org/wiki/Leakage_(machine_learning)" TargetMode="External" Id="rId134" /><Relationship Type="http://schemas.openxmlformats.org/officeDocument/2006/relationships/hyperlink" Target="https://scikit-learn.org/stable/common_pitfalls.html" TargetMode="External" Id="rId135" /><Relationship Type="http://schemas.openxmlformats.org/officeDocument/2006/relationships/hyperlink" Target="https://scikit-learn.org/stable/modules/calibration.html" TargetMode="External" Id="rId136" /><Relationship Type="http://schemas.openxmlformats.org/officeDocument/2006/relationships/hyperlink" Target="https://en.wikipedia.org/wiki/Brier_score" TargetMode="External" Id="rId137" /><Relationship Type="http://schemas.openxmlformats.org/officeDocument/2006/relationships/hyperlink" Target="https://en.wikipedia.org/wiki/Confounding" TargetMode="External" Id="rId138" /><Relationship Type="http://schemas.openxmlformats.org/officeDocument/2006/relationships/hyperlink" Target="https://ies.ed.gov/ncee/wwc/Handbooks" TargetMode="External" Id="rId139" /><Relationship Type="http://schemas.openxmlformats.org/officeDocument/2006/relationships/hyperlink" Target="https://render.com/docs" TargetMode="External" Id="rId140" /><Relationship Type="http://schemas.openxmlformats.org/officeDocument/2006/relationships/hyperlink" Target="https://render.com/docs/web-services" TargetMode="External" Id="rId141" /><Relationship Type="http://schemas.openxmlformats.org/officeDocument/2006/relationships/hyperlink" Target="https://render.com/docs/free" TargetMode="External" Id="rId142" /><Relationship Type="http://schemas.openxmlformats.org/officeDocument/2006/relationships/hyperlink" Target="https://render.com/docs/blueprint-spec" TargetMode="External" Id="rId143" /><Relationship Type="http://schemas.openxmlformats.org/officeDocument/2006/relationships/hyperlink" Target="https://render.com/docs/deploys" TargetMode="External" Id="rId144" /><Relationship Type="http://schemas.openxmlformats.org/officeDocument/2006/relationships/hyperlink" Target="https://vercel.com/docs/frameworks/frontend/vite" TargetMode="External" Id="rId145" /><Relationship Type="http://schemas.openxmlformats.org/officeDocument/2006/relationships/hyperlink" Target="https://vercel.com/docs/rewrites" TargetMode="External" Id="rId146" /><Relationship Type="http://schemas.openxmlformats.org/officeDocument/2006/relationships/hyperlink" Target="https://docs.github.com/en/actions" TargetMode="External" Id="rId147" /><Relationship Type="http://schemas.openxmlformats.org/officeDocument/2006/relationships/hyperlink" Target="https://docs.github.com/en/actions/use-cases-and-examples/using-containerized-services/creating-postgresql-service-containers" TargetMode="External" Id="rId148" /><Relationship Type="http://schemas.openxmlformats.org/officeDocument/2006/relationships/hyperlink" Target="https://github.com/astral-sh/setup-uv" TargetMode="External" Id="rId149" /><Relationship Type="http://schemas.openxmlformats.org/officeDocument/2006/relationships/hyperlink" Target="https://docs.github.com/en/repositories/configuring-branches-and-merges-in-your-repository/managing-protected-branches/about-protected-branches" TargetMode="External" Id="rId150" /><Relationship Type="http://schemas.openxmlformats.org/officeDocument/2006/relationships/hyperlink" Target="https://owasp.org/www-project-top-ten/" TargetMode="External" Id="rId151" /><Relationship Type="http://schemas.openxmlformats.org/officeDocument/2006/relationships/hyperlink" Target="https://owasp.org/API-Security/editions/2023/en/0x11-t10/" TargetMode="External" Id="rId152" /><Relationship Type="http://schemas.openxmlformats.org/officeDocument/2006/relationships/hyperlink" Target="https://developer.mozilla.org/en-US/docs/Web/HTTP/CSP" TargetMode="External" Id="rId153" /><Relationship Type="http://schemas.openxmlformats.org/officeDocument/2006/relationships/hyperlink" Target="https://docs.github.com/en/code-security/dependabot/dependabot-alerts/about-dependabot-alerts" TargetMode="External" Id="rId154" /><Relationship Type="http://schemas.openxmlformats.org/officeDocument/2006/relationships/hyperlink" Target="https://ico.org.uk/for-organisations/uk-gdpr-guidance-and-resources/data-protection-principles/a-guide-to-the-data-protection-principles/data-minimisation/" TargetMode="External" Id="rId155" /><Relationship Type="http://schemas.openxmlformats.org/officeDocument/2006/relationships/hyperlink" Target="https://owasp.org/www-project-top-10-privacy-risks/" TargetMode="External" Id="rId156" /><Relationship Type="http://schemas.openxmlformats.org/officeDocument/2006/relationships/hyperlink" Target="https://sre.google/sre-book/monitoring-distributed-systems/" TargetMode="External" Id="rId157" /><Relationship Type="http://schemas.openxmlformats.org/officeDocument/2006/relationships/hyperlink" Target="https://docs.python.org/3/howto/logging.html" TargetMode="External" Id="rId158" /><Relationship Type="http://schemas.openxmlformats.org/officeDocument/2006/relationships/hyperlink" Target="https://render.com/docs/logging" TargetMode="External" Id="rId159" /><Relationship Type="http://schemas.openxmlformats.org/officeDocument/2006/relationships/hyperlink" Target="https://sre.google/sre-book/service-level-objectives/" TargetMode="External" Id="rId160" /><Relationship Type="http://schemas.openxmlformats.org/officeDocument/2006/relationships/hyperlink" Target="https://grafana.com/docs/k6/latest/" TargetMode="External" Id="rId161" /><Relationship Type="http://schemas.openxmlformats.org/officeDocument/2006/relationships/hyperlink" Target="https://www.w3.org/WAI/fundamentals/accessibility-intro/" TargetMode="External" Id="rId162" /><Relationship Type="http://schemas.openxmlformats.org/officeDocument/2006/relationships/hyperlink" Target="https://www.w3.org/WAI/ARIA/apg/patterns/dialog-modal/" TargetMode="External" Id="rId163" /><Relationship Type="http://schemas.openxmlformats.org/officeDocument/2006/relationships/hyperlink" Target="https://webaim.org/resources/contrastchecker/" TargetMode="External" Id="rId164" /><Relationship Type="http://schemas.openxmlformats.org/officeDocument/2006/relationships/hyperlink" Target="https://choosealicense.com/" TargetMode="External" Id="rId165" /><Relationship Type="http://schemas.openxmlformats.org/officeDocument/2006/relationships/hyperlink" Target="https://www.gnu.org/licenses/gpl-3.0.html" TargetMode="External" Id="rId166" /><Relationship Type="http://schemas.openxmlformats.org/officeDocument/2006/relationships/hyperlink" Target="https://www.gnu.org/licenses/gpl-faq.html" TargetMode="External" Id="rId167" /><Relationship Type="http://schemas.openxmlformats.org/officeDocument/2006/relationships/hyperlink" Target="https://github.com/official-stockfish/Stockfish/blob/master/Copying.txt" TargetMode="External" Id="rId168" /><Relationship Type="http://schemas.openxmlformats.org/officeDocument/2006/relationships/hyperlink" Target="https://platform.claude.com/docs" TargetMode="External" Id="rId169" /><Relationship Type="http://schemas.openxmlformats.org/officeDocument/2006/relationships/hyperlink" Target="https://github.com/anthropics/anthropic-sdk-python" TargetMode="External" Id="rId170" /><Relationship Type="http://schemas.openxmlformats.org/officeDocument/2006/relationships/hyperlink" Target="https://platform.claude.com/docs/en/build-with-claude/structured-outputs" TargetMode="External" Id="rId171" /><Relationship Type="http://schemas.openxmlformats.org/officeDocument/2006/relationships/hyperlink" Target="https://platform.claude.com/docs/en/build-with-claude/prompt-engineering/overview" TargetMode="External" Id="rId172" /><Relationship Type="http://schemas.openxmlformats.org/officeDocument/2006/relationships/hyperlink" Target="https://www.anthropic.com/pricing" TargetMode="External" Id="rId173" /><Relationship Type="http://schemas.openxmlformats.org/officeDocument/2006/relationships/hyperlink" Target="https://scikit-learn.org/stable/modules/linear_model.html#logistic-regression" TargetMode="External" Id="rId174" /><Relationship Type="http://schemas.openxmlformats.org/officeDocument/2006/relationships/hyperlink" Target="https://link.springer.com/article/10.1007/BF01099821" TargetMode="External" Id="rId175" /><Relationship Type="http://schemas.openxmlformats.org/officeDocument/2006/relationships/hyperlink" Target="https://docs.github.com/en/repositories/managing-your-repositorys-settings-and-features/customizing-your-repository/about-readmes" TargetMode="External" Id="rId176" /><Relationship Type="http://schemas.openxmlformats.org/officeDocument/2006/relationships/hyperlink" Target="https://cognitect.com/blog/2011/11/15/documenting-architecture-decisions" TargetMode="External" Id="rId177" /><Relationship Type="http://schemas.openxmlformats.org/officeDocument/2006/relationships/hyperlink" Target="https://www.screentogif.com/" TargetMode="External" Id="rId178" /><Relationship Type="http://schemas.openxmlformats.org/officeDocument/2006/relationships/hyperlink" Target="https://docs.github.com/en/pull-requests/collaborating-with-pull-requests/addressing-merge-conflicts/resolving-a-merge-conflict-using-the-command-line" TargetMode="External" Id="rId179" /><Relationship Type="http://schemas.openxmlformats.org/officeDocument/2006/relationships/hyperlink" Target="https://git-scm.com/book/en/v2/Distributed-Git-Distributed-Workflows" TargetMode="External" Id="rId180" /><Relationship Type="http://schemas.openxmlformats.org/officeDocument/2006/relationships/hyperlink" Target="https://learngitbranching.js.org/" TargetMode="External" Id="rId181" /></Relationships>
</file>

<file path=xl/worksheets/_rels/sheet13.xml.rels><Relationships xmlns="http://schemas.openxmlformats.org/package/2006/relationships"><Relationship Type="http://schemas.openxmlformats.org/officeDocument/2006/relationships/hyperlink" Target="https://developer.mozilla.org/en-US/docs/Web/HTTP/Overview" TargetMode="External" Id="rId1" /><Relationship Type="http://schemas.openxmlformats.org/officeDocument/2006/relationships/hyperlink" Target="https://developer.mozilla.org/en-US/docs/Web/HTTP/Status" TargetMode="External" Id="rId2" /><Relationship Type="http://schemas.openxmlformats.org/officeDocument/2006/relationships/hyperlink" Target="https://developer.mozilla.org/en-US/docs/Learn_web_development" TargetMode="External" Id="rId3" /><Relationship Type="http://schemas.openxmlformats.org/officeDocument/2006/relationships/hyperlink" Target="https://fullstackopen.com/en/" TargetMode="External" Id="rId4" /><Relationship Type="http://schemas.openxmlformats.org/officeDocument/2006/relationships/hyperlink" Target="https://gitforwindows.org/" TargetMode="External" Id="rId5" /><Relationship Type="http://schemas.openxmlformats.org/officeDocument/2006/relationships/hyperlink" Target="https://missing.csail.mit.edu/2020/course-shell/" TargetMode="External" Id="rId6" /><Relationship Type="http://schemas.openxmlformats.org/officeDocument/2006/relationships/hyperlink" Target="https://www.gnu.org/software/bash/manual/bash.html" TargetMode="External" Id="rId7" /><Relationship Type="http://schemas.openxmlformats.org/officeDocument/2006/relationships/hyperlink" Target="https://code.visualstudio.com/docs/terminal/profiles" TargetMode="External" Id="rId8" /><Relationship Type="http://schemas.openxmlformats.org/officeDocument/2006/relationships/hyperlink" Target="https://git-scm.com/book/en/v2" TargetMode="External" Id="rId9" /><Relationship Type="http://schemas.openxmlformats.org/officeDocument/2006/relationships/hyperlink" Target="https://learngitbranching.js.org/" TargetMode="External" Id="rId10" /><Relationship Type="http://schemas.openxmlformats.org/officeDocument/2006/relationships/hyperlink" Target="https://docs.github.com/en/pull-requests/collaborating-with-pull-requests/proposing-changes-to-your-work-with-pull-requests/about-pull-requests" TargetMode="External" Id="rId11" /><Relationship Type="http://schemas.openxmlformats.org/officeDocument/2006/relationships/hyperlink" Target="https://www.conventionalcommits.org/" TargetMode="External" Id="rId12" /><Relationship Type="http://schemas.openxmlformats.org/officeDocument/2006/relationships/hyperlink" Target="https://docs.astral.sh/uv/" TargetMode="External" Id="rId13" /><Relationship Type="http://schemas.openxmlformats.org/officeDocument/2006/relationships/hyperlink" Target="https://docs.npmjs.com/cli/v10/configuring-npm/package-lock-json" TargetMode="External" Id="rId14" /><Relationship Type="http://schemas.openxmlformats.org/officeDocument/2006/relationships/hyperlink" Target="https://semver.org/" TargetMode="External" Id="rId15" /><Relationship Type="http://schemas.openxmlformats.org/officeDocument/2006/relationships/hyperlink" Target="https://www.typescriptlang.org/docs/handbook/intro.html" TargetMode="External" Id="rId16" /><Relationship Type="http://schemas.openxmlformats.org/officeDocument/2006/relationships/hyperlink" Target="https://www.typescriptlang.org/docs/handbook/typescript-in-5-minutes.html" TargetMode="External" Id="rId17" /><Relationship Type="http://schemas.openxmlformats.org/officeDocument/2006/relationships/hyperlink" Target="https://developer.mozilla.org/en-US/docs/Web/JavaScript/Reference/Statements/async_function" TargetMode="External" Id="rId18" /><Relationship Type="http://schemas.openxmlformats.org/officeDocument/2006/relationships/hyperlink" Target="https://react.dev/learn" TargetMode="External" Id="rId19" /><Relationship Type="http://schemas.openxmlformats.org/officeDocument/2006/relationships/hyperlink" Target="https://react.dev/learn/synchronizing-with-effects" TargetMode="External" Id="rId20" /><Relationship Type="http://schemas.openxmlformats.org/officeDocument/2006/relationships/hyperlink" Target="https://react.dev/learn/referencing-values-with-refs" TargetMode="External" Id="rId21" /><Relationship Type="http://schemas.openxmlformats.org/officeDocument/2006/relationships/hyperlink" Target="https://react.dev/learn/you-might-not-need-an-effect" TargetMode="External" Id="rId22" /><Relationship Type="http://schemas.openxmlformats.org/officeDocument/2006/relationships/hyperlink" Target="https://reactrouter.com/6.30.0/start/tutorial" TargetMode="External" Id="rId23" /><Relationship Type="http://schemas.openxmlformats.org/officeDocument/2006/relationships/hyperlink" Target="https://vite.dev/guide/" TargetMode="External" Id="rId24" /><Relationship Type="http://schemas.openxmlformats.org/officeDocument/2006/relationships/hyperlink" Target="https://vite.dev/guide/env-and-mode" TargetMode="External" Id="rId25" /><Relationship Type="http://schemas.openxmlformats.org/officeDocument/2006/relationships/hyperlink" Target="https://vercel.com/docs/frameworks/frontend/vite" TargetMode="External" Id="rId26" /><Relationship Type="http://schemas.openxmlformats.org/officeDocument/2006/relationships/hyperlink" Target="https://developer.mozilla.org/en-US/docs/Web/API/Web_Workers_API/Using_web_workers" TargetMode="External" Id="rId27" /><Relationship Type="http://schemas.openxmlformats.org/officeDocument/2006/relationships/hyperlink" Target="https://github.com/nmrugg/stockfish.js" TargetMode="External" Id="rId28" /><Relationship Type="http://schemas.openxmlformats.org/officeDocument/2006/relationships/hyperlink" Target="https://developer.mozilla.org/en-US/docs/WebAssembly/Concepts" TargetMode="External" Id="rId29" /><Relationship Type="http://schemas.openxmlformats.org/officeDocument/2006/relationships/hyperlink" Target="https://www.chessprogramming.org/Forsyth-Edwards_Notation" TargetMode="External" Id="rId30" /><Relationship Type="http://schemas.openxmlformats.org/officeDocument/2006/relationships/hyperlink" Target="https://www.saremba.de/chessgml/standards/pgn/pgn-complete.htm" TargetMode="External" Id="rId31" /><Relationship Type="http://schemas.openxmlformats.org/officeDocument/2006/relationships/hyperlink" Target="https://www.chessprogramming.org/Algebraic_Chess_Notation" TargetMode="External" Id="rId32" /><Relationship Type="http://schemas.openxmlformats.org/officeDocument/2006/relationships/hyperlink" Target="https://www.chessprogramming.org/Minimax" TargetMode="External" Id="rId33" /><Relationship Type="http://schemas.openxmlformats.org/officeDocument/2006/relationships/hyperlink" Target="https://www.chessprogramming.org/Alpha-Beta" TargetMode="External" Id="rId34" /><Relationship Type="http://schemas.openxmlformats.org/officeDocument/2006/relationships/hyperlink" Target="https://www.chessprogramming.org/Quiescence_Search" TargetMode="External" Id="rId35" /><Relationship Type="http://schemas.openxmlformats.org/officeDocument/2006/relationships/hyperlink" Target="https://backscattering.de/chess/uci/" TargetMode="External" Id="rId36" /><Relationship Type="http://schemas.openxmlformats.org/officeDocument/2006/relationships/hyperlink" Target="https://official-stockfish.github.io/docs/stockfish-wiki/Home.html" TargetMode="External" Id="rId37" /><Relationship Type="http://schemas.openxmlformats.org/officeDocument/2006/relationships/hyperlink" Target="https://github.com/thomasahle/sunfish" TargetMode="External" Id="rId38" /><Relationship Type="http://schemas.openxmlformats.org/officeDocument/2006/relationships/hyperlink" Target="https://docs.python.org/3/tutorial/modules.html" TargetMode="External" Id="rId39" /><Relationship Type="http://schemas.openxmlformats.org/officeDocument/2006/relationships/hyperlink" Target="https://docs.astral.sh/uv/guides/projects/" TargetMode="External" Id="rId40" /><Relationship Type="http://schemas.openxmlformats.org/officeDocument/2006/relationships/hyperlink" Target="https://realpython.com/python-type-checking/" TargetMode="External" Id="rId41" /><Relationship Type="http://schemas.openxmlformats.org/officeDocument/2006/relationships/hyperlink" Target="https://developer.mozilla.org/en-US/docs/Web/HTTP/Methods" TargetMode="External" Id="rId42" /><Relationship Type="http://schemas.openxmlformats.org/officeDocument/2006/relationships/hyperlink" Target="https://github.com/microsoft/api-guidelines/blob/vNext/azure/Guidelines.md" TargetMode="External" Id="rId43" /><Relationship Type="http://schemas.openxmlformats.org/officeDocument/2006/relationships/hyperlink" Target="https://opensource.zalando.com/restful-api-guidelines/" TargetMode="External" Id="rId44" /><Relationship Type="http://schemas.openxmlformats.org/officeDocument/2006/relationships/hyperlink" Target="https://fastapi.tiangolo.com/tutorial/" TargetMode="External" Id="rId45" /><Relationship Type="http://schemas.openxmlformats.org/officeDocument/2006/relationships/hyperlink" Target="https://fastapi.tiangolo.com/tutorial/dependencies/" TargetMode="External" Id="rId46" /><Relationship Type="http://schemas.openxmlformats.org/officeDocument/2006/relationships/hyperlink" Target="https://fastapi.tiangolo.com/tutorial/bigger-applications/" TargetMode="External" Id="rId47" /><Relationship Type="http://schemas.openxmlformats.org/officeDocument/2006/relationships/hyperlink" Target="https://docs.pydantic.dev/latest/" TargetMode="External" Id="rId48" /><Relationship Type="http://schemas.openxmlformats.org/officeDocument/2006/relationships/hyperlink" Target="https://fastapi.tiangolo.com/tutorial/testing/" TargetMode="External" Id="rId49" /><Relationship Type="http://schemas.openxmlformats.org/officeDocument/2006/relationships/hyperlink" Target="https://sqlbolt.com/" TargetMode="External" Id="rId50" /><Relationship Type="http://schemas.openxmlformats.org/officeDocument/2006/relationships/hyperlink" Target="https://www.postgresql.org/docs/current/tutorial.html" TargetMode="External" Id="rId51" /><Relationship Type="http://schemas.openxmlformats.org/officeDocument/2006/relationships/hyperlink" Target="https://www.postgresql.org/docs/current/sql-insert.html#SQL-ON-CONFLICT" TargetMode="External" Id="rId52" /><Relationship Type="http://schemas.openxmlformats.org/officeDocument/2006/relationships/hyperlink" Target="https://use-the-index-luke.com/" TargetMode="External" Id="rId53" /><Relationship Type="http://schemas.openxmlformats.org/officeDocument/2006/relationships/hyperlink" Target="https://docs.docker.com/get-started/" TargetMode="External" Id="rId54" /><Relationship Type="http://schemas.openxmlformats.org/officeDocument/2006/relationships/hyperlink" Target="https://hub.docker.com/_/postgres" TargetMode="External" Id="rId55" /><Relationship Type="http://schemas.openxmlformats.org/officeDocument/2006/relationships/hyperlink" Target="https://learn.microsoft.com/en-us/windows/wsl/install" TargetMode="External" Id="rId56" /><Relationship Type="http://schemas.openxmlformats.org/officeDocument/2006/relationships/hyperlink" Target="https://docs.docker.com/desktop/features/wsl/" TargetMode="External" Id="rId57" /><Relationship Type="http://schemas.openxmlformats.org/officeDocument/2006/relationships/hyperlink" Target="https://docs.sqlalchemy.org/en/20/tutorial/index.html" TargetMode="External" Id="rId58" /><Relationship Type="http://schemas.openxmlformats.org/officeDocument/2006/relationships/hyperlink" Target="https://docs.sqlalchemy.org/en/20/orm/quickstart.html" TargetMode="External" Id="rId59" /><Relationship Type="http://schemas.openxmlformats.org/officeDocument/2006/relationships/hyperlink" Target="https://docs.sqlalchemy.org/en/20/dialects/postgresql.html#insert-on-conflict-upsert" TargetMode="External" Id="rId60" /><Relationship Type="http://schemas.openxmlformats.org/officeDocument/2006/relationships/hyperlink" Target="https://www.psycopg.org/psycopg3/docs/" TargetMode="External" Id="rId61" /><Relationship Type="http://schemas.openxmlformats.org/officeDocument/2006/relationships/hyperlink" Target="https://alembic.sqlalchemy.org/en/latest/tutorial.html" TargetMode="External" Id="rId62" /><Relationship Type="http://schemas.openxmlformats.org/officeDocument/2006/relationships/hyperlink" Target="https://alembic.sqlalchemy.org/en/latest/autogenerate.html" TargetMode="External" Id="rId63" /><Relationship Type="http://schemas.openxmlformats.org/officeDocument/2006/relationships/hyperlink" Target="https://martinfowler.com/articles/evodb.html" TargetMode="External" Id="rId64" /><Relationship Type="http://schemas.openxmlformats.org/officeDocument/2006/relationships/hyperlink" Target="https://12factor.net/config" TargetMode="External" Id="rId65" /><Relationship Type="http://schemas.openxmlformats.org/officeDocument/2006/relationships/hyperlink" Target="https://docs.pydantic.dev/latest/concepts/pydantic_settings/" TargetMode="External" Id="rId66" /><Relationship Type="http://schemas.openxmlformats.org/officeDocument/2006/relationships/hyperlink" Target="https://cheatsheetseries.owasp.org/cheatsheets/Secrets_Management_Cheat_Sheet.html" TargetMode="External" Id="rId67" /><Relationship Type="http://schemas.openxmlformats.org/officeDocument/2006/relationships/hyperlink" Target="https://cheatsheetseries.owasp.org/cheatsheets/Session_Management_Cheat_Sheet.html" TargetMode="External" Id="rId68" /><Relationship Type="http://schemas.openxmlformats.org/officeDocument/2006/relationships/hyperlink" Target="https://docs.python.org/3/library/secrets.html" TargetMode="External" Id="rId69" /><Relationship Type="http://schemas.openxmlformats.org/officeDocument/2006/relationships/hyperlink" Target="https://developer.mozilla.org/en-US/docs/Web/HTTP/Headers/Authorization" TargetMode="External" Id="rId70" /><Relationship Type="http://schemas.openxmlformats.org/officeDocument/2006/relationships/hyperlink" Target="https://owasp.org/API-Security/editions/2023/en/0xa1-broken-object-level-authorization/" TargetMode="External" Id="rId71" /><Relationship Type="http://schemas.openxmlformats.org/officeDocument/2006/relationships/hyperlink" Target="https://cheatsheetseries.owasp.org/cheatsheets/Insecure_Direct_Object_Reference_Prevention_Cheat_Sheet.html" TargetMode="External" Id="rId72" /><Relationship Type="http://schemas.openxmlformats.org/officeDocument/2006/relationships/hyperlink" Target="https://developer.mozilla.org/en-US/docs/Web/HTTP/CORS" TargetMode="External" Id="rId73" /><Relationship Type="http://schemas.openxmlformats.org/officeDocument/2006/relationships/hyperlink" Target="https://fastapi.tiangolo.com/tutorial/cors/" TargetMode="External" Id="rId74" /><Relationship Type="http://schemas.openxmlformats.org/officeDocument/2006/relationships/hyperlink" Target="https://fastapi.tiangolo.com/tutorial/handling-errors/" TargetMode="External" Id="rId75" /><Relationship Type="http://schemas.openxmlformats.org/officeDocument/2006/relationships/hyperlink" Target="https://www.rfc-editor.org/rfc/rfc9457" TargetMode="External" Id="rId76" /><Relationship Type="http://schemas.openxmlformats.org/officeDocument/2006/relationships/hyperlink" Target="https://docs.pytest.org/en/stable/getting-started.html" TargetMode="External" Id="rId77" /><Relationship Type="http://schemas.openxmlformats.org/officeDocument/2006/relationships/hyperlink" Target="https://docs.pytest.org/en/stable/how-to/fixtures.html" TargetMode="External" Id="rId78" /><Relationship Type="http://schemas.openxmlformats.org/officeDocument/2006/relationships/hyperlink" Target="https://martinfowler.com/articles/practical-test-pyramid.html" TargetMode="External" Id="rId79" /><Relationship Type="http://schemas.openxmlformats.org/officeDocument/2006/relationships/hyperlink" Target="https://vitest.dev/guide/" TargetMode="External" Id="rId80" /><Relationship Type="http://schemas.openxmlformats.org/officeDocument/2006/relationships/hyperlink" Target="https://playwright.dev/docs/intro" TargetMode="External" Id="rId81" /><Relationship Type="http://schemas.openxmlformats.org/officeDocument/2006/relationships/hyperlink" Target="https://playwright.dev/docs/locators" TargetMode="External" Id="rId82" /><Relationship Type="http://schemas.openxmlformats.org/officeDocument/2006/relationships/hyperlink" Target="https://testing-library.com/docs/guiding-principles" TargetMode="External" Id="rId83" /><Relationship Type="http://schemas.openxmlformats.org/officeDocument/2006/relationships/hyperlink" Target="https://docs.docker.com/reference/dockerfile/" TargetMode="External" Id="rId84" /><Relationship Type="http://schemas.openxmlformats.org/officeDocument/2006/relationships/hyperlink" Target="https://docs.docker.com/build/building/best-practices/" TargetMode="External" Id="rId85" /><Relationship Type="http://schemas.openxmlformats.org/officeDocument/2006/relationships/hyperlink" Target="https://packages.debian.org/bookworm/stockfish" TargetMode="External" Id="rId86" /><Relationship Type="http://schemas.openxmlformats.org/officeDocument/2006/relationships/hyperlink" Target="https://docs.docker.com/compose/" TargetMode="External" Id="rId87" /><Relationship Type="http://schemas.openxmlformats.org/officeDocument/2006/relationships/hyperlink" Target="https://docs.docker.com/reference/compose-file/" TargetMode="External" Id="rId88" /><Relationship Type="http://schemas.openxmlformats.org/officeDocument/2006/relationships/hyperlink" Target="https://render.com/docs/background-workers" TargetMode="External" Id="rId89" /><Relationship Type="http://schemas.openxmlformats.org/officeDocument/2006/relationships/hyperlink" Target="https://brandur.org/job-drain" TargetMode="External" Id="rId90" /><Relationship Type="http://schemas.openxmlformats.org/officeDocument/2006/relationships/hyperlink" Target="https://www.postgresql.org/docs/current/sql-select.html#SQL-FOR-UPDATE-SHARE" TargetMode="External" Id="rId91" /><Relationship Type="http://schemas.openxmlformats.org/officeDocument/2006/relationships/hyperlink" Target="https://www.postgresql.org/docs/current/explicit-locking.html" TargetMode="External" Id="rId92" /><Relationship Type="http://schemas.openxmlformats.org/officeDocument/2006/relationships/hyperlink" Target="https://martin.kleppmann.com/2016/02/08/how-to-do-distributed-locking.html" TargetMode="External" Id="rId93" /><Relationship Type="http://schemas.openxmlformats.org/officeDocument/2006/relationships/hyperlink" Target="https://stripe.com/blog/idempotency" TargetMode="External" Id="rId94" /><Relationship Type="http://schemas.openxmlformats.org/officeDocument/2006/relationships/hyperlink" Target="https://aws.amazon.com/builders-library/timeouts-retries-and-backoff-with-jitter/" TargetMode="External" Id="rId95" /><Relationship Type="http://schemas.openxmlformats.org/officeDocument/2006/relationships/hyperlink" Target="https://brandur.org/idempotency-keys" TargetMode="External" Id="rId96" /><Relationship Type="http://schemas.openxmlformats.org/officeDocument/2006/relationships/hyperlink" Target="https://www.postgresql.org/docs/current/transaction-iso.html" TargetMode="External" Id="rId97" /><Relationship Type="http://schemas.openxmlformats.org/officeDocument/2006/relationships/hyperlink" Target="https://dataintensive.net/" TargetMode="External" Id="rId98" /><Relationship Type="http://schemas.openxmlformats.org/officeDocument/2006/relationships/hyperlink" Target="https://developer.mozilla.org/en-US/docs/Web/API/Page_Visibility_API" TargetMode="External" Id="rId99" /><Relationship Type="http://schemas.openxmlformats.org/officeDocument/2006/relationships/hyperlink" Target="https://developer.mozilla.org/en-US/docs/Web/API/WebSockets_API" TargetMode="External" Id="rId100" /><Relationship Type="http://schemas.openxmlformats.org/officeDocument/2006/relationships/hyperlink" Target="https://lichess.org/api" TargetMode="External" Id="rId101" /><Relationship Type="http://schemas.openxmlformats.org/officeDocument/2006/relationships/hyperlink" Target="https://lichess.org/page/api-tips" TargetMode="External" Id="rId102" /><Relationship Type="http://schemas.openxmlformats.org/officeDocument/2006/relationships/hyperlink" Target="https://www.chess.com/news/view/published-data-api" TargetMode="External" Id="rId103" /><Relationship Type="http://schemas.openxmlformats.org/officeDocument/2006/relationships/hyperlink" Target="https://www.python-httpx.org/quickstart/#streaming-responses" TargetMode="External" Id="rId104" /><Relationship Type="http://schemas.openxmlformats.org/officeDocument/2006/relationships/hyperlink" Target="https://github.com/ndjson/ndjson-spec" TargetMode="External" Id="rId105" /><Relationship Type="http://schemas.openxmlformats.org/officeDocument/2006/relationships/hyperlink" Target="https://cheatsheetseries.owasp.org/cheatsheets/Input_Validation_Cheat_Sheet.html" TargetMode="External" Id="rId106" /><Relationship Type="http://schemas.openxmlformats.org/officeDocument/2006/relationships/hyperlink" Target="https://python-chess.readthedocs.io/en/latest/pgn.html" TargetMode="External" Id="rId107" /><Relationship Type="http://schemas.openxmlformats.org/officeDocument/2006/relationships/hyperlink" Target="https://python-chess.readthedocs.io/en/latest/core.html" TargetMode="External" Id="rId108" /><Relationship Type="http://schemas.openxmlformats.org/officeDocument/2006/relationships/hyperlink" Target="https://python-chess.readthedocs.io/en/latest/engine.html" TargetMode="External" Id="rId109" /><Relationship Type="http://schemas.openxmlformats.org/officeDocument/2006/relationships/hyperlink" Target="https://github.com/niklasf/python-chess" TargetMode="External" Id="rId110" /><Relationship Type="http://schemas.openxmlformats.org/officeDocument/2006/relationships/hyperlink" Target="https://www.chessprogramming.org/Centipawns" TargetMode="External" Id="rId111" /><Relationship Type="http://schemas.openxmlformats.org/officeDocument/2006/relationships/hyperlink" Target="https://www.chessprogramming.org/Principal_Variation" TargetMode="External" Id="rId112" /><Relationship Type="http://schemas.openxmlformats.org/officeDocument/2006/relationships/hyperlink" Target="https://lichess.org/page/accuracy" TargetMode="External" Id="rId113" /><Relationship Type="http://schemas.openxmlformats.org/officeDocument/2006/relationships/hyperlink" Target="https://lichess.org/practice/fundamental-tactics/the-fork/Qj281y1p" TargetMode="External" Id="rId114" /><Relationship Type="http://schemas.openxmlformats.org/officeDocument/2006/relationships/hyperlink" Target="https://lichess.org/training/themes" TargetMode="External" Id="rId115" /><Relationship Type="http://schemas.openxmlformats.org/officeDocument/2006/relationships/hyperlink" Target="https://www.chessprogramming.org/Point_Value" TargetMode="External" Id="rId116" /><Relationship Type="http://schemas.openxmlformats.org/officeDocument/2006/relationships/hyperlink" Target="https://aima.cs.berkeley.edu/" TargetMode="External" Id="rId117" /><Relationship Type="http://schemas.openxmlformats.org/officeDocument/2006/relationships/hyperlink" Target="https://www.maiachess.com/" TargetMode="External" Id="rId118" /><Relationship Type="http://schemas.openxmlformats.org/officeDocument/2006/relationships/hyperlink" Target="https://www.chessprogramming.org/Stockfish_NNUE" TargetMode="External" Id="rId119" /><Relationship Type="http://schemas.openxmlformats.org/officeDocument/2006/relationships/hyperlink" Target="https://developers.google.com/machine-learning/crash-course/classification/accuracy-precision-recall" TargetMode="External" Id="rId120" /><Relationship Type="http://schemas.openxmlformats.org/officeDocument/2006/relationships/hyperlink" Target="https://pair.withgoogle.com/guidebook/" TargetMode="External" Id="rId121" /><Relationship Type="http://schemas.openxmlformats.org/officeDocument/2006/relationships/hyperlink" Target="https://ehudreiter.com/2016/12/18/nlg-vs-templates/" TargetMode="External" Id="rId122" /><Relationship Type="http://schemas.openxmlformats.org/officeDocument/2006/relationships/hyperlink" Target="https://database.lichess.org/#puzzles" TargetMode="External" Id="rId123" /><Relationship Type="http://schemas.openxmlformats.org/officeDocument/2006/relationships/hyperlink" Target="https://en.wikipedia.org/wiki/Reservoir_sampling" TargetMode="External" Id="rId124" /><Relationship Type="http://schemas.openxmlformats.org/officeDocument/2006/relationships/hyperlink" Target="https://python-zstandard.readthedocs.io/" TargetMode="External" Id="rId125" /><Relationship Type="http://schemas.openxmlformats.org/officeDocument/2006/relationships/hyperlink" Target="https://arxiv.org/abs/1803.09010" TargetMode="External" Id="rId126" /><Relationship Type="http://schemas.openxmlformats.org/officeDocument/2006/relationships/hyperlink" Target="https://en.wikipedia.org/wiki/Elo_rating_system#Theory" TargetMode="External" Id="rId127" /><Relationship Type="http://schemas.openxmlformats.org/officeDocument/2006/relationships/hyperlink" Target="https://www.fi.muni.cz/~xpelanek/publications/CAE-elo.pdf" TargetMode="External" Id="rId128" /><Relationship Type="http://schemas.openxmlformats.org/officeDocument/2006/relationships/hyperlink" Target="https://en.wikipedia.org/wiki/Zone_of_proximal_development" TargetMode="External" Id="rId129" /><Relationship Type="http://schemas.openxmlformats.org/officeDocument/2006/relationships/hyperlink" Target="https://en.wikipedia.org/wiki/Spaced_repetition" TargetMode="External" Id="rId130" /><Relationship Type="http://schemas.openxmlformats.org/officeDocument/2006/relationships/hyperlink" Target="https://developers.google.com/machine-learning/crash-course/classification/accuracy-precision-recall" TargetMode="External" Id="rId131" /><Relationship Type="http://schemas.openxmlformats.org/officeDocument/2006/relationships/hyperlink" Target="https://en.wikipedia.org/wiki/Binomial_proportion_confidence_interval#Wilson_score_interval" TargetMode="External" Id="rId132" /><Relationship Type="http://schemas.openxmlformats.org/officeDocument/2006/relationships/hyperlink" Target="https://en.wikipedia.org/wiki/Cohen%27s_kappa" TargetMode="External" Id="rId133" /><Relationship Type="http://schemas.openxmlformats.org/officeDocument/2006/relationships/hyperlink" Target="https://en.wikipedia.org/wiki/Leakage_(machine_learning)" TargetMode="External" Id="rId134" /><Relationship Type="http://schemas.openxmlformats.org/officeDocument/2006/relationships/hyperlink" Target="https://scikit-learn.org/stable/common_pitfalls.html" TargetMode="External" Id="rId135" /><Relationship Type="http://schemas.openxmlformats.org/officeDocument/2006/relationships/hyperlink" Target="https://scikit-learn.org/stable/modules/calibration.html" TargetMode="External" Id="rId136" /><Relationship Type="http://schemas.openxmlformats.org/officeDocument/2006/relationships/hyperlink" Target="https://en.wikipedia.org/wiki/Brier_score" TargetMode="External" Id="rId137" /><Relationship Type="http://schemas.openxmlformats.org/officeDocument/2006/relationships/hyperlink" Target="https://en.wikipedia.org/wiki/Confounding" TargetMode="External" Id="rId138" /><Relationship Type="http://schemas.openxmlformats.org/officeDocument/2006/relationships/hyperlink" Target="https://ies.ed.gov/ncee/wwc/Handbooks" TargetMode="External" Id="rId139" /><Relationship Type="http://schemas.openxmlformats.org/officeDocument/2006/relationships/hyperlink" Target="https://render.com/docs" TargetMode="External" Id="rId140" /><Relationship Type="http://schemas.openxmlformats.org/officeDocument/2006/relationships/hyperlink" Target="https://render.com/docs/web-services" TargetMode="External" Id="rId141" /><Relationship Type="http://schemas.openxmlformats.org/officeDocument/2006/relationships/hyperlink" Target="https://render.com/docs/free" TargetMode="External" Id="rId142" /><Relationship Type="http://schemas.openxmlformats.org/officeDocument/2006/relationships/hyperlink" Target="https://render.com/docs/blueprint-spec" TargetMode="External" Id="rId143" /><Relationship Type="http://schemas.openxmlformats.org/officeDocument/2006/relationships/hyperlink" Target="https://render.com/docs/deploys" TargetMode="External" Id="rId144" /><Relationship Type="http://schemas.openxmlformats.org/officeDocument/2006/relationships/hyperlink" Target="https://vercel.com/docs/frameworks/frontend/vite" TargetMode="External" Id="rId145" /><Relationship Type="http://schemas.openxmlformats.org/officeDocument/2006/relationships/hyperlink" Target="https://vercel.com/docs/rewrites" TargetMode="External" Id="rId146" /><Relationship Type="http://schemas.openxmlformats.org/officeDocument/2006/relationships/hyperlink" Target="https://docs.github.com/en/actions" TargetMode="External" Id="rId147" /><Relationship Type="http://schemas.openxmlformats.org/officeDocument/2006/relationships/hyperlink" Target="https://docs.github.com/en/actions/use-cases-and-examples/using-containerized-services/creating-postgresql-service-containers" TargetMode="External" Id="rId148" /><Relationship Type="http://schemas.openxmlformats.org/officeDocument/2006/relationships/hyperlink" Target="https://github.com/astral-sh/setup-uv" TargetMode="External" Id="rId149" /><Relationship Type="http://schemas.openxmlformats.org/officeDocument/2006/relationships/hyperlink" Target="https://docs.github.com/en/repositories/configuring-branches-and-merges-in-your-repository/managing-protected-branches/about-protected-branches" TargetMode="External" Id="rId150" /><Relationship Type="http://schemas.openxmlformats.org/officeDocument/2006/relationships/hyperlink" Target="https://owasp.org/www-project-top-ten/" TargetMode="External" Id="rId151" /><Relationship Type="http://schemas.openxmlformats.org/officeDocument/2006/relationships/hyperlink" Target="https://owasp.org/API-Security/editions/2023/en/0x11-t10/" TargetMode="External" Id="rId152" /><Relationship Type="http://schemas.openxmlformats.org/officeDocument/2006/relationships/hyperlink" Target="https://developer.mozilla.org/en-US/docs/Web/HTTP/CSP" TargetMode="External" Id="rId153" /><Relationship Type="http://schemas.openxmlformats.org/officeDocument/2006/relationships/hyperlink" Target="https://docs.github.com/en/code-security/dependabot/dependabot-alerts/about-dependabot-alerts" TargetMode="External" Id="rId154" /><Relationship Type="http://schemas.openxmlformats.org/officeDocument/2006/relationships/hyperlink" Target="https://ico.org.uk/for-organisations/uk-gdpr-guidance-and-resources/data-protection-principles/a-guide-to-the-data-protection-principles/data-minimisation/" TargetMode="External" Id="rId155" /><Relationship Type="http://schemas.openxmlformats.org/officeDocument/2006/relationships/hyperlink" Target="https://owasp.org/www-project-top-10-privacy-risks/" TargetMode="External" Id="rId156" /><Relationship Type="http://schemas.openxmlformats.org/officeDocument/2006/relationships/hyperlink" Target="https://sre.google/sre-book/monitoring-distributed-systems/" TargetMode="External" Id="rId157" /><Relationship Type="http://schemas.openxmlformats.org/officeDocument/2006/relationships/hyperlink" Target="https://docs.python.org/3/howto/logging.html" TargetMode="External" Id="rId158" /><Relationship Type="http://schemas.openxmlformats.org/officeDocument/2006/relationships/hyperlink" Target="https://render.com/docs/logging" TargetMode="External" Id="rId159" /><Relationship Type="http://schemas.openxmlformats.org/officeDocument/2006/relationships/hyperlink" Target="https://sre.google/sre-book/service-level-objectives/" TargetMode="External" Id="rId160" /><Relationship Type="http://schemas.openxmlformats.org/officeDocument/2006/relationships/hyperlink" Target="https://grafana.com/docs/k6/latest/" TargetMode="External" Id="rId161" /><Relationship Type="http://schemas.openxmlformats.org/officeDocument/2006/relationships/hyperlink" Target="https://www.w3.org/WAI/fundamentals/accessibility-intro/" TargetMode="External" Id="rId162" /><Relationship Type="http://schemas.openxmlformats.org/officeDocument/2006/relationships/hyperlink" Target="https://www.w3.org/WAI/ARIA/apg/patterns/dialog-modal/" TargetMode="External" Id="rId163" /><Relationship Type="http://schemas.openxmlformats.org/officeDocument/2006/relationships/hyperlink" Target="https://webaim.org/resources/contrastchecker/" TargetMode="External" Id="rId164" /><Relationship Type="http://schemas.openxmlformats.org/officeDocument/2006/relationships/hyperlink" Target="https://choosealicense.com/" TargetMode="External" Id="rId165" /><Relationship Type="http://schemas.openxmlformats.org/officeDocument/2006/relationships/hyperlink" Target="https://www.gnu.org/licenses/gpl-3.0.html" TargetMode="External" Id="rId166" /><Relationship Type="http://schemas.openxmlformats.org/officeDocument/2006/relationships/hyperlink" Target="https://www.gnu.org/licenses/gpl-faq.html" TargetMode="External" Id="rId167" /><Relationship Type="http://schemas.openxmlformats.org/officeDocument/2006/relationships/hyperlink" Target="https://github.com/official-stockfish/Stockfish/blob/master/Copying.txt" TargetMode="External" Id="rId168" /><Relationship Type="http://schemas.openxmlformats.org/officeDocument/2006/relationships/hyperlink" Target="https://platform.claude.com/docs" TargetMode="External" Id="rId169" /><Relationship Type="http://schemas.openxmlformats.org/officeDocument/2006/relationships/hyperlink" Target="https://github.com/anthropics/anthropic-sdk-python" TargetMode="External" Id="rId170" /><Relationship Type="http://schemas.openxmlformats.org/officeDocument/2006/relationships/hyperlink" Target="https://platform.claude.com/docs/en/build-with-claude/structured-outputs" TargetMode="External" Id="rId171" /><Relationship Type="http://schemas.openxmlformats.org/officeDocument/2006/relationships/hyperlink" Target="https://platform.claude.com/docs/en/build-with-claude/prompt-engineering/overview" TargetMode="External" Id="rId172" /><Relationship Type="http://schemas.openxmlformats.org/officeDocument/2006/relationships/hyperlink" Target="https://www.anthropic.com/pricing" TargetMode="External" Id="rId173" /><Relationship Type="http://schemas.openxmlformats.org/officeDocument/2006/relationships/hyperlink" Target="https://scikit-learn.org/stable/modules/linear_model.html#logistic-regression" TargetMode="External" Id="rId174" /><Relationship Type="http://schemas.openxmlformats.org/officeDocument/2006/relationships/hyperlink" Target="https://link.springer.com/article/10.1007/BF01099821" TargetMode="External" Id="rId175" /><Relationship Type="http://schemas.openxmlformats.org/officeDocument/2006/relationships/hyperlink" Target="https://docs.github.com/en/repositories/managing-your-repositorys-settings-and-features/customizing-your-repository/about-readmes" TargetMode="External" Id="rId176" /><Relationship Type="http://schemas.openxmlformats.org/officeDocument/2006/relationships/hyperlink" Target="https://cognitect.com/blog/2011/11/15/documenting-architecture-decisions" TargetMode="External" Id="rId177" /><Relationship Type="http://schemas.openxmlformats.org/officeDocument/2006/relationships/hyperlink" Target="https://www.screentogif.com/" TargetMode="External" Id="rId178" /><Relationship Type="http://schemas.openxmlformats.org/officeDocument/2006/relationships/hyperlink" Target="https://docs.github.com/en/pull-requests/collaborating-with-pull-requests/addressing-merge-conflicts/resolving-a-merge-conflict-using-the-command-line" TargetMode="External" Id="rId179" /><Relationship Type="http://schemas.openxmlformats.org/officeDocument/2006/relationships/hyperlink" Target="https://git-scm.com/book/en/v2/Distributed-Git-Distributed-Workflows" TargetMode="External" Id="rId180" /><Relationship Type="http://schemas.openxmlformats.org/officeDocument/2006/relationships/hyperlink" Target="https://learngitbranching.js.org/" TargetMode="External" Id="rId181" /></Relationships>
</file>

<file path=xl/worksheets/sheet1.xml><?xml version="1.0" encoding="utf-8"?>
<worksheet xmlns="http://schemas.openxmlformats.org/spreadsheetml/2006/main">
  <sheetPr>
    <tabColor rgb="001F3864"/>
    <outlinePr summaryBelow="1" summaryRight="1"/>
    <pageSetUpPr/>
  </sheetPr>
  <dimension ref="A1:C50"/>
  <sheetViews>
    <sheetView showGridLines="0" workbookViewId="0">
      <pane ySplit="3" topLeftCell="A4" activePane="bottomLeft" state="frozen"/>
      <selection pane="bottomLeft" activeCell="A1" sqref="A1"/>
    </sheetView>
  </sheetViews>
  <sheetFormatPr baseColWidth="8" defaultRowHeight="15"/>
  <cols>
    <col width="3" customWidth="1" min="1" max="1"/>
    <col width="30" customWidth="1" min="2" max="2"/>
    <col width="110" customWidth="1" min="3" max="3"/>
  </cols>
  <sheetData>
    <row r="1">
      <c r="B1" s="1" t="inlineStr">
        <is>
          <t>ChessLab: complete build and learning plan</t>
        </is>
      </c>
    </row>
    <row r="2">
      <c r="B2" s="2" t="inlineStr">
        <is>
          <t>From your current static chess AI to a deployed full-stack AI learning app. Every step, every command, every file, and the lesson behind it.</t>
        </is>
      </c>
    </row>
    <row r="4" ht="20" customHeight="1">
      <c r="B4" s="3" t="inlineStr">
        <is>
          <t>How to use this workbook</t>
        </is>
      </c>
      <c r="C4" s="4" t="n"/>
    </row>
    <row r="5" ht="16.6" customHeight="1">
      <c r="B5" s="5" t="inlineStr">
        <is>
          <t>1. Dashboard</t>
        </is>
      </c>
      <c r="C5" s="6" t="inlineStr">
        <is>
          <t>Your progress by phase, updated automatically from the Tasks sheet. Set your weekly hours to see an estimated finish.</t>
        </is>
      </c>
    </row>
    <row r="6" ht="29.2" customHeight="1">
      <c r="B6" s="5" t="inlineStr">
        <is>
          <t>2. Tasks</t>
        </is>
      </c>
      <c r="C6" s="6" t="inlineStr">
        <is>
          <t>The plan: 178 small steps in 23 phases. Each row says what to do, the exact commands, which code file to use, which lesson explains it, and how you know it is done. Work top to bottom.</t>
        </is>
      </c>
    </row>
    <row r="7" ht="29.2" customHeight="1">
      <c r="B7" s="5" t="inlineStr">
        <is>
          <t>3. Lessons / Lesson Notes</t>
        </is>
      </c>
      <c r="C7" s="6" t="inlineStr">
        <is>
          <t>58 lessons that teach the WHY and HOW behind each step, with self-check questions and free resources. Tasks link straight to the right lesson.</t>
        </is>
      </c>
    </row>
    <row r="8" ht="16.6" customHeight="1">
      <c r="B8" s="5" t="inlineStr">
        <is>
          <t>4. Code Index / Code</t>
        </is>
      </c>
      <c r="C8" s="6" t="inlineStr">
        <is>
          <t>Every source file, line by line, ready to copy into the path shown. Tasks link straight to the right file.</t>
        </is>
      </c>
    </row>
    <row r="9" ht="16.6" customHeight="1">
      <c r="B9" s="5" t="inlineStr">
        <is>
          <t>5. API Reference, Config &amp; Env</t>
        </is>
      </c>
      <c r="C9" s="6" t="inlineStr">
        <is>
          <t>Every endpoint, environment variable and port in one place.</t>
        </is>
      </c>
    </row>
    <row r="10" ht="16.6" customHeight="1">
      <c r="B10" s="5" t="inlineStr">
        <is>
          <t>6. Checklists</t>
        </is>
      </c>
      <c r="C10" s="6" t="inlineStr">
        <is>
          <t>Security, privacy, deployment verification, engineering, AI evidence and portfolio checks for the release.</t>
        </is>
      </c>
    </row>
    <row r="11" ht="29.2" customHeight="1">
      <c r="B11" s="5" t="inlineStr">
        <is>
          <t>7. Troubleshooting</t>
        </is>
      </c>
      <c r="C11" s="6" t="inlineStr">
        <is>
          <t>Symptoms, causes and fixes for the problems you are most likely to hit (several were hit for real while preparing this plan).</t>
        </is>
      </c>
    </row>
    <row r="12" ht="29.2" customHeight="1">
      <c r="B12" s="5" t="inlineStr">
        <is>
          <t>8. Glossary, Resources, Interview Prep, Decisions</t>
        </is>
      </c>
      <c r="C12" s="6" t="inlineStr">
        <is>
          <t>Look up terms, find all links in one list, practise interview answers, and see how this plan differs from PROJECT_PLAN.md.</t>
        </is>
      </c>
    </row>
    <row r="14" ht="20" customHeight="1">
      <c r="B14" s="3" t="inlineStr">
        <is>
          <t>What you edit (legend)</t>
        </is>
      </c>
      <c r="C14" s="4" t="n"/>
    </row>
    <row r="15" ht="29.2" customHeight="1">
      <c r="B15" s="7" t="inlineStr">
        <is>
          <t>Yellow cells</t>
        </is>
      </c>
      <c r="C15" s="8" t="inlineStr">
        <is>
          <t>The only cells you edit: Status (dropdown), Date done, My notes on Tasks and Lessons; hours per week on the Dashboard; Done/Practised columns on Checklists and Interview Prep. Blue text = your input.</t>
        </is>
      </c>
    </row>
    <row r="16" ht="29.2" customHeight="1">
      <c r="B16" s="5" t="inlineStr">
        <is>
          <t>Status values</t>
        </is>
      </c>
      <c r="C16" s="9" t="inlineStr">
        <is>
          <t>Not started · In progress · Done · Skipped · Blocked. Rows colour themselves: green Done, amber In progress, red Blocked, grey Skipped.</t>
        </is>
      </c>
    </row>
    <row r="17" ht="29.2" customHeight="1">
      <c r="B17" s="5" t="inlineStr">
        <is>
          <t>Example filled row</t>
        </is>
      </c>
      <c r="C17" s="9" t="inlineStr">
        <is>
          <t>Status: Done   ·   Date done: 2026-10-24   ·   My notes: 'Pushed after a pull --rebase; Docker needed a restart after enabling WSL2.'</t>
        </is>
      </c>
    </row>
    <row r="18" ht="29.2" customHeight="1">
      <c r="B18" s="5" t="inlineStr">
        <is>
          <t>Kinds of task</t>
        </is>
      </c>
      <c r="C18" s="9" t="inlineStr">
        <is>
          <t>Learn (study a lesson), Setup (install or configure), Build (write code), Test (prove it works), Deploy (put it live), Doc (write for readers).</t>
        </is>
      </c>
    </row>
    <row r="19" ht="29.2" customHeight="1">
      <c r="B19" s="5" t="inlineStr">
        <is>
          <t>Core vs Stretch</t>
        </is>
      </c>
      <c r="C19" s="9" t="inlineStr">
        <is>
          <t>Core phases G0 and P0-P14 are the portfolio release (blue bands). Stretch phases S1-S7 are optional extras (green bands), fully specified for later.</t>
        </is>
      </c>
    </row>
    <row r="20" ht="29.2" customHeight="1">
      <c r="B20" s="5" t="inlineStr">
        <is>
          <t>Owners</t>
        </is>
      </c>
      <c r="C20" s="9" t="inlineStr">
        <is>
          <t>Each step is owned by Srikanth (green) or Siva prasad (blue). Both (grey) means each of you does it on your own laptop. Hours are balanced inside every phase; see the team split on the Dashboard.</t>
        </is>
      </c>
    </row>
    <row r="21" ht="29.2" customHeight="1">
      <c r="B21" s="5" t="inlineStr">
        <is>
          <t>Git</t>
        </is>
      </c>
      <c r="C21" s="9" t="inlineStr">
        <is>
          <t>One shared repository, everyone pushes to main. Before a step: git pull --rebase. After a step that changed files: git add -A, git commit -m "P3.05: ...", git push. Study and install steps have no Git commands.</t>
        </is>
      </c>
    </row>
    <row r="22" ht="29.2" customHeight="1">
      <c r="B22" s="5" t="inlineStr">
        <is>
          <t>'→ Code: path'</t>
        </is>
      </c>
      <c r="C22" s="9" t="inlineStr">
        <is>
          <t>In the Commands column means: open that file on the Code sheet (the 'Code file' column links to it) and copy it to that path in your repository.</t>
        </is>
      </c>
    </row>
    <row r="23" ht="29.2" customHeight="1">
      <c r="B23" s="5" t="inlineStr">
        <is>
          <t>Commands</t>
        </is>
      </c>
      <c r="C23" s="9" t="inlineStr">
        <is>
          <t>Written for Git Bash on Windows, on both laptops. Run them from the folder named in the task (usually the repo root, apps/web or services/backend). Docker commands with container paths start with MSYS_NO_PATHCONV=1 on purpose.</t>
        </is>
      </c>
    </row>
    <row r="25" ht="20" customHeight="1">
      <c r="B25" s="3" t="inlineStr">
        <is>
          <t>What you will build</t>
        </is>
      </c>
      <c r="C25" s="4" t="n"/>
    </row>
    <row r="26" ht="29.2" customHeight="1">
      <c r="B26" s="5" t="inlineStr">
        <is>
          <t>The product</t>
        </is>
      </c>
      <c r="C26" s="9" t="inlineStr">
        <is>
          <t>ChessLab: play chess against an engine in the browser, import your Lichess games, see VERIFIED missed knight forks with the line and material they win, practise the same idea on new puzzles chosen for your level, and track honest progress.</t>
        </is>
      </c>
    </row>
    <row r="27" ht="41.8" customHeight="1">
      <c r="B27" s="5" t="inlineStr">
        <is>
          <t>Architecture</t>
        </is>
      </c>
      <c r="C27" s="9" t="inlineStr">
        <is>
          <t>Browser (React + TypeScript; Stockfish WASM and your original engine in Web Workers)  →  FastAPI (validation, guest auth, ownership)  →  PostgreSQL (all data AND the job queue)  ←  Python worker (python-chess + native Stockfish: analysis and imports). Hosting: Vercel (frontend), Render (API, worker, Postgres).</t>
        </is>
      </c>
    </row>
    <row r="28" ht="41.8" customHeight="1">
      <c r="B28" s="5" t="inlineStr">
        <is>
          <t>Where the AI is</t>
        </is>
      </c>
      <c r="C28" s="9" t="inlineStr">
        <is>
          <t>Search (Stockfish, integrated) · rules + verification (your fork detector) · a learner model (per-concept Elo driving adaptive practice) · rigorous evaluation (precision/recall with intervals, calibration) · optional LLM (Claude) that only rewords verified explanations. See lesson L37.</t>
        </is>
      </c>
    </row>
    <row r="29" ht="29.2" customHeight="1">
      <c r="B29" s="5" t="inlineStr">
        <is>
          <t>Checkpoints</t>
        </is>
      </c>
      <c r="C29" s="9" t="inlineStr">
        <is>
          <t>A (end of P5): a stranger can play a full game on your public URL.   B (end of P10): play/import → review → new exercise → graded attempt, live.   Release 1.0 (end of P14): measured, documented, portfolio-ready.</t>
        </is>
      </c>
    </row>
    <row r="31" ht="20" customHeight="1">
      <c r="B31" s="3" t="inlineStr">
        <is>
          <t>How this plan relates to PROJECT_PLAN.md</t>
        </is>
      </c>
      <c r="C31" s="4" t="n"/>
    </row>
    <row r="32" ht="41.8" customHeight="1">
      <c r="B32" s="5" t="inlineStr">
        <is>
          <t>Same destination, leaner path</t>
        </is>
      </c>
      <c r="C32" s="6" t="inlineStr">
        <is>
          <t>It follows the original blueprint but applies the review's recommendations: the game is played in the browser (server re-validates the PGN), and 'done' means the Core phases. Chess.com, hanging pieces, engine comparison, the pilot and ML extensions are fully planned as Stretch phases. Details: Decisions sheet.</t>
        </is>
      </c>
    </row>
    <row r="33" ht="29.2" customHeight="1">
      <c r="B33" s="5" t="inlineStr">
        <is>
          <t>Local ports on THIS machine</t>
        </is>
      </c>
      <c r="C33" s="9" t="inlineStr">
        <is>
          <t>Other projects already use 5432 (Postgres), 8000 (API) and 5173 (Vite). ChessLab uses 5433 (Postgres), 8010 (API) and 5180 (web). See Config &amp; Env.</t>
        </is>
      </c>
    </row>
    <row r="35" ht="20" customHeight="1">
      <c r="B35" s="3" t="inlineStr">
        <is>
          <t>What was verified while building this plan</t>
        </is>
      </c>
      <c r="C35" s="4" t="n"/>
    </row>
    <row r="36" ht="41.8" customHeight="1">
      <c r="B36" s="10" t="inlineStr">
        <is>
          <t>✓ 1</t>
        </is>
      </c>
      <c r="C36" s="9" t="inlineStr">
        <is>
          <t>Repository (2026-10-22): this folder was initialised on main with a personal identity for this repository only (the global identity is the work account) and connected to github.com/msris93197-dev/ChessLab; access verified with git ls-remote. The first commit and push are step G0.03.</t>
        </is>
      </c>
    </row>
    <row r="37" ht="41.8" customHeight="1">
      <c r="B37" s="10" t="inlineStr">
        <is>
          <t>✓ 2</t>
        </is>
      </c>
      <c r="C37" s="9" t="inlineStr">
        <is>
          <t>Backend: 43 automated tests pass on Python with real PostgreSQL 16: detector logic, grading, Elo, PGN parsing, LLM guards, hanging pieces, plus API integration tests for ownership, idempotency, FOR UPDATE SKIP LOCKED (4 threads × 30 jobs, no duplicates), stale-worker fencing, cancellation, practice flow, deletion and a concurrency regression.</t>
        </is>
      </c>
    </row>
    <row r="38" ht="16.6" customHeight="1">
      <c r="B38" s="10" t="inlineStr">
        <is>
          <t>✓ 3</t>
        </is>
      </c>
      <c r="C38" s="9" t="inlineStr">
        <is>
          <t>Migrations: Alembic autogenerate created all tables from the models; 'alembic check' reported no drift.</t>
        </is>
      </c>
    </row>
    <row r="39" ht="29.2" customHeight="1">
      <c r="B39" s="10" t="inlineStr">
        <is>
          <t>✓ 4</t>
        </is>
      </c>
      <c r="C39" s="9" t="inlineStr">
        <is>
          <t>Docker: the backend image builds and contains Stockfish 15.1; the full Compose stack (db → migrations → API → worker) started and served the app.</t>
        </is>
      </c>
    </row>
    <row r="40" ht="29.2" customHeight="1">
      <c r="B40" s="10" t="inlineStr">
        <is>
          <t>✓ 5</t>
        </is>
      </c>
      <c r="C40" s="9" t="inlineStr">
        <is>
          <t>Real engine: the pipeline found a missed fork with Stockfish and produced a correct explanation; a sample game from low-strength engine self-play gave the public demo (18.Nf7 forking queen and rook).</t>
        </is>
      </c>
    </row>
    <row r="41" ht="41.8" customHeight="1">
      <c r="B41" s="10" t="inlineStr">
        <is>
          <t>✓ 6</t>
        </is>
      </c>
      <c r="C41" s="9" t="inlineStr">
        <is>
          <t>Frontend: TypeScript compiles, Vitest passes, production build succeeds, lint is clean; Playwright in Chromium passed 3 frontend journeys and 2 full-stack journeys (play → resign → background analysis → review → practice → progress, and the public demo).</t>
        </is>
      </c>
    </row>
    <row r="42" ht="29.2" customHeight="1">
      <c r="B42" s="10" t="inlineStr">
        <is>
          <t>✓ 7</t>
        </is>
      </c>
      <c r="C42" s="9" t="inlineStr">
        <is>
          <t>Live providers: the Lichess importer fetched and parsed real public games and handled 'user not found'; a 5-game import ran through the queue end to end; the Chess.com importer (stretch) fetched real games.</t>
        </is>
      </c>
    </row>
    <row r="43" ht="41.8" customHeight="1">
      <c r="B43" s="10" t="inlineStr">
        <is>
          <t>✓ 8</t>
        </is>
      </c>
      <c r="C43" s="9" t="inlineStr">
        <is>
          <t>Bugs found and fixed during verification (now lessons): a get-or-create race exposed by React StrictMode (L30), the knight-vs-rook endgame that correctly produced no finding (L35), psycopg's -1 rowcount on bulk insert, port clashes with other local projects, Git Bash path rewriting.</t>
        </is>
      </c>
    </row>
    <row r="44" ht="29.2" customHeight="1">
      <c r="B44" s="10" t="inlineStr">
        <is>
          <t>✓ 9</t>
        </is>
      </c>
      <c r="C44" s="9" t="inlineStr">
        <is>
          <t>Not verified here (needs your accounts): the actual Render and Vercel deployments, the Claude API call itself (guards are tested; the call needs your key), and the 300 MB puzzle download (the script was tested on a sample).</t>
        </is>
      </c>
    </row>
    <row r="45" ht="16.6" customHeight="1">
      <c r="B45" s="10" t="inlineStr">
        <is>
          <t>✓ 10</t>
        </is>
      </c>
      <c r="C45" s="9" t="inlineStr">
        <is>
          <t>All 192 resource links were checked and resolve.</t>
        </is>
      </c>
    </row>
    <row r="47" ht="20" customHeight="1">
      <c r="B47" s="3" t="inlineStr">
        <is>
          <t>Time and cost</t>
        </is>
      </c>
      <c r="C47" s="4" t="n"/>
    </row>
    <row r="48" ht="16.6" customHeight="1">
      <c r="B48" s="5" t="inlineStr">
        <is>
          <t>Estimated effort</t>
        </is>
      </c>
      <c r="C48" s="9">
        <f>"Core: "&amp;TEXT(Dashboard!H29,"0")&amp;" h planned + "&amp;TEXT(Dashboard!E34,"0%")&amp;" contingency = about "&amp;TEXT(Dashboard!H29*(1+Dashboard!E34),"0")&amp;" h   ·   Stretch: "&amp;TEXT(Dashboard!H30,"0")&amp;" h   ·   Lesson reading (included in Learn tasks): about "&amp;TEXT(Lessons!D62,"0")&amp;" h"</f>
        <v/>
      </c>
    </row>
    <row r="49" ht="41.8" customHeight="1">
      <c r="B49" s="5" t="inlineStr">
        <is>
          <t>Hosting</t>
        </is>
      </c>
      <c r="C49" s="9" t="inlineStr">
        <is>
          <t>Develop locally for free. From Phase 5 you need always-on Render services (web service, background worker, Postgres) because free web services sleep and free databases expire; check current prices at render.com/pricing and set a monthly ceiling. Vercel Hobby is free for personal projects. The optional Claude API (S3) is pay-per-use; set a spending limit.</t>
        </is>
      </c>
    </row>
    <row r="50" ht="29.2" customHeight="1">
      <c r="B50" s="5" t="inlineStr">
        <is>
          <t>Honesty rule</t>
        </is>
      </c>
      <c r="C50" s="9" t="inlineStr">
        <is>
          <t>Never put a number in the README, Methodology page or your resume that you did not measure. Bracketed placeholders like [N] must be replaced with real values or removed.</t>
        </is>
      </c>
    </row>
  </sheetData>
  <hyperlinks>
    <hyperlink ref="C5" location="'Dashboard'!A1" display="Your progress by phase, updated automatically from the Tasks sheet. Set your weekly hours to see an estimated finish."/>
    <hyperlink ref="C6" location="'Tasks'!A1" display="The plan: 178 small steps in 23 phases. Each row says what to do, the exact commands, which code file to use, which lesson explains it, and how you know it is done. Work top to bottom."/>
    <hyperlink ref="C7" location="'Lessons'!A1" display="58 lessons that teach the WHY and HOW behind each step, with self-check questions and free resources. Tasks link straight to the right lesson."/>
    <hyperlink ref="C8" location="'Code Index'!A1" display="Every source file, line by line, ready to copy into the path shown. Tasks link straight to the right file."/>
    <hyperlink ref="C9" location="'API Reference'!A1" display="Every endpoint, environment variable and port in one place."/>
    <hyperlink ref="C10" location="'Checklists'!A1" display="Security, privacy, deployment verification, engineering, AI evidence and portfolio checks for the release."/>
    <hyperlink ref="C11" location="'Troubleshooting'!A1" display="Symptoms, causes and fixes for the problems you are most likely to hit (several were hit for real while preparing this plan)."/>
    <hyperlink ref="C12" location="'Glossary'!A1" display="Look up terms, find all links in one list, practise interview answers, and see how this plan differs from PROJECT_PLAN.md."/>
    <hyperlink ref="C32" location="'Decisions'!A1" display="It follows the original blueprint but applies the review's recommendations: the game is played in the browser (server re-validates the PGN), and 'done' means the Core phases. Chess.com, hanging pieces, engine comparison, the pilot and ML extensions are fully planned as Stretch phases. Details: Decisions sheet."/>
  </hyperlink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47"/>
  <sheetViews>
    <sheetView workbookViewId="0">
      <pane ySplit="4" topLeftCell="A5" activePane="bottomLeft" state="frozen"/>
      <selection pane="bottomLeft" activeCell="A1" sqref="A1"/>
    </sheetView>
  </sheetViews>
  <sheetFormatPr baseColWidth="8" defaultRowHeight="15"/>
  <cols>
    <col width="8" customWidth="1" min="1" max="1"/>
    <col width="44" customWidth="1" min="2" max="2"/>
    <col width="9" customWidth="1" min="3" max="3"/>
    <col width="52" customWidth="1" min="4" max="4"/>
    <col width="9" customWidth="1" min="5" max="5"/>
    <col width="9" customWidth="1" min="6" max="6"/>
    <col width="10" customWidth="1" min="7" max="7"/>
    <col width="10" customWidth="1" min="8" max="8"/>
    <col width="11" customWidth="1" min="9" max="9"/>
    <col width="11" customWidth="1" min="10" max="10"/>
  </cols>
  <sheetData>
    <row r="1">
      <c r="A1" s="11" t="inlineStr">
        <is>
          <t>ChessLab progress dashboard</t>
        </is>
      </c>
    </row>
    <row r="2">
      <c r="A2" s="12" t="inlineStr">
        <is>
          <t>Everything below updates automatically from the Status column of the Tasks sheet. Edit only yellow cells (here: hours per week).</t>
        </is>
      </c>
    </row>
    <row r="4" ht="30" customHeight="1">
      <c r="A4" s="13" t="inlineStr">
        <is>
          <t>Phase</t>
        </is>
      </c>
      <c r="B4" s="13" t="inlineStr">
        <is>
          <t>Name</t>
        </is>
      </c>
      <c r="C4" s="13" t="inlineStr">
        <is>
          <t>Type</t>
        </is>
      </c>
      <c r="D4" s="13" t="inlineStr">
        <is>
          <t>Checkpoint / goal</t>
        </is>
      </c>
      <c r="E4" s="13" t="inlineStr">
        <is>
          <t>Tasks</t>
        </is>
      </c>
      <c r="F4" s="13" t="inlineStr">
        <is>
          <t>Done</t>
        </is>
      </c>
      <c r="G4" s="13" t="inlineStr">
        <is>
          <t>% done</t>
        </is>
      </c>
      <c r="H4" s="13" t="inlineStr">
        <is>
          <t>Est. hrs</t>
        </is>
      </c>
      <c r="I4" s="13" t="inlineStr">
        <is>
          <t>Hrs done</t>
        </is>
      </c>
      <c r="J4" s="13" t="inlineStr">
        <is>
          <t>Hrs left</t>
        </is>
      </c>
    </row>
    <row r="5" ht="29.2" customHeight="1">
      <c r="A5" s="14" t="inlineStr">
        <is>
          <t>G0</t>
        </is>
      </c>
      <c r="B5" s="14" t="inlineStr">
        <is>
          <t>Repository and team setup</t>
        </is>
      </c>
      <c r="C5" s="14" t="inlineStr">
        <is>
          <t>Core</t>
        </is>
      </c>
      <c r="D5" s="15" t="inlineStr">
        <is>
          <t>Connect this folder to GitHub, make the first push, and get Siva prasad pushing to the same repository.</t>
        </is>
      </c>
      <c r="E5" s="16">
        <f>COUNTIF(Tasks!$B$2:$B$202,A5)</f>
        <v/>
      </c>
      <c r="F5" s="16">
        <f>COUNTIFS(Tasks!$B$2:$B$202,A5,Tasks!$M$2:$M$202,"Done")+COUNTIFS(Tasks!$B$2:$B$202,A5,Tasks!$M$2:$M$202,"Skipped")</f>
        <v/>
      </c>
      <c r="G5" s="17">
        <f>IF(E5=0,0,F5/E5)</f>
        <v/>
      </c>
      <c r="H5" s="18">
        <f>SUMIF(Tasks!$B$2:$B$202,A5,Tasks!$L$2:$L$202)</f>
        <v/>
      </c>
      <c r="I5" s="18">
        <f>SUMIFS(Tasks!$L$2:$L$202,Tasks!$B$2:$B$202,A5,Tasks!$M$2:$M$202,"Done")</f>
        <v/>
      </c>
      <c r="J5" s="18">
        <f>H5-I5-SUMIFS(Tasks!$L$2:$L$202,Tasks!$B$2:$B$202,A5,Tasks!$M$2:$M$202,"Skipped")</f>
        <v/>
      </c>
    </row>
    <row r="6" ht="29.2" customHeight="1">
      <c r="A6" s="14" t="inlineStr">
        <is>
          <t>P0</t>
        </is>
      </c>
      <c r="B6" s="14" t="inlineStr">
        <is>
          <t>Orientation and tool setup</t>
        </is>
      </c>
      <c r="C6" s="14" t="inlineStr">
        <is>
          <t>Core</t>
        </is>
      </c>
      <c r="D6" s="15" t="inlineStr">
        <is>
          <t>Install every tool, create accounts, understand the target architecture.</t>
        </is>
      </c>
      <c r="E6" s="16">
        <f>COUNTIF(Tasks!$B$2:$B$202,A6)</f>
        <v/>
      </c>
      <c r="F6" s="16">
        <f>COUNTIFS(Tasks!$B$2:$B$202,A6,Tasks!$M$2:$M$202,"Done")+COUNTIFS(Tasks!$B$2:$B$202,A6,Tasks!$M$2:$M$202,"Skipped")</f>
        <v/>
      </c>
      <c r="G6" s="17">
        <f>IF(E6=0,0,F6/E6)</f>
        <v/>
      </c>
      <c r="H6" s="18">
        <f>SUMIF(Tasks!$B$2:$B$202,A6,Tasks!$L$2:$L$202)</f>
        <v/>
      </c>
      <c r="I6" s="18">
        <f>SUMIFS(Tasks!$L$2:$L$202,Tasks!$B$2:$B$202,A6,Tasks!$M$2:$M$202,"Done")</f>
        <v/>
      </c>
      <c r="J6" s="18">
        <f>H6-I6-SUMIFS(Tasks!$L$2:$L$202,Tasks!$B$2:$B$202,A6,Tasks!$M$2:$M$202,"Skipped")</f>
        <v/>
      </c>
    </row>
    <row r="7" ht="29.2" customHeight="1">
      <c r="A7" s="14" t="inlineStr">
        <is>
          <t>P1</t>
        </is>
      </c>
      <c r="B7" s="14" t="inlineStr">
        <is>
          <t>Understand and preserve the original project</t>
        </is>
      </c>
      <c r="C7" s="14" t="inlineStr">
        <is>
          <t>Core</t>
        </is>
      </c>
      <c r="D7" s="15" t="inlineStr">
        <is>
          <t>Record what exists, protect it with Git, inventory licences.</t>
        </is>
      </c>
      <c r="E7" s="16">
        <f>COUNTIF(Tasks!$B$2:$B$202,A7)</f>
        <v/>
      </c>
      <c r="F7" s="16">
        <f>COUNTIFS(Tasks!$B$2:$B$202,A7,Tasks!$M$2:$M$202,"Done")+COUNTIFS(Tasks!$B$2:$B$202,A7,Tasks!$M$2:$M$202,"Skipped")</f>
        <v/>
      </c>
      <c r="G7" s="17">
        <f>IF(E7=0,0,F7/E7)</f>
        <v/>
      </c>
      <c r="H7" s="18">
        <f>SUMIF(Tasks!$B$2:$B$202,A7,Tasks!$L$2:$L$202)</f>
        <v/>
      </c>
      <c r="I7" s="18">
        <f>SUMIFS(Tasks!$L$2:$L$202,Tasks!$B$2:$B$202,A7,Tasks!$M$2:$M$202,"Done")</f>
        <v/>
      </c>
      <c r="J7" s="18">
        <f>H7-I7-SUMIFS(Tasks!$L$2:$L$202,Tasks!$B$2:$B$202,A7,Tasks!$M$2:$M$202,"Skipped")</f>
        <v/>
      </c>
    </row>
    <row r="8" ht="29.2" customHeight="1">
      <c r="A8" s="14" t="inlineStr">
        <is>
          <t>P2</t>
        </is>
      </c>
      <c r="B8" s="14" t="inlineStr">
        <is>
          <t>Repository scaffold and local database</t>
        </is>
      </c>
      <c r="C8" s="14" t="inlineStr">
        <is>
          <t>Core</t>
        </is>
      </c>
      <c r="D8" s="15" t="inlineStr">
        <is>
          <t>Monorepo folders, frontend and backend skeletons, Postgres in Docker.</t>
        </is>
      </c>
      <c r="E8" s="16">
        <f>COUNTIF(Tasks!$B$2:$B$202,A8)</f>
        <v/>
      </c>
      <c r="F8" s="16">
        <f>COUNTIFS(Tasks!$B$2:$B$202,A8,Tasks!$M$2:$M$202,"Done")+COUNTIFS(Tasks!$B$2:$B$202,A8,Tasks!$M$2:$M$202,"Skipped")</f>
        <v/>
      </c>
      <c r="G8" s="17">
        <f>IF(E8=0,0,F8/E8)</f>
        <v/>
      </c>
      <c r="H8" s="18">
        <f>SUMIF(Tasks!$B$2:$B$202,A8,Tasks!$L$2:$L$202)</f>
        <v/>
      </c>
      <c r="I8" s="18">
        <f>SUMIFS(Tasks!$L$2:$L$202,Tasks!$B$2:$B$202,A8,Tasks!$M$2:$M$202,"Done")</f>
        <v/>
      </c>
      <c r="J8" s="18">
        <f>H8-I8-SUMIFS(Tasks!$L$2:$L$202,Tasks!$B$2:$B$202,A8,Tasks!$M$2:$M$202,"Skipped")</f>
        <v/>
      </c>
    </row>
    <row r="9" ht="29.2" customHeight="1">
      <c r="A9" s="14" t="inlineStr">
        <is>
          <t>P3</t>
        </is>
      </c>
      <c r="B9" s="14" t="inlineStr">
        <is>
          <t>Backend foundations</t>
        </is>
      </c>
      <c r="C9" s="14" t="inlineStr">
        <is>
          <t>Core</t>
        </is>
      </c>
      <c r="D9" s="15" t="inlineStr">
        <is>
          <t>Settings, database models, migrations, guest sessions, errors, health checks, first tests.</t>
        </is>
      </c>
      <c r="E9" s="16">
        <f>COUNTIF(Tasks!$B$2:$B$202,A9)</f>
        <v/>
      </c>
      <c r="F9" s="16">
        <f>COUNTIFS(Tasks!$B$2:$B$202,A9,Tasks!$M$2:$M$202,"Done")+COUNTIFS(Tasks!$B$2:$B$202,A9,Tasks!$M$2:$M$202,"Skipped")</f>
        <v/>
      </c>
      <c r="G9" s="17">
        <f>IF(E9=0,0,F9/E9)</f>
        <v/>
      </c>
      <c r="H9" s="18">
        <f>SUMIF(Tasks!$B$2:$B$202,A9,Tasks!$L$2:$L$202)</f>
        <v/>
      </c>
      <c r="I9" s="18">
        <f>SUMIFS(Tasks!$L$2:$L$202,Tasks!$B$2:$B$202,A9,Tasks!$M$2:$M$202,"Done")</f>
        <v/>
      </c>
      <c r="J9" s="18">
        <f>H9-I9-SUMIFS(Tasks!$L$2:$L$202,Tasks!$B$2:$B$202,A9,Tasks!$M$2:$M$202,"Skipped")</f>
        <v/>
      </c>
    </row>
    <row r="10" ht="29.2" customHeight="1">
      <c r="A10" s="14" t="inlineStr">
        <is>
          <t>P4</t>
        </is>
      </c>
      <c r="B10" s="14" t="inlineStr">
        <is>
          <t>Playable game in the browser</t>
        </is>
      </c>
      <c r="C10" s="14" t="inlineStr">
        <is>
          <t>Core</t>
        </is>
      </c>
      <c r="D10" s="15" t="inlineStr">
        <is>
          <t>Board, rules, Stockfish WASM opponent, your original engine, promotion, PGN export.</t>
        </is>
      </c>
      <c r="E10" s="16">
        <f>COUNTIF(Tasks!$B$2:$B$202,A10)</f>
        <v/>
      </c>
      <c r="F10" s="16">
        <f>COUNTIFS(Tasks!$B$2:$B$202,A10,Tasks!$M$2:$M$202,"Done")+COUNTIFS(Tasks!$B$2:$B$202,A10,Tasks!$M$2:$M$202,"Skipped")</f>
        <v/>
      </c>
      <c r="G10" s="17">
        <f>IF(E10=0,0,F10/E10)</f>
        <v/>
      </c>
      <c r="H10" s="18">
        <f>SUMIF(Tasks!$B$2:$B$202,A10,Tasks!$L$2:$L$202)</f>
        <v/>
      </c>
      <c r="I10" s="18">
        <f>SUMIFS(Tasks!$L$2:$L$202,Tasks!$B$2:$B$202,A10,Tasks!$M$2:$M$202,"Done")</f>
        <v/>
      </c>
      <c r="J10" s="18">
        <f>H10-I10-SUMIFS(Tasks!$L$2:$L$202,Tasks!$B$2:$B$202,A10,Tasks!$M$2:$M$202,"Skipped")</f>
        <v/>
      </c>
    </row>
    <row r="11" ht="29.2" customHeight="1">
      <c r="A11" s="14" t="inlineStr">
        <is>
          <t>P5</t>
        </is>
      </c>
      <c r="B11" s="14" t="inlineStr">
        <is>
          <t>First public deployment (thin slice)</t>
        </is>
      </c>
      <c r="C11" s="14" t="inlineStr">
        <is>
          <t>Core</t>
        </is>
      </c>
      <c r="D11" s="19" t="inlineStr">
        <is>
          <t>Checkpoint A: a stranger can play a complete game on the public URL</t>
        </is>
      </c>
      <c r="E11" s="16">
        <f>COUNTIF(Tasks!$B$2:$B$202,A11)</f>
        <v/>
      </c>
      <c r="F11" s="16">
        <f>COUNTIFS(Tasks!$B$2:$B$202,A11,Tasks!$M$2:$M$202,"Done")+COUNTIFS(Tasks!$B$2:$B$202,A11,Tasks!$M$2:$M$202,"Skipped")</f>
        <v/>
      </c>
      <c r="G11" s="17">
        <f>IF(E11=0,0,F11/E11)</f>
        <v/>
      </c>
      <c r="H11" s="18">
        <f>SUMIF(Tasks!$B$2:$B$202,A11,Tasks!$L$2:$L$202)</f>
        <v/>
      </c>
      <c r="I11" s="18">
        <f>SUMIFS(Tasks!$L$2:$L$202,Tasks!$B$2:$B$202,A11,Tasks!$M$2:$M$202,"Done")</f>
        <v/>
      </c>
      <c r="J11" s="18">
        <f>H11-I11-SUMIFS(Tasks!$L$2:$L$202,Tasks!$B$2:$B$202,A11,Tasks!$M$2:$M$202,"Skipped")</f>
        <v/>
      </c>
    </row>
    <row r="12" ht="29.2" customHeight="1">
      <c r="A12" s="14" t="inlineStr">
        <is>
          <t>P6</t>
        </is>
      </c>
      <c r="B12" s="14" t="inlineStr">
        <is>
          <t>Saving games and the durable job queue</t>
        </is>
      </c>
      <c r="C12" s="14" t="inlineStr">
        <is>
          <t>Core</t>
        </is>
      </c>
      <c r="D12" s="15" t="inlineStr">
        <is>
          <t>Server re-validates games; Postgres queue with leases; the worker process with Stockfish.</t>
        </is>
      </c>
      <c r="E12" s="16">
        <f>COUNTIF(Tasks!$B$2:$B$202,A12)</f>
        <v/>
      </c>
      <c r="F12" s="16">
        <f>COUNTIFS(Tasks!$B$2:$B$202,A12,Tasks!$M$2:$M$202,"Done")+COUNTIFS(Tasks!$B$2:$B$202,A12,Tasks!$M$2:$M$202,"Skipped")</f>
        <v/>
      </c>
      <c r="G12" s="17">
        <f>IF(E12=0,0,F12/E12)</f>
        <v/>
      </c>
      <c r="H12" s="18">
        <f>SUMIF(Tasks!$B$2:$B$202,A12,Tasks!$L$2:$L$202)</f>
        <v/>
      </c>
      <c r="I12" s="18">
        <f>SUMIFS(Tasks!$L$2:$L$202,Tasks!$B$2:$B$202,A12,Tasks!$M$2:$M$202,"Done")</f>
        <v/>
      </c>
      <c r="J12" s="18">
        <f>H12-I12-SUMIFS(Tasks!$L$2:$L$202,Tasks!$B$2:$B$202,A12,Tasks!$M$2:$M$202,"Skipped")</f>
        <v/>
      </c>
    </row>
    <row r="13" ht="29.2" customHeight="1">
      <c r="A13" s="14" t="inlineStr">
        <is>
          <t>P7</t>
        </is>
      </c>
      <c r="B13" s="14" t="inlineStr">
        <is>
          <t>Importing history: Lichess and PGN upload</t>
        </is>
      </c>
      <c r="C13" s="14" t="inlineStr">
        <is>
          <t>Core</t>
        </is>
      </c>
      <c r="D13" s="15" t="inlineStr">
        <is>
          <t>Streaming provider import, dedupe, progress, cancellation, upload validation.</t>
        </is>
      </c>
      <c r="E13" s="16">
        <f>COUNTIF(Tasks!$B$2:$B$202,A13)</f>
        <v/>
      </c>
      <c r="F13" s="16">
        <f>COUNTIFS(Tasks!$B$2:$B$202,A13,Tasks!$M$2:$M$202,"Done")+COUNTIFS(Tasks!$B$2:$B$202,A13,Tasks!$M$2:$M$202,"Skipped")</f>
        <v/>
      </c>
      <c r="G13" s="17">
        <f>IF(E13=0,0,F13/E13)</f>
        <v/>
      </c>
      <c r="H13" s="18">
        <f>SUMIF(Tasks!$B$2:$B$202,A13,Tasks!$L$2:$L$202)</f>
        <v/>
      </c>
      <c r="I13" s="18">
        <f>SUMIFS(Tasks!$L$2:$L$202,Tasks!$B$2:$B$202,A13,Tasks!$M$2:$M$202,"Done")</f>
        <v/>
      </c>
      <c r="J13" s="18">
        <f>H13-I13-SUMIFS(Tasks!$L$2:$L$202,Tasks!$B$2:$B$202,A13,Tasks!$M$2:$M$202,"Skipped")</f>
        <v/>
      </c>
    </row>
    <row r="14" ht="29.2" customHeight="1">
      <c r="A14" s="14" t="inlineStr">
        <is>
          <t>P8</t>
        </is>
      </c>
      <c r="B14" s="14" t="inlineStr">
        <is>
          <t>Tactical analysis: verified missed knight forks</t>
        </is>
      </c>
      <c r="C14" s="14" t="inlineStr">
        <is>
          <t>Core</t>
        </is>
      </c>
      <c r="D14" s="15" t="inlineStr">
        <is>
          <t>Candidate generation, engine verification, evidence records, negative tests.</t>
        </is>
      </c>
      <c r="E14" s="16">
        <f>COUNTIF(Tasks!$B$2:$B$202,A14)</f>
        <v/>
      </c>
      <c r="F14" s="16">
        <f>COUNTIFS(Tasks!$B$2:$B$202,A14,Tasks!$M$2:$M$202,"Done")+COUNTIFS(Tasks!$B$2:$B$202,A14,Tasks!$M$2:$M$202,"Skipped")</f>
        <v/>
      </c>
      <c r="G14" s="17">
        <f>IF(E14=0,0,F14/E14)</f>
        <v/>
      </c>
      <c r="H14" s="18">
        <f>SUMIF(Tasks!$B$2:$B$202,A14,Tasks!$L$2:$L$202)</f>
        <v/>
      </c>
      <c r="I14" s="18">
        <f>SUMIFS(Tasks!$L$2:$L$202,Tasks!$B$2:$B$202,A14,Tasks!$M$2:$M$202,"Done")</f>
        <v/>
      </c>
      <c r="J14" s="18">
        <f>H14-I14-SUMIFS(Tasks!$L$2:$L$202,Tasks!$B$2:$B$202,A14,Tasks!$M$2:$M$202,"Skipped")</f>
        <v/>
      </c>
    </row>
    <row r="15" ht="29.2" customHeight="1">
      <c r="A15" s="14" t="inlineStr">
        <is>
          <t>P9</t>
        </is>
      </c>
      <c r="B15" s="14" t="inlineStr">
        <is>
          <t>Explanations, review screen and public demo</t>
        </is>
      </c>
      <c r="C15" s="14" t="inlineStr">
        <is>
          <t>Core</t>
        </is>
      </c>
      <c r="D15" s="15" t="inlineStr">
        <is>
          <t>Deterministic templates, replayable evidence, precomputed demo.</t>
        </is>
      </c>
      <c r="E15" s="16">
        <f>COUNTIF(Tasks!$B$2:$B$202,A15)</f>
        <v/>
      </c>
      <c r="F15" s="16">
        <f>COUNTIFS(Tasks!$B$2:$B$202,A15,Tasks!$M$2:$M$202,"Done")+COUNTIFS(Tasks!$B$2:$B$202,A15,Tasks!$M$2:$M$202,"Skipped")</f>
        <v/>
      </c>
      <c r="G15" s="17">
        <f>IF(E15=0,0,F15/E15)</f>
        <v/>
      </c>
      <c r="H15" s="18">
        <f>SUMIF(Tasks!$B$2:$B$202,A15,Tasks!$L$2:$L$202)</f>
        <v/>
      </c>
      <c r="I15" s="18">
        <f>SUMIFS(Tasks!$L$2:$L$202,Tasks!$B$2:$B$202,A15,Tasks!$M$2:$M$202,"Done")</f>
        <v/>
      </c>
      <c r="J15" s="18">
        <f>H15-I15-SUMIFS(Tasks!$L$2:$L$202,Tasks!$B$2:$B$202,A15,Tasks!$M$2:$M$202,"Skipped")</f>
        <v/>
      </c>
    </row>
    <row r="16" ht="29.2" customHeight="1">
      <c r="A16" s="14" t="inlineStr">
        <is>
          <t>P10</t>
        </is>
      </c>
      <c r="B16" s="14" t="inlineStr">
        <is>
          <t>Puzzle dataset and targeted practice</t>
        </is>
      </c>
      <c r="C16" s="14" t="inlineStr">
        <is>
          <t>Core</t>
        </is>
      </c>
      <c r="D16" s="19" t="inlineStr">
        <is>
          <t>Checkpoint B: play/import -&gt; review -&gt; new exercise -&gt; graded attempt, live</t>
        </is>
      </c>
      <c r="E16" s="16">
        <f>COUNTIF(Tasks!$B$2:$B$202,A16)</f>
        <v/>
      </c>
      <c r="F16" s="16">
        <f>COUNTIFS(Tasks!$B$2:$B$202,A16,Tasks!$M$2:$M$202,"Done")+COUNTIFS(Tasks!$B$2:$B$202,A16,Tasks!$M$2:$M$202,"Skipped")</f>
        <v/>
      </c>
      <c r="G16" s="17">
        <f>IF(E16=0,0,F16/E16)</f>
        <v/>
      </c>
      <c r="H16" s="18">
        <f>SUMIF(Tasks!$B$2:$B$202,A16,Tasks!$L$2:$L$202)</f>
        <v/>
      </c>
      <c r="I16" s="18">
        <f>SUMIFS(Tasks!$L$2:$L$202,Tasks!$B$2:$B$202,A16,Tasks!$M$2:$M$202,"Done")</f>
        <v/>
      </c>
      <c r="J16" s="18">
        <f>H16-I16-SUMIFS(Tasks!$L$2:$L$202,Tasks!$B$2:$B$202,A16,Tasks!$M$2:$M$202,"Skipped")</f>
        <v/>
      </c>
    </row>
    <row r="17" ht="29.2" customHeight="1">
      <c r="A17" s="14" t="inlineStr">
        <is>
          <t>P11</t>
        </is>
      </c>
      <c r="B17" s="14" t="inlineStr">
        <is>
          <t>Personalisation and honest progress</t>
        </is>
      </c>
      <c r="C17" s="14" t="inlineStr">
        <is>
          <t>Core</t>
        </is>
      </c>
      <c r="D17" s="15" t="inlineStr">
        <is>
          <t>Per-concept Elo, adaptive selection, saved predictions, progress page.</t>
        </is>
      </c>
      <c r="E17" s="16">
        <f>COUNTIF(Tasks!$B$2:$B$202,A17)</f>
        <v/>
      </c>
      <c r="F17" s="16">
        <f>COUNTIFS(Tasks!$B$2:$B$202,A17,Tasks!$M$2:$M$202,"Done")+COUNTIFS(Tasks!$B$2:$B$202,A17,Tasks!$M$2:$M$202,"Skipped")</f>
        <v/>
      </c>
      <c r="G17" s="17">
        <f>IF(E17=0,0,F17/E17)</f>
        <v/>
      </c>
      <c r="H17" s="18">
        <f>SUMIF(Tasks!$B$2:$B$202,A17,Tasks!$L$2:$L$202)</f>
        <v/>
      </c>
      <c r="I17" s="18">
        <f>SUMIFS(Tasks!$L$2:$L$202,Tasks!$B$2:$B$202,A17,Tasks!$M$2:$M$202,"Done")</f>
        <v/>
      </c>
      <c r="J17" s="18">
        <f>H17-I17-SUMIFS(Tasks!$L$2:$L$202,Tasks!$B$2:$B$202,A17,Tasks!$M$2:$M$202,"Skipped")</f>
        <v/>
      </c>
    </row>
    <row r="18" ht="29.2" customHeight="1">
      <c r="A18" s="14" t="inlineStr">
        <is>
          <t>P12</t>
        </is>
      </c>
      <c r="B18" s="14" t="inlineStr">
        <is>
          <t>Evaluation of the detector</t>
        </is>
      </c>
      <c r="C18" s="14" t="inlineStr">
        <is>
          <t>Core</t>
        </is>
      </c>
      <c r="D18" s="15" t="inlineStr">
        <is>
          <t>Independent labels, precision/recall with intervals, puzzle agreement, report.</t>
        </is>
      </c>
      <c r="E18" s="16">
        <f>COUNTIF(Tasks!$B$2:$B$202,A18)</f>
        <v/>
      </c>
      <c r="F18" s="16">
        <f>COUNTIFS(Tasks!$B$2:$B$202,A18,Tasks!$M$2:$M$202,"Done")+COUNTIFS(Tasks!$B$2:$B$202,A18,Tasks!$M$2:$M$202,"Skipped")</f>
        <v/>
      </c>
      <c r="G18" s="17">
        <f>IF(E18=0,0,F18/E18)</f>
        <v/>
      </c>
      <c r="H18" s="18">
        <f>SUMIF(Tasks!$B$2:$B$202,A18,Tasks!$L$2:$L$202)</f>
        <v/>
      </c>
      <c r="I18" s="18">
        <f>SUMIFS(Tasks!$L$2:$L$202,Tasks!$B$2:$B$202,A18,Tasks!$M$2:$M$202,"Done")</f>
        <v/>
      </c>
      <c r="J18" s="18">
        <f>H18-I18-SUMIFS(Tasks!$L$2:$L$202,Tasks!$B$2:$B$202,A18,Tasks!$M$2:$M$202,"Skipped")</f>
        <v/>
      </c>
    </row>
    <row r="19" ht="29.2" customHeight="1">
      <c r="A19" s="14" t="inlineStr">
        <is>
          <t>P13</t>
        </is>
      </c>
      <c r="B19" s="14" t="inlineStr">
        <is>
          <t>Hardening: security, privacy, operations</t>
        </is>
      </c>
      <c r="C19" s="14" t="inlineStr">
        <is>
          <t>Core</t>
        </is>
      </c>
      <c r="D19" s="15" t="inlineStr">
        <is>
          <t>Limits, CSP, retention, backups/restore, logs, capacity measurement.</t>
        </is>
      </c>
      <c r="E19" s="16">
        <f>COUNTIF(Tasks!$B$2:$B$202,A19)</f>
        <v/>
      </c>
      <c r="F19" s="16">
        <f>COUNTIFS(Tasks!$B$2:$B$202,A19,Tasks!$M$2:$M$202,"Done")+COUNTIFS(Tasks!$B$2:$B$202,A19,Tasks!$M$2:$M$202,"Skipped")</f>
        <v/>
      </c>
      <c r="G19" s="17">
        <f>IF(E19=0,0,F19/E19)</f>
        <v/>
      </c>
      <c r="H19" s="18">
        <f>SUMIF(Tasks!$B$2:$B$202,A19,Tasks!$L$2:$L$202)</f>
        <v/>
      </c>
      <c r="I19" s="18">
        <f>SUMIFS(Tasks!$L$2:$L$202,Tasks!$B$2:$B$202,A19,Tasks!$M$2:$M$202,"Done")</f>
        <v/>
      </c>
      <c r="J19" s="18">
        <f>H19-I19-SUMIFS(Tasks!$L$2:$L$202,Tasks!$B$2:$B$202,A19,Tasks!$M$2:$M$202,"Skipped")</f>
        <v/>
      </c>
    </row>
    <row r="20" ht="29.2" customHeight="1">
      <c r="A20" s="14" t="inlineStr">
        <is>
          <t>P14</t>
        </is>
      </c>
      <c r="B20" s="14" t="inlineStr">
        <is>
          <t>Polish, documentation and portfolio package</t>
        </is>
      </c>
      <c r="C20" s="14" t="inlineStr">
        <is>
          <t>Core</t>
        </is>
      </c>
      <c r="D20" s="19" t="inlineStr">
        <is>
          <t>Release 1.0: everything above live, measured and documented</t>
        </is>
      </c>
      <c r="E20" s="16">
        <f>COUNTIF(Tasks!$B$2:$B$202,A20)</f>
        <v/>
      </c>
      <c r="F20" s="16">
        <f>COUNTIFS(Tasks!$B$2:$B$202,A20,Tasks!$M$2:$M$202,"Done")+COUNTIFS(Tasks!$B$2:$B$202,A20,Tasks!$M$2:$M$202,"Skipped")</f>
        <v/>
      </c>
      <c r="G20" s="17">
        <f>IF(E20=0,0,F20/E20)</f>
        <v/>
      </c>
      <c r="H20" s="18">
        <f>SUMIF(Tasks!$B$2:$B$202,A20,Tasks!$L$2:$L$202)</f>
        <v/>
      </c>
      <c r="I20" s="18">
        <f>SUMIFS(Tasks!$L$2:$L$202,Tasks!$B$2:$B$202,A20,Tasks!$M$2:$M$202,"Done")</f>
        <v/>
      </c>
      <c r="J20" s="18">
        <f>H20-I20-SUMIFS(Tasks!$L$2:$L$202,Tasks!$B$2:$B$202,A20,Tasks!$M$2:$M$202,"Skipped")</f>
        <v/>
      </c>
    </row>
    <row r="21" ht="16.6" customHeight="1">
      <c r="A21" s="20" t="inlineStr">
        <is>
          <t>S1</t>
        </is>
      </c>
      <c r="B21" s="20" t="inlineStr">
        <is>
          <t>Stretch: Chess.com importer</t>
        </is>
      </c>
      <c r="C21" s="20" t="inlineStr">
        <is>
          <t>Stretch</t>
        </is>
      </c>
      <c r="D21" s="15" t="inlineStr">
        <is>
          <t>Second provider with monthly archives.</t>
        </is>
      </c>
      <c r="E21" s="16">
        <f>COUNTIF(Tasks!$B$2:$B$202,A21)</f>
        <v/>
      </c>
      <c r="F21" s="16">
        <f>COUNTIFS(Tasks!$B$2:$B$202,A21,Tasks!$M$2:$M$202,"Done")+COUNTIFS(Tasks!$B$2:$B$202,A21,Tasks!$M$2:$M$202,"Skipped")</f>
        <v/>
      </c>
      <c r="G21" s="17">
        <f>IF(E21=0,0,F21/E21)</f>
        <v/>
      </c>
      <c r="H21" s="18">
        <f>SUMIF(Tasks!$B$2:$B$202,A21,Tasks!$L$2:$L$202)</f>
        <v/>
      </c>
      <c r="I21" s="18">
        <f>SUMIFS(Tasks!$L$2:$L$202,Tasks!$B$2:$B$202,A21,Tasks!$M$2:$M$202,"Done")</f>
        <v/>
      </c>
      <c r="J21" s="18">
        <f>H21-I21-SUMIFS(Tasks!$L$2:$L$202,Tasks!$B$2:$B$202,A21,Tasks!$M$2:$M$202,"Skipped")</f>
        <v/>
      </c>
    </row>
    <row r="22" ht="16.6" customHeight="1">
      <c r="A22" s="20" t="inlineStr">
        <is>
          <t>S2</t>
        </is>
      </c>
      <c r="B22" s="20" t="inlineStr">
        <is>
          <t>Stretch: hanging-piece detector</t>
        </is>
      </c>
      <c r="C22" s="20" t="inlineStr">
        <is>
          <t>Stretch</t>
        </is>
      </c>
      <c r="D22" s="15" t="inlineStr">
        <is>
          <t>Second concept with its own evidence type and tests.</t>
        </is>
      </c>
      <c r="E22" s="16">
        <f>COUNTIF(Tasks!$B$2:$B$202,A22)</f>
        <v/>
      </c>
      <c r="F22" s="16">
        <f>COUNTIFS(Tasks!$B$2:$B$202,A22,Tasks!$M$2:$M$202,"Done")+COUNTIFS(Tasks!$B$2:$B$202,A22,Tasks!$M$2:$M$202,"Skipped")</f>
        <v/>
      </c>
      <c r="G22" s="17">
        <f>IF(E22=0,0,F22/E22)</f>
        <v/>
      </c>
      <c r="H22" s="18">
        <f>SUMIF(Tasks!$B$2:$B$202,A22,Tasks!$L$2:$L$202)</f>
        <v/>
      </c>
      <c r="I22" s="18">
        <f>SUMIFS(Tasks!$L$2:$L$202,Tasks!$B$2:$B$202,A22,Tasks!$M$2:$M$202,"Done")</f>
        <v/>
      </c>
      <c r="J22" s="18">
        <f>H22-I22-SUMIFS(Tasks!$L$2:$L$202,Tasks!$B$2:$B$202,A22,Tasks!$M$2:$M$202,"Skipped")</f>
        <v/>
      </c>
    </row>
    <row r="23" ht="29.2" customHeight="1">
      <c r="A23" s="20" t="inlineStr">
        <is>
          <t>S3</t>
        </is>
      </c>
      <c r="B23" s="20" t="inlineStr">
        <is>
          <t>Stretch: LLM rewording with Claude</t>
        </is>
      </c>
      <c r="C23" s="20" t="inlineStr">
        <is>
          <t>Stretch</t>
        </is>
      </c>
      <c r="D23" s="15" t="inlineStr">
        <is>
          <t>Optional, guarded, evaluated rewording of verified explanations.</t>
        </is>
      </c>
      <c r="E23" s="16">
        <f>COUNTIF(Tasks!$B$2:$B$202,A23)</f>
        <v/>
      </c>
      <c r="F23" s="16">
        <f>COUNTIFS(Tasks!$B$2:$B$202,A23,Tasks!$M$2:$M$202,"Done")+COUNTIFS(Tasks!$B$2:$B$202,A23,Tasks!$M$2:$M$202,"Skipped")</f>
        <v/>
      </c>
      <c r="G23" s="17">
        <f>IF(E23=0,0,F23/E23)</f>
        <v/>
      </c>
      <c r="H23" s="18">
        <f>SUMIF(Tasks!$B$2:$B$202,A23,Tasks!$L$2:$L$202)</f>
        <v/>
      </c>
      <c r="I23" s="18">
        <f>SUMIFS(Tasks!$L$2:$L$202,Tasks!$B$2:$B$202,A23,Tasks!$M$2:$M$202,"Done")</f>
        <v/>
      </c>
      <c r="J23" s="18">
        <f>H23-I23-SUMIFS(Tasks!$L$2:$L$202,Tasks!$B$2:$B$202,A23,Tasks!$M$2:$M$202,"Skipped")</f>
        <v/>
      </c>
    </row>
    <row r="24" ht="29.2" customHeight="1">
      <c r="A24" s="20" t="inlineStr">
        <is>
          <t>S4</t>
        </is>
      </c>
      <c r="B24" s="20" t="inlineStr">
        <is>
          <t>Stretch: engine comparison</t>
        </is>
      </c>
      <c r="C24" s="20" t="inlineStr">
        <is>
          <t>Stretch</t>
        </is>
      </c>
      <c r="D24" s="15" t="inlineStr">
        <is>
          <t>Original engine vs Stockfish on a fixed position set with a stronger reference.</t>
        </is>
      </c>
      <c r="E24" s="16">
        <f>COUNTIF(Tasks!$B$2:$B$202,A24)</f>
        <v/>
      </c>
      <c r="F24" s="16">
        <f>COUNTIFS(Tasks!$B$2:$B$202,A24,Tasks!$M$2:$M$202,"Done")+COUNTIFS(Tasks!$B$2:$B$202,A24,Tasks!$M$2:$M$202,"Skipped")</f>
        <v/>
      </c>
      <c r="G24" s="17">
        <f>IF(E24=0,0,F24/E24)</f>
        <v/>
      </c>
      <c r="H24" s="18">
        <f>SUMIF(Tasks!$B$2:$B$202,A24,Tasks!$L$2:$L$202)</f>
        <v/>
      </c>
      <c r="I24" s="18">
        <f>SUMIFS(Tasks!$L$2:$L$202,Tasks!$B$2:$B$202,A24,Tasks!$M$2:$M$202,"Done")</f>
        <v/>
      </c>
      <c r="J24" s="18">
        <f>H24-I24-SUMIFS(Tasks!$L$2:$L$202,Tasks!$B$2:$B$202,A24,Tasks!$M$2:$M$202,"Skipped")</f>
        <v/>
      </c>
    </row>
    <row r="25" ht="16.6" customHeight="1">
      <c r="A25" s="20" t="inlineStr">
        <is>
          <t>S5</t>
        </is>
      </c>
      <c r="B25" s="20" t="inlineStr">
        <is>
          <t>Stretch: small learning pilot</t>
        </is>
      </c>
      <c r="C25" s="20" t="inlineStr">
        <is>
          <t>Stretch</t>
        </is>
      </c>
      <c r="D25" s="15" t="inlineStr">
        <is>
          <t>10-20 volunteers, blind pre/post tests, honest write-up.</t>
        </is>
      </c>
      <c r="E25" s="16">
        <f>COUNTIF(Tasks!$B$2:$B$202,A25)</f>
        <v/>
      </c>
      <c r="F25" s="16">
        <f>COUNTIFS(Tasks!$B$2:$B$202,A25,Tasks!$M$2:$M$202,"Done")+COUNTIFS(Tasks!$B$2:$B$202,A25,Tasks!$M$2:$M$202,"Skipped")</f>
        <v/>
      </c>
      <c r="G25" s="17">
        <f>IF(E25=0,0,F25/E25)</f>
        <v/>
      </c>
      <c r="H25" s="18">
        <f>SUMIF(Tasks!$B$2:$B$202,A25,Tasks!$L$2:$L$202)</f>
        <v/>
      </c>
      <c r="I25" s="18">
        <f>SUMIFS(Tasks!$L$2:$L$202,Tasks!$B$2:$B$202,A25,Tasks!$M$2:$M$202,"Done")</f>
        <v/>
      </c>
      <c r="J25" s="18">
        <f>H25-I25-SUMIFS(Tasks!$L$2:$L$202,Tasks!$B$2:$B$202,A25,Tasks!$M$2:$M$202,"Skipped")</f>
        <v/>
      </c>
    </row>
    <row r="26" ht="16.6" customHeight="1">
      <c r="A26" s="20" t="inlineStr">
        <is>
          <t>S6</t>
        </is>
      </c>
      <c r="B26" s="20" t="inlineStr">
        <is>
          <t>Stretch: logistic regression vs Elo</t>
        </is>
      </c>
      <c r="C26" s="20" t="inlineStr">
        <is>
          <t>Stretch</t>
        </is>
      </c>
      <c r="D26" s="15" t="inlineStr">
        <is>
          <t>Chronological feature pipeline and offline comparison.</t>
        </is>
      </c>
      <c r="E26" s="16">
        <f>COUNTIF(Tasks!$B$2:$B$202,A26)</f>
        <v/>
      </c>
      <c r="F26" s="16">
        <f>COUNTIFS(Tasks!$B$2:$B$202,A26,Tasks!$M$2:$M$202,"Done")+COUNTIFS(Tasks!$B$2:$B$202,A26,Tasks!$M$2:$M$202,"Skipped")</f>
        <v/>
      </c>
      <c r="G26" s="17">
        <f>IF(E26=0,0,F26/E26)</f>
        <v/>
      </c>
      <c r="H26" s="18">
        <f>SUMIF(Tasks!$B$2:$B$202,A26,Tasks!$L$2:$L$202)</f>
        <v/>
      </c>
      <c r="I26" s="18">
        <f>SUMIFS(Tasks!$L$2:$L$202,Tasks!$B$2:$B$202,A26,Tasks!$M$2:$M$202,"Done")</f>
        <v/>
      </c>
      <c r="J26" s="18">
        <f>H26-I26-SUMIFS(Tasks!$L$2:$L$202,Tasks!$B$2:$B$202,A26,Tasks!$M$2:$M$202,"Skipped")</f>
        <v/>
      </c>
    </row>
    <row r="27" ht="29.2" customHeight="1">
      <c r="A27" s="20" t="inlineStr">
        <is>
          <t>S7</t>
        </is>
      </c>
      <c r="B27" s="20" t="inlineStr">
        <is>
          <t>Stretch: production extras</t>
        </is>
      </c>
      <c r="C27" s="20" t="inlineStr">
        <is>
          <t>Stretch</t>
        </is>
      </c>
      <c r="D27" s="15" t="inlineStr">
        <is>
          <t>Error tracking, separate workers, accounts that claim guest data.</t>
        </is>
      </c>
      <c r="E27" s="16">
        <f>COUNTIF(Tasks!$B$2:$B$202,A27)</f>
        <v/>
      </c>
      <c r="F27" s="16">
        <f>COUNTIFS(Tasks!$B$2:$B$202,A27,Tasks!$M$2:$M$202,"Done")+COUNTIFS(Tasks!$B$2:$B$202,A27,Tasks!$M$2:$M$202,"Skipped")</f>
        <v/>
      </c>
      <c r="G27" s="17">
        <f>IF(E27=0,0,F27/E27)</f>
        <v/>
      </c>
      <c r="H27" s="18">
        <f>SUMIF(Tasks!$B$2:$B$202,A27,Tasks!$L$2:$L$202)</f>
        <v/>
      </c>
      <c r="I27" s="18">
        <f>SUMIFS(Tasks!$L$2:$L$202,Tasks!$B$2:$B$202,A27,Tasks!$M$2:$M$202,"Done")</f>
        <v/>
      </c>
      <c r="J27" s="18">
        <f>H27-I27-SUMIFS(Tasks!$L$2:$L$202,Tasks!$B$2:$B$202,A27,Tasks!$M$2:$M$202,"Skipped")</f>
        <v/>
      </c>
    </row>
    <row r="29">
      <c r="B29" s="21" t="inlineStr">
        <is>
          <t>Core (G0, P0-P14)</t>
        </is>
      </c>
      <c r="E29" s="22">
        <f>SUMIF(C5:C27,"Core",E5:E27)</f>
        <v/>
      </c>
      <c r="F29" s="22">
        <f>SUMIF(C5:C27,"Core",F5:F27)</f>
        <v/>
      </c>
      <c r="G29" s="23">
        <f>IF(E29=0,0,F29/E29)</f>
        <v/>
      </c>
      <c r="H29" s="24">
        <f>SUMIF(C5:C27,"Core",H5:H27)</f>
        <v/>
      </c>
      <c r="I29" s="24">
        <f>SUMIF(C5:C27,"Core",I5:I27)</f>
        <v/>
      </c>
      <c r="J29" s="24">
        <f>H29-I29</f>
        <v/>
      </c>
    </row>
    <row r="30">
      <c r="B30" s="21" t="inlineStr">
        <is>
          <t>Stretch (S1-S7)</t>
        </is>
      </c>
      <c r="E30" s="22">
        <f>SUMIF(C5:C27,"Stretch",E5:E27)</f>
        <v/>
      </c>
      <c r="F30" s="22">
        <f>SUMIF(C5:C27,"Stretch",F5:F27)</f>
        <v/>
      </c>
      <c r="G30" s="23">
        <f>IF(E30=0,0,F30/E30)</f>
        <v/>
      </c>
      <c r="H30" s="24">
        <f>SUMIF(C5:C27,"Stretch",H5:H27)</f>
        <v/>
      </c>
      <c r="I30" s="24">
        <f>SUMIF(C5:C27,"Stretch",I5:I27)</f>
        <v/>
      </c>
      <c r="J30" s="24">
        <f>H30-I30</f>
        <v/>
      </c>
    </row>
    <row r="31">
      <c r="B31" s="21" t="inlineStr">
        <is>
          <t>All phases</t>
        </is>
      </c>
      <c r="E31" s="22">
        <f>E29+E30</f>
        <v/>
      </c>
      <c r="F31" s="22">
        <f>F29+F30</f>
        <v/>
      </c>
      <c r="G31" s="25">
        <f>IF(E31=0,0,F31/E31)</f>
        <v/>
      </c>
      <c r="H31" s="24">
        <f>H29+H30</f>
        <v/>
      </c>
      <c r="I31" s="24">
        <f>I29+I30</f>
        <v/>
      </c>
      <c r="J31" s="24">
        <f>J29+J30</f>
        <v/>
      </c>
    </row>
    <row r="33">
      <c r="B33" s="21" t="inlineStr">
        <is>
          <t>Your hours per week (edit)</t>
        </is>
      </c>
      <c r="E33" s="26" t="n">
        <v>12</v>
      </c>
      <c r="F33" s="27" t="inlineStr">
        <is>
          <t>← assumption: change to your real weekly time</t>
        </is>
      </c>
    </row>
    <row r="34">
      <c r="B34" s="21" t="inlineStr">
        <is>
          <t>Debugging / rework contingency (edit)</t>
        </is>
      </c>
      <c r="E34" s="28" t="n">
        <v>0.3</v>
      </c>
      <c r="F34" s="27" t="inlineStr">
        <is>
          <t>← assumption: beginners usually need 25-50% extra for debugging and rework</t>
        </is>
      </c>
    </row>
    <row r="35">
      <c r="B35" s="21" t="inlineStr">
        <is>
          <t>Weeks left for Core at that pace</t>
        </is>
      </c>
      <c r="E35" s="29">
        <f>IF(E33=0,0,J29*(1+E34)/E33)</f>
        <v/>
      </c>
    </row>
    <row r="36">
      <c r="B36" s="21" t="inlineStr">
        <is>
          <t>Weeks left for everything</t>
        </is>
      </c>
      <c r="E36" s="29">
        <f>IF(E33=0,0,J31*(1+E34)/E33)</f>
        <v/>
      </c>
    </row>
    <row r="37">
      <c r="B37" s="21" t="inlineStr">
        <is>
          <t>Lessons completed</t>
        </is>
      </c>
      <c r="E37">
        <f>COUNTIF(Lessons!F2:F60,"Done")</f>
        <v/>
      </c>
      <c r="F37" s="30">
        <f>COUNTIF(Lessons!A2:A60,"*")</f>
        <v/>
      </c>
      <c r="G37" s="31">
        <f>IF(F37=0,0,E37/F37)</f>
        <v/>
      </c>
    </row>
    <row r="39" ht="30" customHeight="1">
      <c r="A39" s="32" t="inlineStr"/>
      <c r="B39" s="13" t="inlineStr">
        <is>
          <t>Team split (Both counts for each person)</t>
        </is>
      </c>
      <c r="C39" s="32" t="inlineStr"/>
      <c r="D39" s="32" t="inlineStr"/>
      <c r="E39" s="13" t="inlineStr">
        <is>
          <t>Steps</t>
        </is>
      </c>
      <c r="F39" s="13" t="inlineStr">
        <is>
          <t>Done</t>
        </is>
      </c>
      <c r="G39" s="13" t="inlineStr">
        <is>
          <t>% done</t>
        </is>
      </c>
      <c r="H39" s="13" t="inlineStr">
        <is>
          <t>Est. hrs</t>
        </is>
      </c>
      <c r="I39" s="13" t="inlineStr">
        <is>
          <t>Hrs done</t>
        </is>
      </c>
      <c r="J39" s="13" t="inlineStr">
        <is>
          <t>Hrs left</t>
        </is>
      </c>
    </row>
    <row r="40">
      <c r="B40" s="33" t="inlineStr">
        <is>
          <t>Srikanth</t>
        </is>
      </c>
      <c r="E40" s="16">
        <f>COUNTIF(Tasks!$C$2:$C$202,"Srikanth")+COUNTIF(Tasks!$C$2:$C$202,"Both")</f>
        <v/>
      </c>
      <c r="F40" s="16">
        <f>COUNTIFS(Tasks!$C$2:$C$202,"Srikanth",Tasks!$M$2:$M$202,"Done")+COUNTIFS(Tasks!$C$2:$C$202,"Both",Tasks!$M$2:$M$202,"Done")</f>
        <v/>
      </c>
      <c r="G40" s="17">
        <f>IF(E40=0,0,F40/E40)</f>
        <v/>
      </c>
      <c r="H40" s="18">
        <f>SUMIF(Tasks!$C$2:$C$202,"Srikanth",Tasks!$L$2:$L$202)+SUMIF(Tasks!$C$2:$C$202,"Both",Tasks!$L$2:$L$202)</f>
        <v/>
      </c>
      <c r="I40" s="18">
        <f>SUMIFS(Tasks!$L$2:$L$202,Tasks!$C$2:$C$202,"Srikanth",Tasks!$M$2:$M$202,"Done")+SUMIFS(Tasks!$L$2:$L$202,Tasks!$C$2:$C$202,"Both",Tasks!$M$2:$M$202,"Done")</f>
        <v/>
      </c>
      <c r="J40" s="18">
        <f>H40-I40</f>
        <v/>
      </c>
    </row>
    <row r="41">
      <c r="B41" s="34" t="inlineStr">
        <is>
          <t>Siva prasad</t>
        </is>
      </c>
      <c r="E41" s="16">
        <f>COUNTIF(Tasks!$C$2:$C$202,"Siva prasad")+COUNTIF(Tasks!$C$2:$C$202,"Both")</f>
        <v/>
      </c>
      <c r="F41" s="16">
        <f>COUNTIFS(Tasks!$C$2:$C$202,"Siva prasad",Tasks!$M$2:$M$202,"Done")+COUNTIFS(Tasks!$C$2:$C$202,"Both",Tasks!$M$2:$M$202,"Done")</f>
        <v/>
      </c>
      <c r="G41" s="17">
        <f>IF(E41=0,0,F41/E41)</f>
        <v/>
      </c>
      <c r="H41" s="18">
        <f>SUMIF(Tasks!$C$2:$C$202,"Siva prasad",Tasks!$L$2:$L$202)+SUMIF(Tasks!$C$2:$C$202,"Both",Tasks!$L$2:$L$202)</f>
        <v/>
      </c>
      <c r="I41" s="18">
        <f>SUMIFS(Tasks!$L$2:$L$202,Tasks!$C$2:$C$202,"Siva prasad",Tasks!$M$2:$M$202,"Done")+SUMIFS(Tasks!$L$2:$L$202,Tasks!$C$2:$C$202,"Both",Tasks!$M$2:$M$202,"Done")</f>
        <v/>
      </c>
      <c r="J41" s="18">
        <f>H41-I41</f>
        <v/>
      </c>
    </row>
    <row r="44">
      <c r="B44" s="35" t="inlineStr">
        <is>
          <t>Notes</t>
        </is>
      </c>
    </row>
    <row r="45" ht="28" customHeight="1">
      <c r="B45" s="9" t="inlineStr">
        <is>
          <t>Estimated hours are planning guesses for someone new to backend and AI work, including study time ('Learn' tasks contain the lesson reading). Re-estimate after Checkpoint A.</t>
        </is>
      </c>
    </row>
    <row r="46" ht="28" customHeight="1">
      <c r="B46" s="9" t="inlineStr">
        <is>
          <t>'Skipped' tasks count as finished for % done but not as hours done.</t>
        </is>
      </c>
    </row>
    <row r="47" ht="28" customHeight="1">
      <c r="B47" s="9" t="inlineStr">
        <is>
          <t>Checkpoint A (end of P5): public playable game. Checkpoint B (end of P10): complete learning loop live. Release 1.0 (end of P14): portfolio-ready.</t>
        </is>
      </c>
    </row>
  </sheetData>
  <mergeCells count="3">
    <mergeCell ref="B45:J45"/>
    <mergeCell ref="B46:J46"/>
    <mergeCell ref="B47:J47"/>
  </mergeCells>
  <conditionalFormatting sqref="G5:G27">
    <cfRule type="dataBar" priority="1">
      <dataBar>
        <cfvo type="num" val="0"/>
        <cfvo type="num" val="1"/>
        <color rgb="005B9BD5"/>
      </dataBar>
    </cfRule>
  </conditionalFormatting>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O20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12" customWidth="1" min="3" max="3"/>
    <col width="8" customWidth="1" min="4" max="4"/>
    <col width="34" customWidth="1" min="5" max="5"/>
    <col width="70" customWidth="1" min="6" max="6"/>
    <col width="58" customWidth="1" min="7" max="7"/>
    <col width="46" customWidth="1" min="8" max="8"/>
    <col width="12" customWidth="1" min="9" max="9"/>
    <col width="12" customWidth="1" min="10" max="10"/>
    <col width="34" customWidth="1" min="11" max="11"/>
    <col width="7" customWidth="1" min="12" max="12"/>
    <col width="14" customWidth="1" min="13" max="13"/>
    <col width="12" customWidth="1" min="14" max="14"/>
    <col width="30" customWidth="1" min="15" max="15"/>
  </cols>
  <sheetData>
    <row r="1" ht="30" customHeight="1">
      <c r="A1" s="13" t="inlineStr">
        <is>
          <t>ID</t>
        </is>
      </c>
      <c r="B1" s="13" t="inlineStr">
        <is>
          <t>Phase</t>
        </is>
      </c>
      <c r="C1" s="13" t="inlineStr">
        <is>
          <t>Owner</t>
        </is>
      </c>
      <c r="D1" s="13" t="inlineStr">
        <is>
          <t>Kind</t>
        </is>
      </c>
      <c r="E1" s="13" t="inlineStr">
        <is>
          <t>Task</t>
        </is>
      </c>
      <c r="F1" s="13" t="inlineStr">
        <is>
          <t>How to do it (step by step)</t>
        </is>
      </c>
      <c r="G1" s="13" t="inlineStr">
        <is>
          <t>Commands / code to use (Git Bash)</t>
        </is>
      </c>
      <c r="H1" s="13" t="inlineStr">
        <is>
          <t>Git: before you start / save your work</t>
        </is>
      </c>
      <c r="I1" s="13" t="inlineStr">
        <is>
          <t>Code file</t>
        </is>
      </c>
      <c r="J1" s="13" t="inlineStr">
        <is>
          <t>Lessons</t>
        </is>
      </c>
      <c r="K1" s="13" t="inlineStr">
        <is>
          <t>Done when</t>
        </is>
      </c>
      <c r="L1" s="13" t="inlineStr">
        <is>
          <t>Est. hrs</t>
        </is>
      </c>
      <c r="M1" s="13" t="inlineStr">
        <is>
          <t>Status (edit)</t>
        </is>
      </c>
      <c r="N1" s="13" t="inlineStr">
        <is>
          <t>Date done (edit)</t>
        </is>
      </c>
      <c r="O1" s="13" t="inlineStr">
        <is>
          <t>My notes (edit)</t>
        </is>
      </c>
    </row>
    <row r="2" ht="30" customHeight="1">
      <c r="A2" s="36" t="n"/>
      <c r="B2" s="36" t="n"/>
      <c r="C2" s="36" t="n"/>
      <c r="D2" s="36" t="n"/>
      <c r="E2" s="37" t="inlineStr">
        <is>
          <t>G0  Repository and team setup  (Core)</t>
        </is>
      </c>
      <c r="F2" s="38" t="inlineStr">
        <is>
          <t>Connect this folder to GitHub, make the first push, and get Siva prasad pushing to the same repository.</t>
        </is>
      </c>
      <c r="G2" s="36" t="n"/>
      <c r="H2" s="36" t="n"/>
      <c r="I2" s="36" t="n"/>
      <c r="J2" s="36" t="n"/>
      <c r="K2" s="36" t="n"/>
      <c r="L2" s="36" t="n"/>
      <c r="M2" s="36" t="n"/>
      <c r="N2" s="36" t="n"/>
      <c r="O2" s="36" t="n"/>
    </row>
    <row r="3" ht="92.2" customHeight="1">
      <c r="A3" s="15" t="inlineStr">
        <is>
          <t>G0.01</t>
        </is>
      </c>
      <c r="B3" s="15" t="inlineStr">
        <is>
          <t>G0</t>
        </is>
      </c>
      <c r="C3" s="39" t="inlineStr">
        <is>
          <t>Srikanth</t>
        </is>
      </c>
      <c r="D3" s="15" t="inlineStr">
        <is>
          <t>Setup</t>
        </is>
      </c>
      <c r="E3" s="19" t="inlineStr">
        <is>
          <t>Check your GitHub login</t>
        </is>
      </c>
      <c r="F3" s="15" t="inlineStr">
        <is>
          <t>1. Open Git Bash (or the VS Code terminal once it is set to Git Bash in P0.03).
2. Check that gh is logged in and that msris93197-dev is the ACTIVE account. This laptop is also logged in as srikanth-qaig (work), and pushes use whichever account is active.
3. Let git use gh for GitHub credentials (already set up on this laptop; running it again is harmless).</t>
        </is>
      </c>
      <c r="G3" s="40" t="inlineStr">
        <is>
          <t>gh auth status
gh auth switch -u msris93197-dev        # only if the work account is active
gh auth setup-git</t>
        </is>
      </c>
      <c r="H3" s="40" t="n"/>
      <c r="I3" s="15" t="n"/>
      <c r="J3" s="41" t="inlineStr">
        <is>
          <t>L02</t>
        </is>
      </c>
      <c r="K3" s="15" t="inlineStr">
        <is>
          <t>gh auth status shows msris93197-dev as the active account.</t>
        </is>
      </c>
      <c r="L3" s="42" t="n">
        <v>0.25</v>
      </c>
      <c r="M3" s="43" t="inlineStr">
        <is>
          <t>Not started</t>
        </is>
      </c>
      <c r="N3" s="44" t="n"/>
      <c r="O3" s="43" t="n"/>
    </row>
    <row r="4" ht="104.8" customHeight="1">
      <c r="A4" s="15" t="inlineStr">
        <is>
          <t>G0.02</t>
        </is>
      </c>
      <c r="B4" s="15" t="inlineStr">
        <is>
          <t>G0</t>
        </is>
      </c>
      <c r="C4" s="39" t="inlineStr">
        <is>
          <t>Srikanth</t>
        </is>
      </c>
      <c r="D4" s="15" t="inlineStr">
        <is>
          <t>Setup</t>
        </is>
      </c>
      <c r="E4" s="19" t="inlineStr">
        <is>
          <t>Connect this folder to GitHub (done on 2026-10-22)</t>
        </is>
      </c>
      <c r="F4" s="15" t="inlineStr">
        <is>
          <t>Already done. For the record:
1. The folder was turned into a Git repository with main as the branch.
2. Your global Git identity is your work account, so this repository got its own identity (msris93197-dev with your private GitHub noreply email). It applies only inside this folder.
3. origin points to https://github.com/msris93197-dev/ChessLab.git.
The commands below are the recipe if you ever need to redo it on another laptop.</t>
        </is>
      </c>
      <c r="G4" s="40" t="inlineStr">
        <is>
          <t>git init -b main
git config user.name "msris93197-dev"
git config user.email "280372735+msris93197-dev@users.noreply.github.com"
git remote add origin https://github.com/msris93197-dev/ChessLab.git
git remote -v</t>
        </is>
      </c>
      <c r="H4" s="40" t="n"/>
      <c r="I4" s="15" t="n"/>
      <c r="J4" s="41" t="inlineStr">
        <is>
          <t>L03</t>
        </is>
      </c>
      <c r="K4" s="15" t="inlineStr">
        <is>
          <t>git remote -v shows the ChessLab URL.</t>
        </is>
      </c>
      <c r="L4" s="42" t="n">
        <v>0.25</v>
      </c>
      <c r="M4" s="43" t="inlineStr">
        <is>
          <t>Not started</t>
        </is>
      </c>
      <c r="N4" s="44" t="n"/>
      <c r="O4" s="43" t="n"/>
    </row>
    <row r="5" ht="67" customHeight="1">
      <c r="A5" s="15" t="inlineStr">
        <is>
          <t>G0.03</t>
        </is>
      </c>
      <c r="B5" s="15" t="inlineStr">
        <is>
          <t>G0</t>
        </is>
      </c>
      <c r="C5" s="39" t="inlineStr">
        <is>
          <t>Srikanth</t>
        </is>
      </c>
      <c r="D5" s="15" t="inlineStr">
        <is>
          <t>Setup</t>
        </is>
      </c>
      <c r="E5" s="19" t="inlineStr">
        <is>
          <t>First commit and push (done on 2026-10-22)</t>
        </is>
      </c>
      <c r="F5" s="15" t="inlineStr">
        <is>
          <t>Already done: the .gitignore below, the original app and the plan files (in docs/) were committed, pushed to main and tagged original-app.</t>
        </is>
      </c>
      <c r="G5" s="40" t="inlineStr">
        <is>
          <t>→ Code: .gitignore
git add -A
git commit -m "Import original chess AI and project plan"
git push -u origin main
git tag original-app &amp;&amp; git push origin original-app</t>
        </is>
      </c>
      <c r="H5" s="40" t="n"/>
      <c r="I5" s="41" t="inlineStr">
        <is>
          <t>C01</t>
        </is>
      </c>
      <c r="J5" s="41" t="inlineStr">
        <is>
          <t>L03</t>
        </is>
      </c>
      <c r="K5" s="15" t="inlineStr">
        <is>
          <t>GitHub shows the files and the tag original-app.</t>
        </is>
      </c>
      <c r="L5" s="42" t="n">
        <v>0.5</v>
      </c>
      <c r="M5" s="43" t="inlineStr">
        <is>
          <t>Not started</t>
        </is>
      </c>
      <c r="N5" s="44" t="n"/>
      <c r="O5" s="43" t="n"/>
    </row>
    <row r="6" ht="54.4" customHeight="1">
      <c r="A6" s="15" t="inlineStr">
        <is>
          <t>G0.04</t>
        </is>
      </c>
      <c r="B6" s="15" t="inlineStr">
        <is>
          <t>G0</t>
        </is>
      </c>
      <c r="C6" s="39" t="inlineStr">
        <is>
          <t>Srikanth</t>
        </is>
      </c>
      <c r="D6" s="15" t="inlineStr">
        <is>
          <t>Setup</t>
        </is>
      </c>
      <c r="E6" s="19" t="inlineStr">
        <is>
          <t>Invite Siva prasad (done on 2026-10-22)</t>
        </is>
      </c>
      <c r="F6" s="15" t="inlineStr">
        <is>
          <t>Already done: satya-siva-prasad-yanamadala was invited with write access. He accepts it in G0.06.</t>
        </is>
      </c>
      <c r="G6" s="40" t="inlineStr">
        <is>
          <t>gh api -X PUT repos/msris93197-dev/ChessLab/collaborators/satya-siva-prasad-yanamadala -f permission=push
gh api repos/msris93197-dev/ChessLab/invitations --jq '.[].invitee.login'</t>
        </is>
      </c>
      <c r="H6" s="40" t="n"/>
      <c r="I6" s="15" t="n"/>
      <c r="J6" s="41" t="inlineStr">
        <is>
          <t>L03</t>
        </is>
      </c>
      <c r="K6" s="15" t="inlineStr">
        <is>
          <t>The invitation shows as pending (or accepted) for satya-siva-prasad-yanamadala.</t>
        </is>
      </c>
      <c r="L6" s="42" t="n">
        <v>0.25</v>
      </c>
      <c r="M6" s="43" t="inlineStr">
        <is>
          <t>Not started</t>
        </is>
      </c>
      <c r="N6" s="44" t="n"/>
      <c r="O6" s="43" t="n"/>
    </row>
    <row r="7" ht="117.4" customHeight="1">
      <c r="A7" s="15" t="inlineStr">
        <is>
          <t>G0.05</t>
        </is>
      </c>
      <c r="B7" s="15" t="inlineStr">
        <is>
          <t>G0</t>
        </is>
      </c>
      <c r="C7" s="39" t="inlineStr">
        <is>
          <t>Srikanth</t>
        </is>
      </c>
      <c r="D7" s="15" t="inlineStr">
        <is>
          <t>Setup</t>
        </is>
      </c>
      <c r="E7" s="19" t="inlineStr">
        <is>
          <t>Switch to the simple workflow (undo the extra setup from the earlier plan)</t>
        </is>
      </c>
      <c r="F7" s="15" t="inlineStr">
        <is>
          <t>An earlier version of this plan added a journal file per step, a protected main branch and per-repo team settings. For two people that is overhead, so remove it:
1. Turn off branch protection, so both of you can push straight to main.
2. Delete the docs/journal folder. git log already records who did what and when.
3. Remove the two chesslab.* settings from this repository (nothing uses them any more).
4. Commit and push.</t>
        </is>
      </c>
      <c r="G7" s="40" t="inlineStr">
        <is>
          <t>gh api -X DELETE repos/msris93197-dev/ChessLab/branches/main/protection
git pull --rebase
git rm -r docs/journal
git config --unset chesslab.me; git config --unset chesslab.partner
git commit -m "G0.05: Remove journal folder, use a simple push-to-main workflow"
git push</t>
        </is>
      </c>
      <c r="H7" s="40" t="n"/>
      <c r="I7" s="15" t="n"/>
      <c r="J7" s="41" t="inlineStr">
        <is>
          <t>L03</t>
        </is>
      </c>
      <c r="K7" s="15" t="inlineStr">
        <is>
          <t>git push succeeds directly to main, and docs/journal is gone on GitHub.</t>
        </is>
      </c>
      <c r="L7" s="42" t="n">
        <v>0.25</v>
      </c>
      <c r="M7" s="43" t="inlineStr">
        <is>
          <t>Not started</t>
        </is>
      </c>
      <c r="N7" s="44" t="n"/>
      <c r="O7" s="43" t="n"/>
    </row>
    <row r="8" ht="205.6" customHeight="1">
      <c r="A8" s="15" t="inlineStr">
        <is>
          <t>G0.06</t>
        </is>
      </c>
      <c r="B8" s="15" t="inlineStr">
        <is>
          <t>G0</t>
        </is>
      </c>
      <c r="C8" s="45" t="inlineStr">
        <is>
          <t>Siva prasad</t>
        </is>
      </c>
      <c r="D8" s="15" t="inlineStr">
        <is>
          <t>Setup</t>
        </is>
      </c>
      <c r="E8" s="19" t="inlineStr">
        <is>
          <t>Set up your laptop, accept the invitation and clone</t>
        </is>
      </c>
      <c r="F8" s="15" t="inlineStr">
        <is>
          <t>1. Install Git for Windows (it includes Git Bash) and the GitHub CLI. Other tools come in chapter P0, where install steps are marked Both.
2. In Git Bash, log in with gh using your GitHub account (satya-siva-prasad-yanamadala) and let git use it.
3. Accept the invitation (or click the link in the invitation email).
4. Clone the repository.
5. Inside the clone, set your name and your GitHub noreply email (GitHub &gt; Settings &gt; Emails) so commits show up under your account.
6. Prove you can push: add yourself to the README and push.</t>
        </is>
      </c>
      <c r="G8" s="40" t="inlineStr">
        <is>
          <t>winget install --id Git.Git -e
winget install --id GitHub.cli -e
gh auth login                                    # GitHub.com &gt; HTTPS &gt; log in with a web browser
gh auth setup-git
gh api user/repository_invitations --jq '.[] | "\(.id) \(.repository.full_name)"'
gh api -X PATCH user/repository_invitations/INVITATION_ID
mkdir -p ~/projects &amp;&amp; cd ~/projects
gh repo clone msris93197-dev/ChessLab &amp;&amp; cd ChessLab
git config user.name "Siva prasad"
git config user.email "YOUR_ID+satya-siva-prasad-yanamadala@users.noreply.github.com"
printf '\nBuilt by Srikanth and Siva prasad.\n' &gt;&gt; README.md
git add README.md &amp;&amp; git commit -m "G0.06: Add team to README" &amp;&amp; git push</t>
        </is>
      </c>
      <c r="H8" s="40" t="n"/>
      <c r="I8" s="15" t="n"/>
      <c r="J8" s="41" t="inlineStr">
        <is>
          <t>L02, L03, L59</t>
        </is>
      </c>
      <c r="K8" s="15" t="inlineStr">
        <is>
          <t>Your README commit is visible on GitHub under your name.</t>
        </is>
      </c>
      <c r="L8" s="42" t="n">
        <v>1</v>
      </c>
      <c r="M8" s="43" t="inlineStr">
        <is>
          <t>Not started</t>
        </is>
      </c>
      <c r="N8" s="44" t="n"/>
      <c r="O8" s="43" t="n"/>
    </row>
    <row r="9" ht="30" customHeight="1">
      <c r="A9" s="36" t="n"/>
      <c r="B9" s="36" t="n"/>
      <c r="C9" s="36" t="n"/>
      <c r="D9" s="36" t="n"/>
      <c r="E9" s="37" t="inlineStr">
        <is>
          <t>P0  Orientation and tool setup  (Core)</t>
        </is>
      </c>
      <c r="F9" s="38" t="inlineStr">
        <is>
          <t>Install every tool, create accounts, understand the target architecture.</t>
        </is>
      </c>
      <c r="G9" s="36" t="n"/>
      <c r="H9" s="36" t="n"/>
      <c r="I9" s="36" t="n"/>
      <c r="J9" s="36" t="n"/>
      <c r="K9" s="36" t="n"/>
      <c r="L9" s="36" t="n"/>
      <c r="M9" s="36" t="n"/>
      <c r="N9" s="36" t="n"/>
      <c r="O9" s="36" t="n"/>
    </row>
    <row r="10" ht="79.59999999999999" customHeight="1">
      <c r="A10" s="15" t="inlineStr">
        <is>
          <t>P0.01</t>
        </is>
      </c>
      <c r="B10" s="15" t="inlineStr">
        <is>
          <t>P0</t>
        </is>
      </c>
      <c r="C10" s="39" t="inlineStr">
        <is>
          <t>Srikanth</t>
        </is>
      </c>
      <c r="D10" s="15" t="inlineStr">
        <is>
          <t>Learn</t>
        </is>
      </c>
      <c r="E10" s="19" t="inlineStr">
        <is>
          <t>Read the Start Here sheet and the architecture summary</t>
        </is>
      </c>
      <c r="F10" s="15" t="inlineStr">
        <is>
          <t>1. Read the Start Here sheet fully (10 min).
2. Read lesson L37 (what 'AI' means here) so you can describe the project honestly from day one.
3. Skim the Phase list on the Dashboard: Core phases P0-P14 are the portfolio release; S1-S7 are optional.
4. In a notebook, write the one-sentence pitch in your own words.</t>
        </is>
      </c>
      <c r="G10" s="40" t="n"/>
      <c r="H10" s="40" t="n"/>
      <c r="I10" s="15" t="n"/>
      <c r="J10" s="41" t="inlineStr">
        <is>
          <t>L37</t>
        </is>
      </c>
      <c r="K10" s="15" t="inlineStr">
        <is>
          <t>You can explain the 4 runtime parts (browser app, API, worker, Postgres) and what each does.</t>
        </is>
      </c>
      <c r="L10" s="42" t="n">
        <v>0.5</v>
      </c>
      <c r="M10" s="43" t="inlineStr">
        <is>
          <t>Not started</t>
        </is>
      </c>
      <c r="N10" s="44" t="n"/>
      <c r="O10" s="43" t="n"/>
    </row>
    <row r="11" ht="29.2" customHeight="1">
      <c r="A11" s="15" t="inlineStr">
        <is>
          <t>P0.02</t>
        </is>
      </c>
      <c r="B11" s="15" t="inlineStr">
        <is>
          <t>P0</t>
        </is>
      </c>
      <c r="C11" s="39" t="inlineStr">
        <is>
          <t>Srikanth</t>
        </is>
      </c>
      <c r="D11" s="15" t="inlineStr">
        <is>
          <t>Learn</t>
        </is>
      </c>
      <c r="E11" s="19" t="inlineStr">
        <is>
          <t>Learn the web basics</t>
        </is>
      </c>
      <c r="F11" s="15" t="inlineStr">
        <is>
          <t>Study lesson L01. Open any website, press F12 &gt; Network, reload, click a request and identify method, URL, status, request headers and response body.</t>
        </is>
      </c>
      <c r="G11" s="40" t="n"/>
      <c r="H11" s="40" t="n"/>
      <c r="I11" s="15" t="n"/>
      <c r="J11" s="41" t="inlineStr">
        <is>
          <t>L01</t>
        </is>
      </c>
      <c r="K11" s="15" t="inlineStr">
        <is>
          <t>You can name the parts of an HTTP request/response from a real example.</t>
        </is>
      </c>
      <c r="L11" s="42" t="n">
        <v>1.5</v>
      </c>
      <c r="M11" s="43" t="inlineStr">
        <is>
          <t>Not started</t>
        </is>
      </c>
      <c r="N11" s="44" t="n"/>
      <c r="O11" s="43" t="n"/>
    </row>
    <row r="12" ht="104.8" customHeight="1">
      <c r="A12" s="15" t="inlineStr">
        <is>
          <t>P0.03</t>
        </is>
      </c>
      <c r="B12" s="15" t="inlineStr">
        <is>
          <t>P0</t>
        </is>
      </c>
      <c r="C12" s="46" t="inlineStr">
        <is>
          <t>Both</t>
        </is>
      </c>
      <c r="D12" s="15" t="inlineStr">
        <is>
          <t>Setup</t>
        </is>
      </c>
      <c r="E12" s="19" t="inlineStr">
        <is>
          <t>Install Git for Windows and make Git Bash your terminal</t>
        </is>
      </c>
      <c r="F12" s="15" t="inlineStr">
        <is>
          <t>1. Git is already installed on Srikanth's laptop (git version 2.50). Siva prasad installed it in G0.06.
2. Make Git Bash the default terminal in VS Code: Ctrl+Shift+P &gt; 'Terminal: Select Default Profile' &gt; Git Bash. Every command in this manual is written for Git Bash.
3. Do not set a global name or email for ChessLab: each of you set it inside the repository (G0.02, G0.06). Srikanth's global identity stays the work account for work projects.</t>
        </is>
      </c>
      <c r="G12" s="40" t="inlineStr">
        <is>
          <t>git --version
git config --local --get-regexp 'user\.'      # run inside the ChessLab folder</t>
        </is>
      </c>
      <c r="H12" s="40" t="n"/>
      <c r="I12" s="15" t="n"/>
      <c r="J12" s="41" t="inlineStr">
        <is>
          <t>L03</t>
        </is>
      </c>
      <c r="K12" s="15" t="inlineStr">
        <is>
          <t>VS Code opens Git Bash by default and git config --local shows your personal identity.</t>
        </is>
      </c>
      <c r="L12" s="42" t="n">
        <v>0.25</v>
      </c>
      <c r="M12" s="43" t="inlineStr">
        <is>
          <t>Not started</t>
        </is>
      </c>
      <c r="N12" s="44" t="n"/>
      <c r="O12" s="43" t="n"/>
    </row>
    <row r="13" ht="41.8" customHeight="1">
      <c r="A13" s="15" t="inlineStr">
        <is>
          <t>P0.04</t>
        </is>
      </c>
      <c r="B13" s="15" t="inlineStr">
        <is>
          <t>P0</t>
        </is>
      </c>
      <c r="C13" s="45" t="inlineStr">
        <is>
          <t>Siva prasad</t>
        </is>
      </c>
      <c r="D13" s="15" t="inlineStr">
        <is>
          <t>Learn</t>
        </is>
      </c>
      <c r="E13" s="19" t="inlineStr">
        <is>
          <t>Learn the terminal: Git Bash on Windows</t>
        </is>
      </c>
      <c r="F13" s="15" t="inlineStr">
        <is>
          <t>Study lesson L02. In Git Bash practise: cd /d/my_learning/Chess-AI (Srikanth) or cd ~/projects/ChessLab (Siva prasad), pwd, ls -la, export TEST=hi, echo $TEST, cat README.md, history.</t>
        </is>
      </c>
      <c r="G13" s="40" t="n"/>
      <c r="H13" s="40" t="n"/>
      <c r="I13" s="15" t="n"/>
      <c r="J13" s="41" t="inlineStr">
        <is>
          <t>L02</t>
        </is>
      </c>
      <c r="K13" s="15" t="inlineStr">
        <is>
          <t>You can move between folders and set an environment variable for one session in Git Bash.</t>
        </is>
      </c>
      <c r="L13" s="42" t="n">
        <v>1</v>
      </c>
      <c r="M13" s="43" t="inlineStr">
        <is>
          <t>Not started</t>
        </is>
      </c>
      <c r="N13" s="44" t="n"/>
      <c r="O13" s="43" t="n"/>
    </row>
    <row r="14" ht="79.59999999999999" customHeight="1">
      <c r="A14" s="15" t="inlineStr">
        <is>
          <t>P0.05</t>
        </is>
      </c>
      <c r="B14" s="15" t="inlineStr">
        <is>
          <t>P0</t>
        </is>
      </c>
      <c r="C14" s="46" t="inlineStr">
        <is>
          <t>Both</t>
        </is>
      </c>
      <c r="D14" s="15" t="inlineStr">
        <is>
          <t>Setup</t>
        </is>
      </c>
      <c r="E14" s="19" t="inlineStr">
        <is>
          <t>Install VS Code extensions</t>
        </is>
      </c>
      <c r="F14" s="15" t="inlineStr">
        <is>
          <t>Install in VS Code: Python (Microsoft), Pylance, Ruff, ESLint (optional), Prettier (optional), Docker, Playwright Test for VSCode, GitLens (optional), Even Better TOML, Rainbow CSV (helps labelling in P12).</t>
        </is>
      </c>
      <c r="G14" s="40" t="inlineStr">
        <is>
          <t>code --install-extension ms-python.python
code --install-extension charliermarsh.ruff
code --install-extension ms-azuretools.vscode-docker
code --install-extension ms-playwright.playwright
code --install-extension tamasfe.even-better-toml
code --install-extension mechatroniks.rainbow-csv</t>
        </is>
      </c>
      <c r="H14" s="40" t="n"/>
      <c r="I14" s="15" t="n"/>
      <c r="J14" s="15" t="n"/>
      <c r="K14" s="15" t="inlineStr">
        <is>
          <t>Extensions visible in the Extensions panel.</t>
        </is>
      </c>
      <c r="L14" s="42" t="n">
        <v>0.25</v>
      </c>
      <c r="M14" s="43" t="inlineStr">
        <is>
          <t>Not started</t>
        </is>
      </c>
      <c r="N14" s="44" t="n"/>
      <c r="O14" s="43" t="n"/>
    </row>
    <row r="15" ht="41.8" customHeight="1">
      <c r="A15" s="15" t="inlineStr">
        <is>
          <t>P0.06</t>
        </is>
      </c>
      <c r="B15" s="15" t="inlineStr">
        <is>
          <t>P0</t>
        </is>
      </c>
      <c r="C15" s="46" t="inlineStr">
        <is>
          <t>Both</t>
        </is>
      </c>
      <c r="D15" s="15" t="inlineStr">
        <is>
          <t>Setup</t>
        </is>
      </c>
      <c r="E15" s="19" t="inlineStr">
        <is>
          <t>Install Node.js LTS</t>
        </is>
      </c>
      <c r="F15" s="15" t="inlineStr">
        <is>
          <t>Node 22 is already installed here (node v22). Check with node --version and npm --version. If you ever need another version, use nvm-windows. Node runs Vite, Vitest and Playwright.</t>
        </is>
      </c>
      <c r="G15" s="40" t="inlineStr">
        <is>
          <t>node --version
npm --version</t>
        </is>
      </c>
      <c r="H15" s="40" t="n"/>
      <c r="I15" s="15" t="n"/>
      <c r="J15" s="41" t="inlineStr">
        <is>
          <t>L04</t>
        </is>
      </c>
      <c r="K15" s="15" t="inlineStr">
        <is>
          <t>node --version prints v22 or newer.</t>
        </is>
      </c>
      <c r="L15" s="42" t="n">
        <v>0.25</v>
      </c>
      <c r="M15" s="43" t="inlineStr">
        <is>
          <t>Not started</t>
        </is>
      </c>
      <c r="N15" s="44" t="n"/>
      <c r="O15" s="43" t="n"/>
    </row>
    <row r="16" ht="92.2" customHeight="1">
      <c r="A16" s="15" t="inlineStr">
        <is>
          <t>P0.07</t>
        </is>
      </c>
      <c r="B16" s="15" t="inlineStr">
        <is>
          <t>P0</t>
        </is>
      </c>
      <c r="C16" s="46" t="inlineStr">
        <is>
          <t>Both</t>
        </is>
      </c>
      <c r="D16" s="15" t="inlineStr">
        <is>
          <t>Setup</t>
        </is>
      </c>
      <c r="E16" s="19" t="inlineStr">
        <is>
          <t>Install uv and a project Python (3.12)</t>
        </is>
      </c>
      <c r="F16" s="15" t="inlineStr">
        <is>
          <t>1. uv is already installed on Srikanth's laptop (~/.local/bin/uv). Each of you checks with uv --version.
2. If it is missing, install it with the official installer (the first command runs Windows' installer from Git Bash), or with winget.
3. Close and reopen Git Bash so the new PATH is picked up.
4. Install Python 3.12 managed by uv (3.14 is very new; 3.12 has the widest library support).</t>
        </is>
      </c>
      <c r="G16" s="40" t="inlineStr">
        <is>
          <t>uv --version || powershell.exe -ExecutionPolicy ByPass -c "irm https://astral.sh/uv/install.ps1 | iex"
# alternative: winget install --id astral-sh.uv -e
uv python install 3.12
uv python list</t>
        </is>
      </c>
      <c r="H16" s="40" t="n"/>
      <c r="I16" s="15" t="n"/>
      <c r="J16" s="41" t="inlineStr">
        <is>
          <t>L04, L11</t>
        </is>
      </c>
      <c r="K16" s="15" t="inlineStr">
        <is>
          <t>uv --version works and 'uv python list' shows a 3.12 interpreter.</t>
        </is>
      </c>
      <c r="L16" s="42" t="n">
        <v>0.5</v>
      </c>
      <c r="M16" s="43" t="inlineStr">
        <is>
          <t>Not started</t>
        </is>
      </c>
      <c r="N16" s="44" t="n"/>
      <c r="O16" s="43" t="n"/>
    </row>
    <row r="17" ht="104.8" customHeight="1">
      <c r="A17" s="15" t="inlineStr">
        <is>
          <t>P0.08</t>
        </is>
      </c>
      <c r="B17" s="15" t="inlineStr">
        <is>
          <t>P0</t>
        </is>
      </c>
      <c r="C17" s="46" t="inlineStr">
        <is>
          <t>Both</t>
        </is>
      </c>
      <c r="D17" s="15" t="inlineStr">
        <is>
          <t>Setup</t>
        </is>
      </c>
      <c r="E17" s="19" t="inlineStr">
        <is>
          <t>Install Docker Desktop with WSL2</t>
        </is>
      </c>
      <c r="F17" s="15" t="inlineStr">
        <is>
          <t>1. Docker 29 is already installed here. Open Docker Desktop and make sure it says 'Engine running'.
2. Settings &gt; General: 'Use the WSL 2 based engine' is on. Settings &gt; Resources: at least 4 GB memory.
3. Test with hello-world.
4. IMPORTANT for this machine: other projects already use ports 5432, 5434, 8000, 8080 and 5173. ChessLab therefore uses 5433 (Postgres), 8010 (API) and 5180 (web).</t>
        </is>
      </c>
      <c r="G17" s="40" t="inlineStr">
        <is>
          <t>docker --version
docker run --rm hello-world
docker ps --format "{{.Names}} {{.Ports}}"</t>
        </is>
      </c>
      <c r="H17" s="40" t="n"/>
      <c r="I17" s="15" t="n"/>
      <c r="J17" s="41" t="inlineStr">
        <is>
          <t>L15</t>
        </is>
      </c>
      <c r="K17" s="15" t="inlineStr">
        <is>
          <t>hello-world prints its welcome message; you know which ports are already taken.</t>
        </is>
      </c>
      <c r="L17" s="42" t="n">
        <v>0.5</v>
      </c>
      <c r="M17" s="43" t="inlineStr">
        <is>
          <t>Not started</t>
        </is>
      </c>
      <c r="N17" s="44" t="n"/>
      <c r="O17" s="43" t="n"/>
    </row>
    <row r="18" ht="54.4" customHeight="1">
      <c r="A18" s="15" t="inlineStr">
        <is>
          <t>P0.09</t>
        </is>
      </c>
      <c r="B18" s="15" t="inlineStr">
        <is>
          <t>P0</t>
        </is>
      </c>
      <c r="C18" s="46" t="inlineStr">
        <is>
          <t>Both</t>
        </is>
      </c>
      <c r="D18" s="15" t="inlineStr">
        <is>
          <t>Setup</t>
        </is>
      </c>
      <c r="E18" s="19" t="inlineStr">
        <is>
          <t>Create the accounts you will need</t>
        </is>
      </c>
      <c r="F18" s="15" t="inlineStr">
        <is>
          <t>Create (free) accounts: GitHub (you have one: srikanth-qaig), Vercel (sign in with GitHub), Render (sign in with GitHub), Lichess (to test imports with your own games). Optional later: Anthropic Console (stretch S3 only).
Do NOT create paid resources yet.</t>
        </is>
      </c>
      <c r="G18" s="40" t="n"/>
      <c r="H18" s="40" t="n"/>
      <c r="I18" s="15" t="n"/>
      <c r="J18" s="41" t="inlineStr">
        <is>
          <t>L48</t>
        </is>
      </c>
      <c r="K18" s="15" t="inlineStr">
        <is>
          <t>You can log in to GitHub, Vercel and Render with your GitHub identity.</t>
        </is>
      </c>
      <c r="L18" s="42" t="n">
        <v>0.5</v>
      </c>
      <c r="M18" s="43" t="inlineStr">
        <is>
          <t>Not started</t>
        </is>
      </c>
      <c r="N18" s="44" t="n"/>
      <c r="O18" s="43" t="n"/>
    </row>
    <row r="19" ht="79.59999999999999" customHeight="1">
      <c r="A19" s="15" t="inlineStr">
        <is>
          <t>P0.10</t>
        </is>
      </c>
      <c r="B19" s="15" t="inlineStr">
        <is>
          <t>P0</t>
        </is>
      </c>
      <c r="C19" s="39" t="inlineStr">
        <is>
          <t>Srikanth</t>
        </is>
      </c>
      <c r="D19" s="15" t="inlineStr">
        <is>
          <t>Learn</t>
        </is>
      </c>
      <c r="E19" s="19" t="inlineStr">
        <is>
          <t>Decide your hosting budget</t>
        </is>
      </c>
      <c r="F19" s="15" t="inlineStr">
        <is>
          <t>Open render.com/pricing and vercel.com/pricing. Note the current price of: Render web service (always-on, smallest), background worker, Postgres (smallest paid). Vercel Hobby is free for personal projects. Write a monthly ceiling (for example US$20-25) in your notebook. You can develop for weeks locally before paying anything; you only need paid Render plans from Phase 5 onwards (free plans sleep and free databases expire).</t>
        </is>
      </c>
      <c r="G19" s="40" t="n"/>
      <c r="H19" s="40" t="n"/>
      <c r="I19" s="15" t="n"/>
      <c r="J19" s="41" t="inlineStr">
        <is>
          <t>L48</t>
        </is>
      </c>
      <c r="K19" s="15" t="inlineStr">
        <is>
          <t>A written monthly budget and the plan names you will use.</t>
        </is>
      </c>
      <c r="L19" s="42" t="n">
        <v>0.5</v>
      </c>
      <c r="M19" s="43" t="inlineStr">
        <is>
          <t>Not started</t>
        </is>
      </c>
      <c r="N19" s="44" t="n"/>
      <c r="O19" s="43" t="n"/>
    </row>
    <row r="20" ht="29.2" customHeight="1">
      <c r="A20" s="15" t="inlineStr">
        <is>
          <t>P0.11</t>
        </is>
      </c>
      <c r="B20" s="15" t="inlineStr">
        <is>
          <t>P0</t>
        </is>
      </c>
      <c r="C20" s="45" t="inlineStr">
        <is>
          <t>Siva prasad</t>
        </is>
      </c>
      <c r="D20" s="15" t="inlineStr">
        <is>
          <t>Learn</t>
        </is>
      </c>
      <c r="E20" s="19" t="inlineStr">
        <is>
          <t>Learn Git fundamentals</t>
        </is>
      </c>
      <c r="F20" s="15" t="inlineStr">
        <is>
          <t>Study lesson L03. Do the first 4 levels of learngitbranching.js.org.</t>
        </is>
      </c>
      <c r="G20" s="40" t="n"/>
      <c r="H20" s="40" t="n"/>
      <c r="I20" s="15" t="n"/>
      <c r="J20" s="41" t="inlineStr">
        <is>
          <t>L03</t>
        </is>
      </c>
      <c r="K20" s="15" t="inlineStr">
        <is>
          <t>You can create a branch, commit, and merge it locally.</t>
        </is>
      </c>
      <c r="L20" s="42" t="n">
        <v>1.5</v>
      </c>
      <c r="M20" s="43" t="inlineStr">
        <is>
          <t>Not started</t>
        </is>
      </c>
      <c r="N20" s="44" t="n"/>
      <c r="O20" s="43" t="n"/>
    </row>
    <row r="21" ht="30" customHeight="1">
      <c r="A21" s="36" t="n"/>
      <c r="B21" s="36" t="n"/>
      <c r="C21" s="36" t="n"/>
      <c r="D21" s="36" t="n"/>
      <c r="E21" s="37" t="inlineStr">
        <is>
          <t>P1  Understand and preserve the original project  (Core)</t>
        </is>
      </c>
      <c r="F21" s="38" t="inlineStr">
        <is>
          <t>Record what exists, protect it with Git, inventory licences.</t>
        </is>
      </c>
      <c r="G21" s="36" t="n"/>
      <c r="H21" s="36" t="n"/>
      <c r="I21" s="36" t="n"/>
      <c r="J21" s="36" t="n"/>
      <c r="K21" s="36" t="n"/>
      <c r="L21" s="36" t="n"/>
      <c r="M21" s="36" t="n"/>
      <c r="N21" s="36" t="n"/>
      <c r="O21" s="36" t="n"/>
    </row>
    <row r="22" ht="92.2" customHeight="1">
      <c r="A22" s="15" t="inlineStr">
        <is>
          <t>P1.01</t>
        </is>
      </c>
      <c r="B22" s="15" t="inlineStr">
        <is>
          <t>P1</t>
        </is>
      </c>
      <c r="C22" s="45" t="inlineStr">
        <is>
          <t>Siva prasad</t>
        </is>
      </c>
      <c r="D22" s="15" t="inlineStr">
        <is>
          <t>Learn</t>
        </is>
      </c>
      <c r="E22" s="19" t="inlineStr">
        <is>
          <t>Run the original app and record its behaviour</t>
        </is>
      </c>
      <c r="F22" s="15" t="inlineStr">
        <is>
          <t>1. Open D:\my_learning\Chess-AI\index.html in a browser (double-click, or VS Code 'Live Server').
2. Try every control: start, undo, redo, depth selectors, opening buttons (Ruy Lopez, Italian, Sicilian), computer vs computer, hint.
3. Note what works and any bugs (for example: promotion always becomes a queen; long thinking freezes the page at depth 4+).
4. Save notes in docs/baseline-notes.md (create the docs folder).</t>
        </is>
      </c>
      <c r="G22" s="40" t="n"/>
      <c r="H22" s="40" t="n"/>
      <c r="I22" s="15" t="n"/>
      <c r="J22" s="41" t="inlineStr">
        <is>
          <t>L10</t>
        </is>
      </c>
      <c r="K22" s="15" t="inlineStr">
        <is>
          <t>docs/baseline-notes.md lists working features, known defects and 3 sample positions (FENs) you tested.</t>
        </is>
      </c>
      <c r="L22" s="42" t="n">
        <v>1</v>
      </c>
      <c r="M22" s="43" t="inlineStr">
        <is>
          <t>Not started</t>
        </is>
      </c>
      <c r="N22" s="44" t="n"/>
      <c r="O22" s="43" t="n"/>
    </row>
    <row r="23" ht="67" customHeight="1">
      <c r="A23" s="15" t="inlineStr">
        <is>
          <t>P1.02</t>
        </is>
      </c>
      <c r="B23" s="15" t="inlineStr">
        <is>
          <t>P1</t>
        </is>
      </c>
      <c r="C23" s="39" t="inlineStr">
        <is>
          <t>Srikanth</t>
        </is>
      </c>
      <c r="D23" s="15" t="inlineStr">
        <is>
          <t>Learn</t>
        </is>
      </c>
      <c r="E23" s="19" t="inlineStr">
        <is>
          <t>Understand your original engine</t>
        </is>
      </c>
      <c r="F23" s="15" t="inlineStr">
        <is>
          <t>Read js/main.js lines 35-309 with lesson L10 open: weights, pst_w/pst_b (piece-square tables), evaluateBoard (incremental evaluation), minimax with alpha-beta. Write 5 bullet points in baseline-notes.md: how evaluation works, why moves are shuffled, what alpha/beta do, why there is no quiescence search, why promotions are forced to queen.</t>
        </is>
      </c>
      <c r="G23" s="40" t="n"/>
      <c r="H23" s="40" t="n"/>
      <c r="I23" s="15" t="n"/>
      <c r="J23" s="41" t="inlineStr">
        <is>
          <t>L10</t>
        </is>
      </c>
      <c r="K23" s="15" t="inlineStr">
        <is>
          <t>You can explain your engine's search and evaluation in 2 minutes.</t>
        </is>
      </c>
      <c r="L23" s="42" t="n">
        <v>2</v>
      </c>
      <c r="M23" s="43" t="inlineStr">
        <is>
          <t>Not started</t>
        </is>
      </c>
      <c r="N23" s="44" t="n"/>
      <c r="O23" s="43" t="n"/>
    </row>
    <row r="24" ht="142.6" customHeight="1">
      <c r="A24" s="15" t="inlineStr">
        <is>
          <t>P1.03</t>
        </is>
      </c>
      <c r="B24" s="15" t="inlineStr">
        <is>
          <t>P1</t>
        </is>
      </c>
      <c r="C24" s="39" t="inlineStr">
        <is>
          <t>Srikanth</t>
        </is>
      </c>
      <c r="D24" s="15" t="inlineStr">
        <is>
          <t>Setup</t>
        </is>
      </c>
      <c r="E24" s="19" t="inlineStr">
        <is>
          <t>Confirm the safety tag on GitHub</t>
        </is>
      </c>
      <c r="F24" s="15" t="inlineStr">
        <is>
          <t>The original app was tagged original-app in G0.03. Confirm the tag is on GitHub and that you can look at the old app, then come back to main.</t>
        </is>
      </c>
      <c r="G24" s="40" t="inlineStr">
        <is>
          <t>git fetch --tags
git ls-remote --tags origin
git switch --detach original-app &amp;&amp; ls &amp;&amp; git switch -</t>
        </is>
      </c>
      <c r="H24" s="40" t="inlineStr">
        <is>
          <t>BEFORE YOU START
git pull --rebase
SAVE YOUR WORK
git add -A
git status                     # nothing listed? then there is nothing to commit for this step
git commit -m "P1.03: Confirm the safety tag on GitHub"
git push                       # rejected? git pull --rebase, then git push again</t>
        </is>
      </c>
      <c r="I24" s="15" t="n"/>
      <c r="J24" s="41" t="inlineStr">
        <is>
          <t>L03</t>
        </is>
      </c>
      <c r="K24" s="15" t="inlineStr">
        <is>
          <t>git ls-remote --tags origin lists refs/tags/original-app.</t>
        </is>
      </c>
      <c r="L24" s="42" t="n">
        <v>0.5</v>
      </c>
      <c r="M24" s="43" t="inlineStr">
        <is>
          <t>Not started</t>
        </is>
      </c>
      <c r="N24" s="44" t="n"/>
      <c r="O24" s="43" t="n"/>
    </row>
    <row r="25" ht="130" customHeight="1">
      <c r="A25" s="15" t="inlineStr">
        <is>
          <t>P1.04</t>
        </is>
      </c>
      <c r="B25" s="15" t="inlineStr">
        <is>
          <t>P1</t>
        </is>
      </c>
      <c r="C25" s="45" t="inlineStr">
        <is>
          <t>Siva prasad</t>
        </is>
      </c>
      <c r="D25" s="15" t="inlineStr">
        <is>
          <t>Doc</t>
        </is>
      </c>
      <c r="E25" s="19" t="inlineStr">
        <is>
          <t>Create a licence inventory</t>
        </is>
      </c>
      <c r="F25" s="15" t="inlineStr">
        <is>
          <t>1. List third-party parts of the original app: js/chess.js (BSD-2, from chess.js 0.x), chessboard.js 1.0 (MIT, from unpkg), jQuery, Bootstrap 4, Font Awesome kit, piece images in img/chesspieces/wikipedia (Wikimedia origin), piece-square tables adapted from Sunfish (GPLv3, see the comment in main.js).
2. Start docs/THIRD_PARTY_NOTICES.md from the template (Code sheet).
3. Decide your repository licence. Recommended: GPLv3 (compatible with Stockfish, python-chess and Sunfish). Add a LICENSE file (GitHub &gt; Add file &gt; Create new file &gt; name LICENSE &gt; 'Choose a license template').</t>
        </is>
      </c>
      <c r="G25" s="40" t="inlineStr">
        <is>
          <t>→ Code: docs/THIRD_PARTY_NOTICES_TEMPLATE.md</t>
        </is>
      </c>
      <c r="H25" s="40" t="inlineStr">
        <is>
          <t>BEFORE YOU START
git pull --rebase
SAVE YOUR WORK
git add -A
git status                     # nothing listed? then there is nothing to commit for this step
git commit -m "P1.04: Create a licence inventory"
git push                       # rejected? git pull --rebase, then git push again</t>
        </is>
      </c>
      <c r="I25" s="41" t="inlineStr">
        <is>
          <t>C83</t>
        </is>
      </c>
      <c r="J25" s="41" t="inlineStr">
        <is>
          <t>L55</t>
        </is>
      </c>
      <c r="K25" s="15" t="inlineStr">
        <is>
          <t>LICENSE and docs/THIRD_PARTY_NOTICES.md exist in the repo.</t>
        </is>
      </c>
      <c r="L25" s="42" t="n">
        <v>1</v>
      </c>
      <c r="M25" s="43" t="inlineStr">
        <is>
          <t>Not started</t>
        </is>
      </c>
      <c r="N25" s="44" t="n"/>
      <c r="O25" s="43" t="n"/>
    </row>
    <row r="26" ht="155.2" customHeight="1">
      <c r="A26" s="15" t="inlineStr">
        <is>
          <t>P1.05</t>
        </is>
      </c>
      <c r="B26" s="15" t="inlineStr">
        <is>
          <t>P1</t>
        </is>
      </c>
      <c r="C26" s="45" t="inlineStr">
        <is>
          <t>Siva prasad</t>
        </is>
      </c>
      <c r="D26" s="15" t="inlineStr">
        <is>
          <t>Doc</t>
        </is>
      </c>
      <c r="E26" s="19" t="inlineStr">
        <is>
          <t>Write acceptance stories</t>
        </is>
      </c>
      <c r="F26" s="15" t="inlineStr">
        <is>
          <t>Turn the visitor journey into testable sentences in docs/acceptance.md. Examples:
- A guest choosing Black sees a legal engine opening move and can reply without refreshing.
- After resigning, 'Review game' opens a review that shows analysis coverage.
- A missed fork shows the alternative move, the line, the material gain and a 'Practice this idea' button.
- Practising gives a different position; the solution is never sent to the browser.
- A second guest cannot read the first guest's games or jobs.
- 'Delete my data' makes the old token stop working.
Write 15-25 such stories; each later task's 'Done when' should map to one.</t>
        </is>
      </c>
      <c r="G26" s="40" t="n"/>
      <c r="H26" s="40" t="inlineStr">
        <is>
          <t>BEFORE YOU START
git pull --rebase
SAVE YOUR WORK
git add -A
git status                     # nothing listed? then there is nothing to commit for this step
git commit -m "P1.05: Write acceptance stories"
git push                       # rejected? git pull --rebase, then git push again</t>
        </is>
      </c>
      <c r="I26" s="15" t="n"/>
      <c r="J26" s="41" t="inlineStr">
        <is>
          <t>L23</t>
        </is>
      </c>
      <c r="K26" s="15" t="inlineStr">
        <is>
          <t>docs/acceptance.md with at least 15 stories.</t>
        </is>
      </c>
      <c r="L26" s="42" t="n">
        <v>1</v>
      </c>
      <c r="M26" s="43" t="inlineStr">
        <is>
          <t>Not started</t>
        </is>
      </c>
      <c r="N26" s="44" t="n"/>
      <c r="O26" s="43" t="n"/>
    </row>
    <row r="27" ht="142.6" customHeight="1">
      <c r="A27" s="15" t="inlineStr">
        <is>
          <t>P1.06</t>
        </is>
      </c>
      <c r="B27" s="15" t="inlineStr">
        <is>
          <t>P1</t>
        </is>
      </c>
      <c r="C27" s="39" t="inlineStr">
        <is>
          <t>Srikanth</t>
        </is>
      </c>
      <c r="D27" s="15" t="inlineStr">
        <is>
          <t>Setup</t>
        </is>
      </c>
      <c r="E27" s="19" t="inlineStr">
        <is>
          <t>Agree who does what for the next chapters</t>
        </is>
      </c>
      <c r="F27" s="15" t="inlineStr">
        <is>
          <t>1. Look at the owner labels for P2-P4 and swap any step one of you would rather do, keeping hours roughly even.
2. Agree the habit for every step: git pull --rebase before you start, commit and push when it works. Push small and often so you rarely clash.</t>
        </is>
      </c>
      <c r="G27" s="40" t="inlineStr">
        <is>
          <t>git log --oneline -5</t>
        </is>
      </c>
      <c r="H27" s="40" t="inlineStr">
        <is>
          <t>BEFORE YOU START
git pull --rebase
SAVE YOUR WORK
git add -A
git status                     # nothing listed? then there is nothing to commit for this step
git commit -m "P1.06: Agree who does what for the next chapters"
git push                       # rejected? git pull --rebase, then git push again</t>
        </is>
      </c>
      <c r="I27" s="15" t="n"/>
      <c r="J27" s="41" t="inlineStr">
        <is>
          <t>L03</t>
        </is>
      </c>
      <c r="K27" s="15" t="inlineStr">
        <is>
          <t>You both know which P2-P4 steps are yours.</t>
        </is>
      </c>
      <c r="L27" s="42" t="n">
        <v>0.1</v>
      </c>
      <c r="M27" s="43" t="inlineStr">
        <is>
          <t>Not started</t>
        </is>
      </c>
      <c r="N27" s="44" t="n"/>
      <c r="O27" s="43" t="n"/>
    </row>
    <row r="28" ht="30" customHeight="1">
      <c r="A28" s="36" t="n"/>
      <c r="B28" s="36" t="n"/>
      <c r="C28" s="36" t="n"/>
      <c r="D28" s="36" t="n"/>
      <c r="E28" s="37" t="inlineStr">
        <is>
          <t>P2  Repository scaffold and local database  (Core)</t>
        </is>
      </c>
      <c r="F28" s="38" t="inlineStr">
        <is>
          <t>Monorepo folders, frontend and backend skeletons, Postgres in Docker.</t>
        </is>
      </c>
      <c r="G28" s="36" t="n"/>
      <c r="H28" s="36" t="n"/>
      <c r="I28" s="36" t="n"/>
      <c r="J28" s="36" t="n"/>
      <c r="K28" s="36" t="n"/>
      <c r="L28" s="36" t="n"/>
      <c r="M28" s="36" t="n"/>
      <c r="N28" s="36" t="n"/>
      <c r="O28" s="36" t="n"/>
    </row>
    <row r="29" ht="130" customHeight="1">
      <c r="A29" s="15" t="inlineStr">
        <is>
          <t>P2.01</t>
        </is>
      </c>
      <c r="B29" s="15" t="inlineStr">
        <is>
          <t>P2</t>
        </is>
      </c>
      <c r="C29" s="39" t="inlineStr">
        <is>
          <t>Srikanth</t>
        </is>
      </c>
      <c r="D29" s="15" t="inlineStr">
        <is>
          <t>Setup</t>
        </is>
      </c>
      <c r="E29" s="19" t="inlineStr">
        <is>
          <t>Create the folder structure</t>
        </is>
      </c>
      <c r="F29" s="15" t="inlineStr">
        <is>
          <t>Create the monorepo layout. Keep the original files in the root for now (they are your baseline; you remove them only after Phase 4 has parity).</t>
        </is>
      </c>
      <c r="G29" s="40" t="inlineStr">
        <is>
          <t>mkdir -p apps services data/manifests evaluation/labels evaluation/reports docs/decisions ops .github/workflows
ls</t>
        </is>
      </c>
      <c r="H29" s="40" t="inlineStr">
        <is>
          <t>BEFORE YOU START
git pull --rebase
SAVE YOUR WORK
git add -A
git status                     # nothing listed? then there is nothing to commit for this step
git commit -m "P2.01: Create the folder structure"
git push                       # rejected? git pull --rebase, then git push again</t>
        </is>
      </c>
      <c r="I29" s="15" t="n"/>
      <c r="J29" s="41" t="inlineStr">
        <is>
          <t>L11</t>
        </is>
      </c>
      <c r="K29" s="15" t="inlineStr">
        <is>
          <t>The folders exist next to index.html, js/, css/.</t>
        </is>
      </c>
      <c r="L29" s="42" t="n">
        <v>0.25</v>
      </c>
      <c r="M29" s="43" t="inlineStr">
        <is>
          <t>Not started</t>
        </is>
      </c>
      <c r="N29" s="44" t="n"/>
      <c r="O29" s="43" t="n"/>
    </row>
    <row r="30" ht="130" customHeight="1">
      <c r="A30" s="15" t="inlineStr">
        <is>
          <t>P2.02</t>
        </is>
      </c>
      <c r="B30" s="15" t="inlineStr">
        <is>
          <t>P2</t>
        </is>
      </c>
      <c r="C30" s="39" t="inlineStr">
        <is>
          <t>Srikanth</t>
        </is>
      </c>
      <c r="D30" s="15" t="inlineStr">
        <is>
          <t>Build</t>
        </is>
      </c>
      <c r="E30" s="19" t="inlineStr">
        <is>
          <t>Add the root .gitignore</t>
        </is>
      </c>
      <c r="F30" s="15" t="inlineStr">
        <is>
          <t>Create .gitignore in the repo root with the content from the Code sheet. It keeps node_modules, .venv, caches, .env files and big data dumps out of Git.</t>
        </is>
      </c>
      <c r="G30" s="40" t="inlineStr">
        <is>
          <t>→ Code: .gitignore</t>
        </is>
      </c>
      <c r="H30" s="40" t="inlineStr">
        <is>
          <t>BEFORE YOU START
git pull --rebase
SAVE YOUR WORK
git add -A
git status                     # nothing listed? then there is nothing to commit for this step
git commit -m "P2.02: Add the root .gitignore"
git push                       # rejected? git pull --rebase, then git push again</t>
        </is>
      </c>
      <c r="I30" s="41" t="inlineStr">
        <is>
          <t>C01</t>
        </is>
      </c>
      <c r="J30" s="41" t="inlineStr">
        <is>
          <t>L03, L18</t>
        </is>
      </c>
      <c r="K30" s="15" t="inlineStr">
        <is>
          <t>git status does not show node_modules or .venv after later installs.</t>
        </is>
      </c>
      <c r="L30" s="42" t="n">
        <v>0.1</v>
      </c>
      <c r="M30" s="43" t="inlineStr">
        <is>
          <t>Not started</t>
        </is>
      </c>
      <c r="N30" s="44" t="n"/>
      <c r="O30" s="43" t="n"/>
    </row>
    <row r="31" ht="142.6" customHeight="1">
      <c r="A31" s="15" t="inlineStr">
        <is>
          <t>P2.03</t>
        </is>
      </c>
      <c r="B31" s="15" t="inlineStr">
        <is>
          <t>P2</t>
        </is>
      </c>
      <c r="C31" s="39" t="inlineStr">
        <is>
          <t>Srikanth</t>
        </is>
      </c>
      <c r="D31" s="15" t="inlineStr">
        <is>
          <t>Build</t>
        </is>
      </c>
      <c r="E31" s="19" t="inlineStr">
        <is>
          <t>Scaffold the React + TypeScript app with Vite</t>
        </is>
      </c>
      <c r="F31" s="15" t="inlineStr">
        <is>
          <t>1. From the repo root create apps/web with the official template.
2. Install and run it once.
3. Replace vite.config.ts with the Code sheet version (fixes port 5180).
4. Open http://localhost:5180: you should see the Vite + React page.</t>
        </is>
      </c>
      <c r="G31" s="40" t="inlineStr">
        <is>
          <t>→ Code: apps/web/vite.config.ts
cd apps
npm create vite@latest web -- --template react-ts
cd web
npm install
# replace vite.config.ts (Code sheet), then:
npm run dev</t>
        </is>
      </c>
      <c r="H31" s="40" t="inlineStr">
        <is>
          <t>BEFORE YOU START
git pull --rebase
SAVE YOUR WORK
git add -A
git status                     # nothing listed? then there is nothing to commit for this step
git commit -m "P2.03: Scaffold the React + TypeScript app with Vite"
git push                       # rejected? git pull --rebase, then git push again</t>
        </is>
      </c>
      <c r="I31" s="41" t="inlineStr">
        <is>
          <t>C16</t>
        </is>
      </c>
      <c r="J31" s="41" t="inlineStr">
        <is>
          <t>L07, L06</t>
        </is>
      </c>
      <c r="K31" s="15" t="inlineStr">
        <is>
          <t>The Vite starter page loads on http://localhost:5180.</t>
        </is>
      </c>
      <c r="L31" s="42" t="n">
        <v>0.5</v>
      </c>
      <c r="M31" s="43" t="inlineStr">
        <is>
          <t>Not started</t>
        </is>
      </c>
      <c r="N31" s="44" t="n"/>
      <c r="O31" s="43" t="n"/>
    </row>
    <row r="32" ht="142.6" customHeight="1">
      <c r="A32" s="15" t="inlineStr">
        <is>
          <t>P2.04</t>
        </is>
      </c>
      <c r="B32" s="15" t="inlineStr">
        <is>
          <t>P2</t>
        </is>
      </c>
      <c r="C32" s="39" t="inlineStr">
        <is>
          <t>Srikanth</t>
        </is>
      </c>
      <c r="D32" s="15" t="inlineStr">
        <is>
          <t>Setup</t>
        </is>
      </c>
      <c r="E32" s="19" t="inlineStr">
        <is>
          <t>Install the frontend libraries (pinned majors)</t>
        </is>
      </c>
      <c r="F32" s="15" t="inlineStr">
        <is>
          <t>Install chess rules, the board, routing and the Stockfish WASM build. Pin the major versions this plan was verified with: chess.js 1.x, react-chessboard 4.x (v5 has a different API), react-router-dom 6.x. Then add test tools.</t>
        </is>
      </c>
      <c r="G32" s="40" t="inlineStr">
        <is>
          <t>cd apps/web
npm install chess.js@1 react-chessboard@4 react-router-dom@6 stockfish
npm install -D vitest @playwright/test
npx playwright install chromium</t>
        </is>
      </c>
      <c r="H32" s="40" t="inlineStr">
        <is>
          <t>BEFORE YOU START
git pull --rebase
SAVE YOUR WORK
git add -A
git status                     # nothing listed? then there is nothing to commit for this step
git commit -m "P2.04: Install the frontend libraries"
git push                       # rejected? git pull --rebase, then git push again</t>
        </is>
      </c>
      <c r="I32" s="15" t="n"/>
      <c r="J32" s="41" t="inlineStr">
        <is>
          <t>L04</t>
        </is>
      </c>
      <c r="K32" s="15" t="inlineStr">
        <is>
          <t>package.json lists chess.js ^1, react-chessboard ^4, react-router-dom ^6, stockfish; package-lock.json exists.</t>
        </is>
      </c>
      <c r="L32" s="42" t="n">
        <v>0.5</v>
      </c>
      <c r="M32" s="43" t="inlineStr">
        <is>
          <t>Not started</t>
        </is>
      </c>
      <c r="N32" s="44" t="n"/>
      <c r="O32" s="43" t="n"/>
    </row>
    <row r="33" ht="155.2" customHeight="1">
      <c r="A33" s="15" t="inlineStr">
        <is>
          <t>P2.05</t>
        </is>
      </c>
      <c r="B33" s="15" t="inlineStr">
        <is>
          <t>P2</t>
        </is>
      </c>
      <c r="C33" s="39" t="inlineStr">
        <is>
          <t>Srikanth</t>
        </is>
      </c>
      <c r="D33" s="15" t="inlineStr">
        <is>
          <t>Setup</t>
        </is>
      </c>
      <c r="E33" s="19" t="inlineStr">
        <is>
          <t>Create the Python backend project with uv</t>
        </is>
      </c>
      <c r="F33" s="15" t="inlineStr">
        <is>
          <t>1. Create services/backend as a uv project on Python 3.12.
2. Add runtime and dev dependencies (uv writes pyproject.toml and uv.lock).
3. Create the package folders with empty __init__.py files? Not required (namespace packages work) but recommended for tooling: app/, app/api, app/analysis, app/domain, app/explain, app/importers, app/jobs, app/learning, app/practice, tests/.
4. Add the [tool.pytest.ini_options] and [tool.ruff] sections from the Code sheet's pyproject.toml.
5. Delete the sample main.py (or hello.py) that uv init created: the real entry point is app/main.py.</t>
        </is>
      </c>
      <c r="G33" s="40" t="inlineStr">
        <is>
          <t>→ Code: services/backend/pyproject.toml
cd services
uv init backend --python 3.12 --no-workspace
cd backend
uv add fastapi "uvicorn[standard]" sqlalchemy "psycopg[binary]" alembic pydantic-settings chess httpx python-multipart
uv add --dev pytest ruff zstandard
mkdir -p app/{api,analysis,domain,explain,importers,jobs,learning,practice} tests
touch app/__init__.py app/{api,analysis,domain,explain,importers,jobs,learning,practice}/__init__.py
rm -f main.py hello.py</t>
        </is>
      </c>
      <c r="H33" s="40" t="inlineStr">
        <is>
          <t>BEFORE YOU START
git pull --rebase
SAVE YOUR WORK
git add -A
git status                     # nothing listed? then there is nothing to commit for this step
git commit -m "P2.05: Create the Python backend project with uv"
git push                       # rejected? git pull --rebase, then git push again</t>
        </is>
      </c>
      <c r="I33" s="41" t="inlineStr">
        <is>
          <t>C03</t>
        </is>
      </c>
      <c r="J33" s="41" t="inlineStr">
        <is>
          <t>L11, L04</t>
        </is>
      </c>
      <c r="K33" s="15" t="inlineStr">
        <is>
          <t>uv run python -c "import fastapi, chess, sqlalchemy; print('ok')" prints ok.</t>
        </is>
      </c>
      <c r="L33" s="42" t="n">
        <v>0.75</v>
      </c>
      <c r="M33" s="43" t="inlineStr">
        <is>
          <t>Not started</t>
        </is>
      </c>
      <c r="N33" s="44" t="n"/>
      <c r="O33" s="43" t="n"/>
    </row>
    <row r="34" ht="142.6" customHeight="1">
      <c r="A34" s="15" t="inlineStr">
        <is>
          <t>P2.06</t>
        </is>
      </c>
      <c r="B34" s="15" t="inlineStr">
        <is>
          <t>P2</t>
        </is>
      </c>
      <c r="C34" s="39" t="inlineStr">
        <is>
          <t>Srikanth</t>
        </is>
      </c>
      <c r="D34" s="15" t="inlineStr">
        <is>
          <t>Setup</t>
        </is>
      </c>
      <c r="E34" s="19" t="inlineStr">
        <is>
          <t>Start Postgres with Docker Compose</t>
        </is>
      </c>
      <c r="F34" s="15" t="inlineStr">
        <is>
          <t>1. Put compose.yaml (Code sheet) in the repo root. For now you only start the db service.
2. Start it and check it is healthy.
3. Connect with psql inside the container and run SELECT version();</t>
        </is>
      </c>
      <c r="G34" s="40" t="inlineStr">
        <is>
          <t>→ Code: compose.yaml
docker compose up -d db
docker compose ps
docker compose exec db psql -U chesslab -d chesslab -c "SELECT version();"</t>
        </is>
      </c>
      <c r="H34" s="40" t="inlineStr">
        <is>
          <t>BEFORE YOU START
git pull --rebase
SAVE YOUR WORK
git add -A
git status                     # nothing listed? then there is nothing to commit for this step
git commit -m "P2.06: Start Postgres with Docker Compose"
git push                       # rejected? git pull --rebase, then git push again</t>
        </is>
      </c>
      <c r="I34" s="41" t="inlineStr">
        <is>
          <t>C02</t>
        </is>
      </c>
      <c r="J34" s="41" t="inlineStr">
        <is>
          <t>L15, L26</t>
        </is>
      </c>
      <c r="K34" s="15" t="inlineStr">
        <is>
          <t>docker compose ps shows db as healthy on port 5433.</t>
        </is>
      </c>
      <c r="L34" s="42" t="n">
        <v>0.5</v>
      </c>
      <c r="M34" s="43" t="inlineStr">
        <is>
          <t>Not started</t>
        </is>
      </c>
      <c r="N34" s="44" t="n"/>
      <c r="O34" s="43" t="n"/>
    </row>
    <row r="35" ht="155.2" customHeight="1">
      <c r="A35" s="15" t="inlineStr">
        <is>
          <t>P2.07</t>
        </is>
      </c>
      <c r="B35" s="15" t="inlineStr">
        <is>
          <t>P2</t>
        </is>
      </c>
      <c r="C35" s="45" t="inlineStr">
        <is>
          <t>Siva prasad</t>
        </is>
      </c>
      <c r="D35" s="15" t="inlineStr">
        <is>
          <t>Learn</t>
        </is>
      </c>
      <c r="E35" s="19" t="inlineStr">
        <is>
          <t>Learn SQL basics on the real database</t>
        </is>
      </c>
      <c r="F35" s="15" t="inlineStr">
        <is>
          <t>Study lesson L14. In psql, create a scratch table, insert, select, update, delete, then drop it. Try a UNIQUE constraint violation on purpose and read the error.</t>
        </is>
      </c>
      <c r="G35" s="40" t="inlineStr">
        <is>
          <t>docker compose exec -T db psql -U chesslab -d chesslab &lt;&lt;'SQL'
CREATE TABLE scratch (id int PRIMARY KEY, name text UNIQUE);
INSERT INTO scratch VALUES (1, 'a');
INSERT INTO scratch VALUES (2, 'a');                       -- fails: unique violation (on purpose)
INSERT INTO scratch VALUES (2, 'a') ON CONFLICT DO NOTHING; -- no error, nothing inserted
SELECT * FROM scratch;
DROP TABLE scratch;
SQL
# to explore by hand instead: winpty docker compose exec db psql -U chesslab -d chesslab</t>
        </is>
      </c>
      <c r="H35" s="40" t="n"/>
      <c r="I35" s="15" t="n"/>
      <c r="J35" s="41" t="inlineStr">
        <is>
          <t>L14</t>
        </is>
      </c>
      <c r="K35" s="15" t="inlineStr">
        <is>
          <t>You have seen a unique violation and ON CONFLICT DO NOTHING behave differently.</t>
        </is>
      </c>
      <c r="L35" s="42" t="n">
        <v>3</v>
      </c>
      <c r="M35" s="43" t="inlineStr">
        <is>
          <t>Not started</t>
        </is>
      </c>
      <c r="N35" s="44" t="n"/>
      <c r="O35" s="43" t="n"/>
    </row>
    <row r="36" ht="130" customHeight="1">
      <c r="A36" s="15" t="inlineStr">
        <is>
          <t>P2.08</t>
        </is>
      </c>
      <c r="B36" s="15" t="inlineStr">
        <is>
          <t>P2</t>
        </is>
      </c>
      <c r="C36" s="39" t="inlineStr">
        <is>
          <t>Srikanth</t>
        </is>
      </c>
      <c r="D36" s="15" t="inlineStr">
        <is>
          <t>Setup</t>
        </is>
      </c>
      <c r="E36" s="19" t="inlineStr">
        <is>
          <t>Commit the scaffold</t>
        </is>
      </c>
      <c r="F36" s="15" t="inlineStr">
        <is>
          <t>Before this commit, make sure no node_modules, .venv or .env files would be committed.</t>
        </is>
      </c>
      <c r="G36" s="40" t="inlineStr">
        <is>
          <t>git status --short | grep -E 'node_modules|\.venv|\.env$' &amp;&amp; echo 'STOP: remove these before committing' || echo 'clean'</t>
        </is>
      </c>
      <c r="H36" s="40" t="inlineStr">
        <is>
          <t>BEFORE YOU START
git pull --rebase
SAVE YOUR WORK
git add -A
git status                     # nothing listed? then there is nothing to commit for this step
git commit -m "P2.08: Commit the scaffold"
git push                       # rejected? git pull --rebase, then git push again</t>
        </is>
      </c>
      <c r="I36" s="15" t="n"/>
      <c r="J36" s="41" t="inlineStr">
        <is>
          <t>L03</t>
        </is>
      </c>
      <c r="K36" s="15" t="inlineStr">
        <is>
          <t>A clean commit with apps/web, services/backend, compose.yaml.</t>
        </is>
      </c>
      <c r="L36" s="42" t="n">
        <v>0.1</v>
      </c>
      <c r="M36" s="43" t="inlineStr">
        <is>
          <t>Not started</t>
        </is>
      </c>
      <c r="N36" s="44" t="n"/>
      <c r="O36" s="43" t="n"/>
    </row>
    <row r="37" ht="30" customHeight="1">
      <c r="A37" s="36" t="n"/>
      <c r="B37" s="36" t="n"/>
      <c r="C37" s="36" t="n"/>
      <c r="D37" s="36" t="n"/>
      <c r="E37" s="37" t="inlineStr">
        <is>
          <t>P3  Backend foundations  (Core)</t>
        </is>
      </c>
      <c r="F37" s="38" t="inlineStr">
        <is>
          <t>Settings, database models, migrations, guest sessions, errors, health checks, first tests.</t>
        </is>
      </c>
      <c r="G37" s="36" t="n"/>
      <c r="H37" s="36" t="n"/>
      <c r="I37" s="36" t="n"/>
      <c r="J37" s="36" t="n"/>
      <c r="K37" s="36" t="n"/>
      <c r="L37" s="36" t="n"/>
      <c r="M37" s="36" t="n"/>
      <c r="N37" s="36" t="n"/>
      <c r="O37" s="36" t="n"/>
    </row>
    <row r="38" ht="29.2" customHeight="1">
      <c r="A38" s="15" t="inlineStr">
        <is>
          <t>P3.01</t>
        </is>
      </c>
      <c r="B38" s="15" t="inlineStr">
        <is>
          <t>P3</t>
        </is>
      </c>
      <c r="C38" s="45" t="inlineStr">
        <is>
          <t>Siva prasad</t>
        </is>
      </c>
      <c r="D38" s="15" t="inlineStr">
        <is>
          <t>Learn</t>
        </is>
      </c>
      <c r="E38" s="19" t="inlineStr">
        <is>
          <t>Learn FastAPI basics</t>
        </is>
      </c>
      <c r="F38" s="15" t="inlineStr">
        <is>
          <t>Study lesson L13 and do the first 6 pages of the official FastAPI tutorial in a scratch file (not in the project).</t>
        </is>
      </c>
      <c r="G38" s="40" t="n"/>
      <c r="H38" s="40" t="n"/>
      <c r="I38" s="15" t="n"/>
      <c r="J38" s="41" t="inlineStr">
        <is>
          <t>L12, L13</t>
        </is>
      </c>
      <c r="K38" s="15" t="inlineStr">
        <is>
          <t>You wrote and called a scratch endpoint with a Pydantic body.</t>
        </is>
      </c>
      <c r="L38" s="42" t="n">
        <v>5</v>
      </c>
      <c r="M38" s="43" t="inlineStr">
        <is>
          <t>Not started</t>
        </is>
      </c>
      <c r="N38" s="44" t="n"/>
      <c r="O38" s="43" t="n"/>
    </row>
    <row r="39" ht="130" customHeight="1">
      <c r="A39" s="15" t="inlineStr">
        <is>
          <t>P3.02</t>
        </is>
      </c>
      <c r="B39" s="15" t="inlineStr">
        <is>
          <t>P3</t>
        </is>
      </c>
      <c r="C39" s="39" t="inlineStr">
        <is>
          <t>Srikanth</t>
        </is>
      </c>
      <c r="D39" s="15" t="inlineStr">
        <is>
          <t>Build</t>
        </is>
      </c>
      <c r="E39" s="19" t="inlineStr">
        <is>
          <t>Add typed settings (app/config.py)</t>
        </is>
      </c>
      <c r="F39" s="15" t="inlineStr">
        <is>
          <t>Create app/config.py from the Code sheet. Read every field and its comment. Note the validator that converts postgres:// and postgresql:// to postgresql+psycopg:// (Render gives the former).
Copy services/backend/.env.example to .env (never commit .env).</t>
        </is>
      </c>
      <c r="G39" s="40" t="inlineStr">
        <is>
          <t>→ Code: services/backend/app/config.py
→ Code: services/backend/.env.example
cp .env.example .env</t>
        </is>
      </c>
      <c r="H39" s="40" t="inlineStr">
        <is>
          <t>BEFORE YOU START
git pull --rebase
SAVE YOUR WORK
git add -A
git status                     # nothing listed? then there is nothing to commit for this step
git commit -m "P3.02: Add typed settings"
git push                       # rejected? git pull --rebase, then git push again</t>
        </is>
      </c>
      <c r="I39" s="41" t="inlineStr">
        <is>
          <t>C05, C04</t>
        </is>
      </c>
      <c r="J39" s="41" t="inlineStr">
        <is>
          <t>L18</t>
        </is>
      </c>
      <c r="K39" s="15" t="inlineStr">
        <is>
          <t>uv run python -c "from app.config import get_settings; print(get_settings().database_url)" prints the 5433 URL.</t>
        </is>
      </c>
      <c r="L39" s="42" t="n">
        <v>0.5</v>
      </c>
      <c r="M39" s="43" t="inlineStr">
        <is>
          <t>Not started</t>
        </is>
      </c>
      <c r="N39" s="44" t="n"/>
      <c r="O39" s="43" t="n"/>
    </row>
    <row r="40" ht="142.6" customHeight="1">
      <c r="A40" s="15" t="inlineStr">
        <is>
          <t>P3.03</t>
        </is>
      </c>
      <c r="B40" s="15" t="inlineStr">
        <is>
          <t>P3</t>
        </is>
      </c>
      <c r="C40" s="45" t="inlineStr">
        <is>
          <t>Siva prasad</t>
        </is>
      </c>
      <c r="D40" s="15" t="inlineStr">
        <is>
          <t>Build</t>
        </is>
      </c>
      <c r="E40" s="19" t="inlineStr">
        <is>
          <t>Add the database engine and session (app/db.py)</t>
        </is>
      </c>
      <c r="F40" s="15" t="inlineStr">
        <is>
          <t>Create app/db.py. Understand: Base (all models inherit), engine (connection pool, pool_pre_ping), SessionLocal, and get_db (one session per request, always closed).</t>
        </is>
      </c>
      <c r="G40" s="40" t="inlineStr">
        <is>
          <t>→ Code: services/backend/app/db.py</t>
        </is>
      </c>
      <c r="H40" s="40" t="inlineStr">
        <is>
          <t>BEFORE YOU START
git pull --rebase
SAVE YOUR WORK
git add -A
git status                     # nothing listed? then there is nothing to commit for this step
git commit -m "P3.03: Add the database engine and session"
git push                       # rejected? git pull --rebase, then git push again</t>
        </is>
      </c>
      <c r="I40" s="41" t="inlineStr">
        <is>
          <t>C06</t>
        </is>
      </c>
      <c r="J40" s="41" t="inlineStr">
        <is>
          <t>L16</t>
        </is>
      </c>
      <c r="K40" s="15" t="inlineStr">
        <is>
          <t>File created; you can explain flush vs commit.</t>
        </is>
      </c>
      <c r="L40" s="42" t="n">
        <v>0.5</v>
      </c>
      <c r="M40" s="43" t="inlineStr">
        <is>
          <t>Not started</t>
        </is>
      </c>
      <c r="N40" s="44" t="n"/>
      <c r="O40" s="43" t="n"/>
    </row>
    <row r="41" ht="29.2" customHeight="1">
      <c r="A41" s="15" t="inlineStr">
        <is>
          <t>P3.04</t>
        </is>
      </c>
      <c r="B41" s="15" t="inlineStr">
        <is>
          <t>P3</t>
        </is>
      </c>
      <c r="C41" s="39" t="inlineStr">
        <is>
          <t>Srikanth</t>
        </is>
      </c>
      <c r="D41" s="15" t="inlineStr">
        <is>
          <t>Learn</t>
        </is>
      </c>
      <c r="E41" s="19" t="inlineStr">
        <is>
          <t>Learn SQLAlchemy 2.0</t>
        </is>
      </c>
      <c r="F41" s="15" t="inlineStr">
        <is>
          <t>Study lesson L16 and the 'ORM Quick Start' page. Pay attention to Mapped[...] annotations and session.commit().</t>
        </is>
      </c>
      <c r="G41" s="40" t="n"/>
      <c r="H41" s="40" t="n"/>
      <c r="I41" s="15" t="n"/>
      <c r="J41" s="41" t="inlineStr">
        <is>
          <t>L16</t>
        </is>
      </c>
      <c r="K41" s="15" t="inlineStr">
        <is>
          <t>You can write a select() with a where() and run it with db.scalars().</t>
        </is>
      </c>
      <c r="L41" s="42" t="n">
        <v>4</v>
      </c>
      <c r="M41" s="43" t="inlineStr">
        <is>
          <t>Not started</t>
        </is>
      </c>
      <c r="N41" s="44" t="n"/>
      <c r="O41" s="43" t="n"/>
    </row>
    <row r="42" ht="130" customHeight="1">
      <c r="A42" s="15" t="inlineStr">
        <is>
          <t>P3.05</t>
        </is>
      </c>
      <c r="B42" s="15" t="inlineStr">
        <is>
          <t>P3</t>
        </is>
      </c>
      <c r="C42" s="39" t="inlineStr">
        <is>
          <t>Srikanth</t>
        </is>
      </c>
      <c r="D42" s="15" t="inlineStr">
        <is>
          <t>Build</t>
        </is>
      </c>
      <c r="E42" s="19" t="inlineStr">
        <is>
          <t>Define all database models (app/models.py)</t>
        </is>
      </c>
      <c r="F42" s="15" t="inlineStr">
        <is>
          <t>Create app/models.py from the Code sheet. Read each table and map it to the product: visitors (guests), games, import_runs, jobs (queue), analysis_runs, tactical_evidence, puzzles, practice_sessions, practice_events, concept_ratings. Note the database-level protections: UNIQUE(owner_id, source, source_game_id), UNIQUE(game_id, pipeline_version), unique dedupe_key, ON DELETE CASCADE from visitors.
(Defining everything now means one initial migration; later phases use these tables.)</t>
        </is>
      </c>
      <c r="G42" s="40" t="inlineStr">
        <is>
          <t>→ Code: services/backend/app/models.py</t>
        </is>
      </c>
      <c r="H42" s="40" t="inlineStr">
        <is>
          <t>BEFORE YOU START
git pull --rebase
SAVE YOUR WORK
git add -A
git status                     # nothing listed? then there is nothing to commit for this step
git commit -m "P3.05: Define all database models"
git push                       # rejected? git pull --rebase, then git push again</t>
        </is>
      </c>
      <c r="I42" s="41" t="inlineStr">
        <is>
          <t>C07</t>
        </is>
      </c>
      <c r="J42" s="41" t="inlineStr">
        <is>
          <t>L14, L16</t>
        </is>
      </c>
      <c r="K42" s="15" t="inlineStr">
        <is>
          <t>uv run python -c "import app.models" runs without errors.</t>
        </is>
      </c>
      <c r="L42" s="42" t="n">
        <v>1.5</v>
      </c>
      <c r="M42" s="43" t="inlineStr">
        <is>
          <t>Not started</t>
        </is>
      </c>
      <c r="N42" s="44" t="n"/>
      <c r="O42" s="43" t="n"/>
    </row>
    <row r="43" ht="142.6" customHeight="1">
      <c r="A43" s="15" t="inlineStr">
        <is>
          <t>P3.06</t>
        </is>
      </c>
      <c r="B43" s="15" t="inlineStr">
        <is>
          <t>P3</t>
        </is>
      </c>
      <c r="C43" s="45" t="inlineStr">
        <is>
          <t>Siva prasad</t>
        </is>
      </c>
      <c r="D43" s="15" t="inlineStr">
        <is>
          <t>Build</t>
        </is>
      </c>
      <c r="E43" s="19" t="inlineStr">
        <is>
          <t>Set up Alembic and create the initial migration</t>
        </is>
      </c>
      <c r="F43" s="15" t="inlineStr">
        <is>
          <t>1. Initialise Alembic in services/backend.
2. Make the 3 edits to migrations/env.py shown in the Code sheet (import models, use DATABASE_URL, target_metadata = Base.metadata).
3. Autogenerate the first migration and READ the generated file in migrations/versions/.
4. Apply it, then confirm models and migrations agree.
5. Look at the tables in psql (\dt). Verified result while preparing this plan: 10 tables + alembic_version, and 'No new upgrade operations detected'.</t>
        </is>
      </c>
      <c r="G43" s="40" t="inlineStr">
        <is>
          <t>→ Code: services/backend/migrations/env.py.additions
cd services/backend
uv run alembic init migrations
# edit migrations/env.py (Code: env.py.additions)
uv run alembic revision --autogenerate -m "initial schema"
uv run alembic upgrade head
uv run alembic check
docker compose exec db psql -U chesslab -d chesslab -c "\dt"</t>
        </is>
      </c>
      <c r="H43" s="40" t="inlineStr">
        <is>
          <t>BEFORE YOU START
git pull --rebase
SAVE YOUR WORK
git add -A
git status                     # nothing listed? then there is nothing to commit for this step
git commit -m "P3.06: Set up Alembic and create the initial migration"
git push                       # rejected? git pull --rebase, then git push again</t>
        </is>
      </c>
      <c r="I43" s="41" t="inlineStr">
        <is>
          <t>C08</t>
        </is>
      </c>
      <c r="J43" s="41" t="inlineStr">
        <is>
          <t>L17</t>
        </is>
      </c>
      <c r="K43" s="15" t="inlineStr">
        <is>
          <t>\dt lists 11 relations; alembic check passes.</t>
        </is>
      </c>
      <c r="L43" s="42" t="n">
        <v>1</v>
      </c>
      <c r="M43" s="43" t="inlineStr">
        <is>
          <t>Not started</t>
        </is>
      </c>
      <c r="N43" s="44" t="n"/>
      <c r="O43" s="43" t="n"/>
    </row>
    <row r="44" ht="130" customHeight="1">
      <c r="A44" s="15" t="inlineStr">
        <is>
          <t>P3.07</t>
        </is>
      </c>
      <c r="B44" s="15" t="inlineStr">
        <is>
          <t>P3</t>
        </is>
      </c>
      <c r="C44" s="39" t="inlineStr">
        <is>
          <t>Srikanth</t>
        </is>
      </c>
      <c r="D44" s="15" t="inlineStr">
        <is>
          <t>Build</t>
        </is>
      </c>
      <c r="E44" s="19" t="inlineStr">
        <is>
          <t>Add the error contract (app/errors.py)</t>
        </is>
      </c>
      <c r="F44" s="15" t="inlineStr">
        <is>
          <t>Create app/errors.py: ApiError plus handlers for ApiError, request validation errors and unexpected exceptions. Every error becomes {"error": {"code", "message"}}; tracebacks go to logs only.</t>
        </is>
      </c>
      <c r="G44" s="40" t="inlineStr">
        <is>
          <t>→ Code: services/backend/app/errors.py</t>
        </is>
      </c>
      <c r="H44" s="40" t="inlineStr">
        <is>
          <t>BEFORE YOU START
git pull --rebase
SAVE YOUR WORK
git add -A
git status                     # nothing listed? then there is nothing to commit for this step
git commit -m "P3.07: Add the error contract"
git push                       # rejected? git pull --rebase, then git push again</t>
        </is>
      </c>
      <c r="I44" s="41" t="inlineStr">
        <is>
          <t>C09</t>
        </is>
      </c>
      <c r="J44" s="41" t="inlineStr">
        <is>
          <t>L22</t>
        </is>
      </c>
      <c r="K44" s="15" t="inlineStr">
        <is>
          <t>File created; you can list three error codes the API will use.</t>
        </is>
      </c>
      <c r="L44" s="42" t="n">
        <v>0.5</v>
      </c>
      <c r="M44" s="43" t="inlineStr">
        <is>
          <t>Not started</t>
        </is>
      </c>
      <c r="N44" s="44" t="n"/>
      <c r="O44" s="43" t="n"/>
    </row>
    <row r="45" ht="130" customHeight="1">
      <c r="A45" s="15" t="inlineStr">
        <is>
          <t>P3.08</t>
        </is>
      </c>
      <c r="B45" s="15" t="inlineStr">
        <is>
          <t>P3</t>
        </is>
      </c>
      <c r="C45" s="45" t="inlineStr">
        <is>
          <t>Siva prasad</t>
        </is>
      </c>
      <c r="D45" s="15" t="inlineStr">
        <is>
          <t>Build</t>
        </is>
      </c>
      <c r="E45" s="19" t="inlineStr">
        <is>
          <t>Add guest authentication (app/security.py)</t>
        </is>
      </c>
      <c r="F45" s="15" t="inlineStr">
        <is>
          <t>Study lesson L19 first. Create app/security.py: new_token (256-bit random), hash_token (sha256), expiry_from, and the current_visitor dependency (401 if missing, unknown or expired; sliding expiry).</t>
        </is>
      </c>
      <c r="G45" s="40" t="inlineStr">
        <is>
          <t>→ Code: services/backend/app/security.py</t>
        </is>
      </c>
      <c r="H45" s="40" t="inlineStr">
        <is>
          <t>BEFORE YOU START
git pull --rebase
SAVE YOUR WORK
git add -A
git status                     # nothing listed? then there is nothing to commit for this step
git commit -m "P3.08: Add guest authentication"
git push                       # rejected? git pull --rebase, then git push again</t>
        </is>
      </c>
      <c r="I45" s="41" t="inlineStr">
        <is>
          <t>C10</t>
        </is>
      </c>
      <c r="J45" s="41" t="inlineStr">
        <is>
          <t>L19</t>
        </is>
      </c>
      <c r="K45" s="15" t="inlineStr">
        <is>
          <t>You can explain why the database never stores the raw token.</t>
        </is>
      </c>
      <c r="L45" s="42" t="n">
        <v>1</v>
      </c>
      <c r="M45" s="43" t="inlineStr">
        <is>
          <t>Not started</t>
        </is>
      </c>
      <c r="N45" s="44" t="n"/>
      <c r="O45" s="43" t="n"/>
    </row>
    <row r="46" ht="130" customHeight="1">
      <c r="A46" s="15" t="inlineStr">
        <is>
          <t>P3.09</t>
        </is>
      </c>
      <c r="B46" s="15" t="inlineStr">
        <is>
          <t>P3</t>
        </is>
      </c>
      <c r="C46" s="39" t="inlineStr">
        <is>
          <t>Srikanth</t>
        </is>
      </c>
      <c r="D46" s="15" t="inlineStr">
        <is>
          <t>Build</t>
        </is>
      </c>
      <c r="E46" s="19" t="inlineStr">
        <is>
          <t>Add a simple rate limiter (app/ratelimit.py)</t>
        </is>
      </c>
      <c r="F46" s="15" t="inlineStr">
        <is>
          <t>Create app/ratelimit.py: an in-memory sliding window per client IP, used as a dependency: Depends(limit('sessions', 10, 60)). Read the docstring: fine for one API instance; move to Postgres/Redis if you ever scale out.</t>
        </is>
      </c>
      <c r="G46" s="40" t="inlineStr">
        <is>
          <t>→ Code: services/backend/app/ratelimit.py</t>
        </is>
      </c>
      <c r="H46" s="40" t="inlineStr">
        <is>
          <t>BEFORE YOU START
git pull --rebase
SAVE YOUR WORK
git add -A
git status                     # nothing listed? then there is nothing to commit for this step
git commit -m "P3.09: Add a simple rate limiter"
git push                       # rejected? git pull --rebase, then git push again</t>
        </is>
      </c>
      <c r="I46" s="41" t="inlineStr">
        <is>
          <t>C11</t>
        </is>
      </c>
      <c r="J46" s="41" t="inlineStr">
        <is>
          <t>L50</t>
        </is>
      </c>
      <c r="K46" s="15" t="inlineStr">
        <is>
          <t>File created.</t>
        </is>
      </c>
      <c r="L46" s="42" t="n">
        <v>0.25</v>
      </c>
      <c r="M46" s="43" t="inlineStr">
        <is>
          <t>Not started</t>
        </is>
      </c>
      <c r="N46" s="44" t="n"/>
      <c r="O46" s="43" t="n"/>
    </row>
    <row r="47" ht="130" customHeight="1">
      <c r="A47" s="15" t="inlineStr">
        <is>
          <t>P3.10</t>
        </is>
      </c>
      <c r="B47" s="15" t="inlineStr">
        <is>
          <t>P3</t>
        </is>
      </c>
      <c r="C47" s="45" t="inlineStr">
        <is>
          <t>Siva prasad</t>
        </is>
      </c>
      <c r="D47" s="15" t="inlineStr">
        <is>
          <t>Build</t>
        </is>
      </c>
      <c r="E47" s="19" t="inlineStr">
        <is>
          <t>Add the sessions router (app/api/sessions.py)</t>
        </is>
      </c>
      <c r="F47" s="15" t="inlineStr">
        <is>
          <t>Create app/api/sessions.py: POST /v1/sessions (rate-limited) returns the token ONCE; GET /v1/me returns the visitor id and expiry.</t>
        </is>
      </c>
      <c r="G47" s="40" t="inlineStr">
        <is>
          <t>→ Code: services/backend/app/api/sessions.py</t>
        </is>
      </c>
      <c r="H47" s="40" t="inlineStr">
        <is>
          <t>BEFORE YOU START
git pull --rebase
SAVE YOUR WORK
git add -A
git status                     # nothing listed? then there is nothing to commit for this step
git commit -m "P3.10: Add the sessions router"
git push                       # rejected? git pull --rebase, then git push again</t>
        </is>
      </c>
      <c r="I47" s="41" t="inlineStr">
        <is>
          <t>C12</t>
        </is>
      </c>
      <c r="J47" s="41" t="inlineStr">
        <is>
          <t>L12, L13</t>
        </is>
      </c>
      <c r="K47" s="15" t="inlineStr">
        <is>
          <t>File created.</t>
        </is>
      </c>
      <c r="L47" s="42" t="n">
        <v>0.5</v>
      </c>
      <c r="M47" s="43" t="inlineStr">
        <is>
          <t>Not started</t>
        </is>
      </c>
      <c r="N47" s="44" t="n"/>
      <c r="O47" s="43" t="n"/>
    </row>
    <row r="48" ht="142.6" customHeight="1">
      <c r="A48" s="15" t="inlineStr">
        <is>
          <t>P3.11</t>
        </is>
      </c>
      <c r="B48" s="15" t="inlineStr">
        <is>
          <t>P3</t>
        </is>
      </c>
      <c r="C48" s="39" t="inlineStr">
        <is>
          <t>Srikanth</t>
        </is>
      </c>
      <c r="D48" s="15" t="inlineStr">
        <is>
          <t>Build</t>
        </is>
      </c>
      <c r="E48" s="19" t="inlineStr">
        <is>
          <t>Create the app entry point (app/main.py) with stub routers</t>
        </is>
      </c>
      <c r="F48" s="15" t="inlineStr">
        <is>
          <t>Create app/main.py from the Code sheet. It imports 8 routers; until you build them, either create each module with a minimal 'router = APIRouter()' or temporarily include only sessions. Run the API and open the interactive docs.</t>
        </is>
      </c>
      <c r="G48" s="40" t="inlineStr">
        <is>
          <t>→ Code: services/backend/app/main.py
uv run uvicorn app.main:app --reload --port 8010
# open http://localhost:8010/docs</t>
        </is>
      </c>
      <c r="H48" s="40" t="inlineStr">
        <is>
          <t>BEFORE YOU START
git pull --rebase
SAVE YOUR WORK
git add -A
git status                     # nothing listed? then there is nothing to commit for this step
git commit -m "P3.11: Create the app entry point with stub routers"
git push                       # rejected? git pull --rebase, then git push again</t>
        </is>
      </c>
      <c r="I48" s="41" t="inlineStr">
        <is>
          <t>C13</t>
        </is>
      </c>
      <c r="J48" s="41" t="inlineStr">
        <is>
          <t>L13, L21</t>
        </is>
      </c>
      <c r="K48" s="15" t="inlineStr">
        <is>
          <t>http://localhost:8010/health/ready returns {"status":"ready"} and /docs lists POST /v1/sessions.</t>
        </is>
      </c>
      <c r="L48" s="42" t="n">
        <v>0.75</v>
      </c>
      <c r="M48" s="43" t="inlineStr">
        <is>
          <t>Not started</t>
        </is>
      </c>
      <c r="N48" s="44" t="n"/>
      <c r="O48" s="43" t="n"/>
    </row>
    <row r="49" ht="130" customHeight="1">
      <c r="A49" s="15" t="inlineStr">
        <is>
          <t>P3.12</t>
        </is>
      </c>
      <c r="B49" s="15" t="inlineStr">
        <is>
          <t>P3</t>
        </is>
      </c>
      <c r="C49" s="45" t="inlineStr">
        <is>
          <t>Siva prasad</t>
        </is>
      </c>
      <c r="D49" s="15" t="inlineStr">
        <is>
          <t>Test</t>
        </is>
      </c>
      <c r="E49" s="19" t="inlineStr">
        <is>
          <t>Try the API by hand</t>
        </is>
      </c>
      <c r="F49" s="15" t="inlineStr">
        <is>
          <t>In /docs: call POST /v1/sessions, copy the token, click 'Authorize' and paste it, then call GET /v1/me. Then call GET /v1/me without authorising and see the 401 error shape. Look at the visitors table in psql: only a hash is stored.</t>
        </is>
      </c>
      <c r="G49" s="40" t="inlineStr">
        <is>
          <t>docker compose exec db psql -U chesslab -d chesslab -c "SELECT id, token_hash, expires_at FROM visitors;"</t>
        </is>
      </c>
      <c r="H49" s="40" t="inlineStr">
        <is>
          <t>BEFORE YOU START
git pull --rebase
SAVE YOUR WORK
git add -A
git status                     # nothing listed? then there is nothing to commit for this step
git commit -m "P3.12: Try the API by hand"
git push                       # rejected? git pull --rebase, then git push again</t>
        </is>
      </c>
      <c r="I49" s="15" t="n"/>
      <c r="J49" s="41" t="inlineStr">
        <is>
          <t>L19, L22</t>
        </is>
      </c>
      <c r="K49" s="15" t="inlineStr">
        <is>
          <t>You saw 201, 200 and 401 responses and a 64-character hash in the database.</t>
        </is>
      </c>
      <c r="L49" s="42" t="n">
        <v>0.5</v>
      </c>
      <c r="M49" s="43" t="inlineStr">
        <is>
          <t>Not started</t>
        </is>
      </c>
      <c r="N49" s="44" t="n"/>
      <c r="O49" s="43" t="n"/>
    </row>
    <row r="50" ht="16.6" customHeight="1">
      <c r="A50" s="15" t="inlineStr">
        <is>
          <t>P3.13</t>
        </is>
      </c>
      <c r="B50" s="15" t="inlineStr">
        <is>
          <t>P3</t>
        </is>
      </c>
      <c r="C50" s="39" t="inlineStr">
        <is>
          <t>Srikanth</t>
        </is>
      </c>
      <c r="D50" s="15" t="inlineStr">
        <is>
          <t>Learn</t>
        </is>
      </c>
      <c r="E50" s="19" t="inlineStr">
        <is>
          <t>Learn pytest</t>
        </is>
      </c>
      <c r="F50" s="15" t="inlineStr">
        <is>
          <t>Study lesson L23 and the pytest 'Get Started' page.</t>
        </is>
      </c>
      <c r="G50" s="40" t="n"/>
      <c r="H50" s="40" t="n"/>
      <c r="I50" s="15" t="n"/>
      <c r="J50" s="41" t="inlineStr">
        <is>
          <t>L23</t>
        </is>
      </c>
      <c r="K50" s="15" t="inlineStr">
        <is>
          <t>You know what a fixture is.</t>
        </is>
      </c>
      <c r="L50" s="42" t="n">
        <v>1.5</v>
      </c>
      <c r="M50" s="43" t="inlineStr">
        <is>
          <t>Not started</t>
        </is>
      </c>
      <c r="N50" s="44" t="n"/>
      <c r="O50" s="43" t="n"/>
    </row>
    <row r="51" ht="130" customHeight="1">
      <c r="A51" s="15" t="inlineStr">
        <is>
          <t>P3.14</t>
        </is>
      </c>
      <c r="B51" s="15" t="inlineStr">
        <is>
          <t>P3</t>
        </is>
      </c>
      <c r="C51" s="45" t="inlineStr">
        <is>
          <t>Siva prasad</t>
        </is>
      </c>
      <c r="D51" s="15" t="inlineStr">
        <is>
          <t>Test</t>
        </is>
      </c>
      <c r="E51" s="19" t="inlineStr">
        <is>
          <t>Add test fixtures (tests/conftest.py)</t>
        </is>
      </c>
      <c r="F51" s="15" t="inlineStr">
        <is>
          <t>Create tests/conftest.py from the Code sheet. It creates a separate chesslab_test database, builds the schema with create_all (fine for tests), truncates tables after every test, and provides client, auth and fork_puzzle fixtures.</t>
        </is>
      </c>
      <c r="G51" s="40" t="inlineStr">
        <is>
          <t>→ Code: services/backend/tests/conftest.py</t>
        </is>
      </c>
      <c r="H51" s="40" t="inlineStr">
        <is>
          <t>BEFORE YOU START
git pull --rebase
SAVE YOUR WORK
git add -A
git status                     # nothing listed? then there is nothing to commit for this step
git commit -m "P3.14: Add test fixtures"
git push                       # rejected? git pull --rebase, then git push again</t>
        </is>
      </c>
      <c r="I51" s="41" t="inlineStr">
        <is>
          <t>C14</t>
        </is>
      </c>
      <c r="J51" s="41" t="inlineStr">
        <is>
          <t>L23</t>
        </is>
      </c>
      <c r="K51" s="15" t="inlineStr">
        <is>
          <t>File created.</t>
        </is>
      </c>
      <c r="L51" s="42" t="n">
        <v>0.5</v>
      </c>
      <c r="M51" s="43" t="inlineStr">
        <is>
          <t>Not started</t>
        </is>
      </c>
      <c r="N51" s="44" t="n"/>
      <c r="O51" s="43" t="n"/>
    </row>
    <row r="52" ht="142.6" customHeight="1">
      <c r="A52" s="15" t="inlineStr">
        <is>
          <t>P3.15</t>
        </is>
      </c>
      <c r="B52" s="15" t="inlineStr">
        <is>
          <t>P3</t>
        </is>
      </c>
      <c r="C52" s="39" t="inlineStr">
        <is>
          <t>Srikanth</t>
        </is>
      </c>
      <c r="D52" s="15" t="inlineStr">
        <is>
          <t>Test</t>
        </is>
      </c>
      <c r="E52" s="19" t="inlineStr">
        <is>
          <t>Write and run the first API tests</t>
        </is>
      </c>
      <c r="F52" s="15" t="inlineStr">
        <is>
          <t>Create tests/test_api.py with test_health, test_private_routes_need_a_token (copy them from the Code sheet's test_api.py; the remaining tests in that file will pass as you complete later phases). Run pytest with the database running.</t>
        </is>
      </c>
      <c r="G52" s="40" t="inlineStr">
        <is>
          <t>→ Code: services/backend/tests/test_api.py (first two tests)
uv run pytest -q</t>
        </is>
      </c>
      <c r="H52" s="40" t="inlineStr">
        <is>
          <t>BEFORE YOU START
git pull --rebase
SAVE YOUR WORK
git add -A
git status                     # nothing listed? then there is nothing to commit for this step
git commit -m "P3.15: Write and run the first API tests"
git push                       # rejected? git pull --rebase, then git push again</t>
        </is>
      </c>
      <c r="I52" s="41" t="inlineStr">
        <is>
          <t>C73</t>
        </is>
      </c>
      <c r="J52" s="41" t="inlineStr">
        <is>
          <t>L23</t>
        </is>
      </c>
      <c r="K52" s="15" t="inlineStr">
        <is>
          <t>2 passed.</t>
        </is>
      </c>
      <c r="L52" s="42" t="n">
        <v>0.5</v>
      </c>
      <c r="M52" s="43" t="inlineStr">
        <is>
          <t>Not started</t>
        </is>
      </c>
      <c r="N52" s="44" t="n"/>
      <c r="O52" s="43" t="n"/>
    </row>
    <row r="53" ht="130" customHeight="1">
      <c r="A53" s="15" t="inlineStr">
        <is>
          <t>P3.16</t>
        </is>
      </c>
      <c r="B53" s="15" t="inlineStr">
        <is>
          <t>P3</t>
        </is>
      </c>
      <c r="C53" s="45" t="inlineStr">
        <is>
          <t>Siva prasad</t>
        </is>
      </c>
      <c r="D53" s="15" t="inlineStr">
        <is>
          <t>Test</t>
        </is>
      </c>
      <c r="E53" s="19" t="inlineStr">
        <is>
          <t>Lint and commit</t>
        </is>
      </c>
      <c r="F53" s="15" t="inlineStr">
        <is>
          <t>Run ruff (lint + import sorting) and fix anything it reports, then commit.</t>
        </is>
      </c>
      <c r="G53" s="40" t="inlineStr">
        <is>
          <t>uv run ruff check . --fix
uv run pytest -q</t>
        </is>
      </c>
      <c r="H53" s="40" t="inlineStr">
        <is>
          <t>BEFORE YOU START
git pull --rebase
SAVE YOUR WORK
git add -A
git status                     # nothing listed? then there is nothing to commit for this step
git commit -m "P3.16: Lint and commit"
git push                       # rejected? git pull --rebase, then git push again</t>
        </is>
      </c>
      <c r="I53" s="15" t="n"/>
      <c r="J53" s="41" t="inlineStr">
        <is>
          <t>L03</t>
        </is>
      </c>
      <c r="K53" s="15" t="inlineStr">
        <is>
          <t>ruff reports 'All checks passed!'.</t>
        </is>
      </c>
      <c r="L53" s="42" t="n">
        <v>0.25</v>
      </c>
      <c r="M53" s="43" t="inlineStr">
        <is>
          <t>Not started</t>
        </is>
      </c>
      <c r="N53" s="44" t="n"/>
      <c r="O53" s="43" t="n"/>
    </row>
    <row r="54" ht="30" customHeight="1">
      <c r="A54" s="36" t="n"/>
      <c r="B54" s="36" t="n"/>
      <c r="C54" s="36" t="n"/>
      <c r="D54" s="36" t="n"/>
      <c r="E54" s="37" t="inlineStr">
        <is>
          <t>P4  Playable game in the browser  (Core)</t>
        </is>
      </c>
      <c r="F54" s="38" t="inlineStr">
        <is>
          <t>Board, rules, Stockfish WASM opponent, your original engine, promotion, PGN export.</t>
        </is>
      </c>
      <c r="G54" s="36" t="n"/>
      <c r="H54" s="36" t="n"/>
      <c r="I54" s="36" t="n"/>
      <c r="J54" s="36" t="n"/>
      <c r="K54" s="36" t="n"/>
      <c r="L54" s="36" t="n"/>
      <c r="M54" s="36" t="n"/>
      <c r="N54" s="36" t="n"/>
      <c r="O54" s="36" t="n"/>
    </row>
    <row r="55" ht="29.2" customHeight="1">
      <c r="A55" s="15" t="inlineStr">
        <is>
          <t>P4.01</t>
        </is>
      </c>
      <c r="B55" s="15" t="inlineStr">
        <is>
          <t>P4</t>
        </is>
      </c>
      <c r="C55" s="45" t="inlineStr">
        <is>
          <t>Siva prasad</t>
        </is>
      </c>
      <c r="D55" s="15" t="inlineStr">
        <is>
          <t>Learn</t>
        </is>
      </c>
      <c r="E55" s="19" t="inlineStr">
        <is>
          <t>Learn TypeScript and React fundamentals</t>
        </is>
      </c>
      <c r="F55" s="15" t="inlineStr">
        <is>
          <t>Study lessons L05 and L06. Do react.dev 'Quick Start' and 'Thinking in React'. Build the tic-tac-toe tutorial in a scratch folder.</t>
        </is>
      </c>
      <c r="G55" s="40" t="n"/>
      <c r="H55" s="40" t="n"/>
      <c r="I55" s="15" t="n"/>
      <c r="J55" s="41" t="inlineStr">
        <is>
          <t>L05, L06</t>
        </is>
      </c>
      <c r="K55" s="15" t="inlineStr">
        <is>
          <t>You can explain state vs props vs refs and what useEffect cleanup does.</t>
        </is>
      </c>
      <c r="L55" s="42" t="n">
        <v>10</v>
      </c>
      <c r="M55" s="43" t="inlineStr">
        <is>
          <t>Not started</t>
        </is>
      </c>
      <c r="N55" s="44" t="n"/>
      <c r="O55" s="43" t="n"/>
    </row>
    <row r="56" ht="41.8" customHeight="1">
      <c r="A56" s="15" t="inlineStr">
        <is>
          <t>P4.02</t>
        </is>
      </c>
      <c r="B56" s="15" t="inlineStr">
        <is>
          <t>P4</t>
        </is>
      </c>
      <c r="C56" s="39" t="inlineStr">
        <is>
          <t>Srikanth</t>
        </is>
      </c>
      <c r="D56" s="15" t="inlineStr">
        <is>
          <t>Learn</t>
        </is>
      </c>
      <c r="E56" s="19" t="inlineStr">
        <is>
          <t>Learn chess notation and engines</t>
        </is>
      </c>
      <c r="F56" s="15" t="inlineStr">
        <is>
          <t>Study lessons L09 and L10. Paste a FEN into lichess.org/editor and a PGN into lichess.org/paste to see them on a board.</t>
        </is>
      </c>
      <c r="G56" s="40" t="n"/>
      <c r="H56" s="40" t="n"/>
      <c r="I56" s="15" t="n"/>
      <c r="J56" s="41" t="inlineStr">
        <is>
          <t>L09, L10</t>
        </is>
      </c>
      <c r="K56" s="15" t="inlineStr">
        <is>
          <t>You can convert a UCI move to SAN with a board and explain why FEN alone loses history.</t>
        </is>
      </c>
      <c r="L56" s="42" t="n">
        <v>2</v>
      </c>
      <c r="M56" s="43" t="inlineStr">
        <is>
          <t>Not started</t>
        </is>
      </c>
      <c r="N56" s="44" t="n"/>
      <c r="O56" s="43" t="n"/>
    </row>
    <row r="57" ht="142.6" customHeight="1">
      <c r="A57" s="15" t="inlineStr">
        <is>
          <t>P4.03</t>
        </is>
      </c>
      <c r="B57" s="15" t="inlineStr">
        <is>
          <t>P4</t>
        </is>
      </c>
      <c r="C57" s="39" t="inlineStr">
        <is>
          <t>Srikanth</t>
        </is>
      </c>
      <c r="D57" s="15" t="inlineStr">
        <is>
          <t>Build</t>
        </is>
      </c>
      <c r="E57" s="19" t="inlineStr">
        <is>
          <t>Set up the app shell: main.tsx, index.css, App.tsx</t>
        </is>
      </c>
      <c r="F57" s="15" t="inlineStr">
        <is>
          <t>1. Replace src/main.tsx and src/index.css with the Code sheet versions; delete src/App.css and src/assets.
2. Create src/App.tsx from the Code sheet. It imports pages you have not written yet: create each page file now with a placeholder component (export function PlayPage() { return &lt;p&gt;Play&lt;/p&gt;; }) and replace them as you go.
3. Run npm run dev and click through the nav links; reload a deep link such as /methodology.</t>
        </is>
      </c>
      <c r="G57" s="40" t="inlineStr">
        <is>
          <t>→ Code: apps/web/src/main.tsx
→ Code: apps/web/src/index.css
→ Code: apps/web/src/App.tsx</t>
        </is>
      </c>
      <c r="H57" s="40" t="inlineStr">
        <is>
          <t>BEFORE YOU START
git pull --rebase
SAVE YOUR WORK
git add -A
git status                     # nothing listed? then there is nothing to commit for this step
git commit -m "P4.03: Set up the app shell: main.tsx, index.css, App.tsx"
git push                       # rejected? git pull --rebase, then git push again</t>
        </is>
      </c>
      <c r="I57" s="41" t="inlineStr">
        <is>
          <t>C17, C18, C19</t>
        </is>
      </c>
      <c r="J57" s="41" t="inlineStr">
        <is>
          <t>L06, L07</t>
        </is>
      </c>
      <c r="K57" s="15" t="inlineStr">
        <is>
          <t>All nav links render placeholder pages; deep links work in dev.</t>
        </is>
      </c>
      <c r="L57" s="42" t="n">
        <v>1</v>
      </c>
      <c r="M57" s="43" t="inlineStr">
        <is>
          <t>Not started</t>
        </is>
      </c>
      <c r="N57" s="44" t="n"/>
      <c r="O57" s="43" t="n"/>
    </row>
    <row r="58" ht="142.6" customHeight="1">
      <c r="A58" s="15" t="inlineStr">
        <is>
          <t>P4.04</t>
        </is>
      </c>
      <c r="B58" s="15" t="inlineStr">
        <is>
          <t>P4</t>
        </is>
      </c>
      <c r="C58" s="45" t="inlineStr">
        <is>
          <t>Siva prasad</t>
        </is>
      </c>
      <c r="D58" s="15" t="inlineStr">
        <is>
          <t>Build</t>
        </is>
      </c>
      <c r="E58" s="19" t="inlineStr">
        <is>
          <t>Add the API client and types</t>
        </is>
      </c>
      <c r="F58" s="15" t="inlineStr">
        <is>
          <t>Create src/api/client.ts (base URL, lazy guest session, Authorization header, ApiError, one retry on 401) and src/api/types.ts. Create apps/web/.env.local with VITE_API_BASE_URL=http://localhost:8010.</t>
        </is>
      </c>
      <c r="G58" s="40" t="inlineStr">
        <is>
          <t>→ Code: apps/web/src/api/client.ts
→ Code: apps/web/src/api/types.ts
→ Code: apps/web/.env.example (copy to .env.local)</t>
        </is>
      </c>
      <c r="H58" s="40" t="inlineStr">
        <is>
          <t>BEFORE YOU START
git pull --rebase
SAVE YOUR WORK
git add -A
git status                     # nothing listed? then there is nothing to commit for this step
git commit -m "P4.04: Add the API client and types"
git push                       # rejected? git pull --rebase, then git push again</t>
        </is>
      </c>
      <c r="I58" s="41" t="inlineStr">
        <is>
          <t>C20, C21, C15</t>
        </is>
      </c>
      <c r="J58" s="41" t="inlineStr">
        <is>
          <t>L05, L19</t>
        </is>
      </c>
      <c r="K58" s="15" t="inlineStr">
        <is>
          <t>Files compile (npx tsc -b).</t>
        </is>
      </c>
      <c r="L58" s="42" t="n">
        <v>0.75</v>
      </c>
      <c r="M58" s="43" t="inlineStr">
        <is>
          <t>Not started</t>
        </is>
      </c>
      <c r="N58" s="44" t="n"/>
      <c r="O58" s="43" t="n"/>
    </row>
    <row r="59" ht="142.6" customHeight="1">
      <c r="A59" s="15" t="inlineStr">
        <is>
          <t>P4.05</t>
        </is>
      </c>
      <c r="B59" s="15" t="inlineStr">
        <is>
          <t>P4</t>
        </is>
      </c>
      <c r="C59" s="39" t="inlineStr">
        <is>
          <t>Srikanth</t>
        </is>
      </c>
      <c r="D59" s="15" t="inlineStr">
        <is>
          <t>Test</t>
        </is>
      </c>
      <c r="E59" s="19" t="inlineStr">
        <is>
          <t>Write chess helper functions with unit tests</t>
        </is>
      </c>
      <c r="F59" s="15" t="inlineStr">
        <is>
          <t>Create src/game/chessHelpers.ts (isPromotion, uciOf, parseUci, statusOf, buildPgn, positionsFromPgn) and its test file. Add a test script to package.json: "test": "vitest run". Run the tests.</t>
        </is>
      </c>
      <c r="G59" s="40" t="inlineStr">
        <is>
          <t>→ Code: apps/web/src/game/chessHelpers.ts
→ Code: apps/web/src/game/chessHelpers.test.ts
npm test</t>
        </is>
      </c>
      <c r="H59" s="40" t="inlineStr">
        <is>
          <t>BEFORE YOU START
git pull --rebase
SAVE YOUR WORK
git add -A
git status                     # nothing listed? then there is nothing to commit for this step
git commit -m "P4.05: Write chess helper functions with unit tests"
git push                       # rejected? git pull --rebase, then git push again</t>
        </is>
      </c>
      <c r="I59" s="41" t="inlineStr">
        <is>
          <t>C22, C23</t>
        </is>
      </c>
      <c r="J59" s="41" t="inlineStr">
        <is>
          <t>L24, L09</t>
        </is>
      </c>
      <c r="K59" s="15" t="inlineStr">
        <is>
          <t>4 tests pass (verified).</t>
        </is>
      </c>
      <c r="L59" s="42" t="n">
        <v>1</v>
      </c>
      <c r="M59" s="43" t="inlineStr">
        <is>
          <t>Not started</t>
        </is>
      </c>
      <c r="N59" s="44" t="n"/>
      <c r="O59" s="43" t="n"/>
    </row>
    <row r="60" ht="41.8" customHeight="1">
      <c r="A60" s="15" t="inlineStr">
        <is>
          <t>P4.06</t>
        </is>
      </c>
      <c r="B60" s="15" t="inlineStr">
        <is>
          <t>P4</t>
        </is>
      </c>
      <c r="C60" s="39" t="inlineStr">
        <is>
          <t>Srikanth</t>
        </is>
      </c>
      <c r="D60" s="15" t="inlineStr">
        <is>
          <t>Learn</t>
        </is>
      </c>
      <c r="E60" s="19" t="inlineStr">
        <is>
          <t>Learn Web Workers</t>
        </is>
      </c>
      <c r="F60" s="15" t="inlineStr">
        <is>
          <t>Study lesson L08. Read the stockfish.js README section on using it in a browser worker.</t>
        </is>
      </c>
      <c r="G60" s="40" t="n"/>
      <c r="H60" s="40" t="n"/>
      <c r="I60" s="15" t="n"/>
      <c r="J60" s="41" t="inlineStr">
        <is>
          <t>L08</t>
        </is>
      </c>
      <c r="K60" s="15" t="inlineStr">
        <is>
          <t>You can explain postMessage/onmessage and why the engine must not run on the main thread.</t>
        </is>
      </c>
      <c r="L60" s="42" t="n">
        <v>1</v>
      </c>
      <c r="M60" s="43" t="inlineStr">
        <is>
          <t>Not started</t>
        </is>
      </c>
      <c r="N60" s="44" t="n"/>
      <c r="O60" s="43" t="n"/>
    </row>
    <row r="61" ht="142.6" customHeight="1">
      <c r="A61" s="15" t="inlineStr">
        <is>
          <t>P4.07</t>
        </is>
      </c>
      <c r="B61" s="15" t="inlineStr">
        <is>
          <t>P4</t>
        </is>
      </c>
      <c r="C61" s="45" t="inlineStr">
        <is>
          <t>Siva prasad</t>
        </is>
      </c>
      <c r="D61" s="15" t="inlineStr">
        <is>
          <t>Setup</t>
        </is>
      </c>
      <c r="E61" s="19" t="inlineStr">
        <is>
          <t>Copy the Stockfish WASM build into public/</t>
        </is>
      </c>
      <c r="F61" s="15" t="inlineStr">
        <is>
          <t>1. List the files shipped by the npm package.
2. Copy the 'lite-single' JavaScript AND its .wasm file (same base name) into apps/web/public/stockfish/. Verified file names for stockfish 19.0.1: stockfish-19-lite-single.js and stockfish-19-lite-single.wasm (yours may differ by version).
3. Copy the package's licence file too (Copying.txt) to public/stockfish/ (GPLv3 requires it).</t>
        </is>
      </c>
      <c r="G61" s="40" t="inlineStr">
        <is>
          <t>ls node_modules/stockfish/bin
mkdir -p public/stockfish
cp node_modules/stockfish/bin/stockfish-*-lite-single.* public/stockfish/
cp node_modules/stockfish/Copying.txt public/stockfish/</t>
        </is>
      </c>
      <c r="H61" s="40" t="inlineStr">
        <is>
          <t>BEFORE YOU START
git pull --rebase
SAVE YOUR WORK
git add -A
git status                     # nothing listed? then there is nothing to commit for this step
git commit -m "P4.07: Copy the Stockfish WASM build into public/"
git push                       # rejected? git pull --rebase, then git push again</t>
        </is>
      </c>
      <c r="I61" s="15" t="n"/>
      <c r="J61" s="41" t="inlineStr">
        <is>
          <t>L08, L55</t>
        </is>
      </c>
      <c r="K61" s="15" t="inlineStr">
        <is>
          <t>http://localhost:5180/stockfish/&lt;name&gt;.js loads in the browser (shows JavaScript).</t>
        </is>
      </c>
      <c r="L61" s="42" t="n">
        <v>0.25</v>
      </c>
      <c r="M61" s="43" t="inlineStr">
        <is>
          <t>Not started</t>
        </is>
      </c>
      <c r="N61" s="44" t="n"/>
      <c r="O61" s="43" t="n"/>
    </row>
    <row r="62" ht="142.6" customHeight="1">
      <c r="A62" s="15" t="inlineStr">
        <is>
          <t>P4.08</t>
        </is>
      </c>
      <c r="B62" s="15" t="inlineStr">
        <is>
          <t>P4</t>
        </is>
      </c>
      <c r="C62" s="39" t="inlineStr">
        <is>
          <t>Srikanth</t>
        </is>
      </c>
      <c r="D62" s="15" t="inlineStr">
        <is>
          <t>Build</t>
        </is>
      </c>
      <c r="E62" s="19" t="inlineStr">
        <is>
          <t>Write the Stockfish worker wrapper</t>
        </is>
      </c>
      <c r="F62" s="15" t="inlineStr">
        <is>
          <t>Create src/engine/stockfish.ts. EDIT STOCKFISH_URL to the exact file you copied (e.g. /stockfish/stockfish-19-lite-single.js). Understand waitFor(): it sends a UCI command and resolves on the first output line with the expected prefix, with a timeout. bestMove() sends the start FEN plus the full move list (so repetitions are known).</t>
        </is>
      </c>
      <c r="G62" s="40" t="inlineStr">
        <is>
          <t>→ Code: apps/web/src/engine/stockfish.ts</t>
        </is>
      </c>
      <c r="H62" s="40" t="inlineStr">
        <is>
          <t>BEFORE YOU START
git pull --rebase
SAVE YOUR WORK
git add -A
git status                     # nothing listed? then there is nothing to commit for this step
git commit -m "P4.08: Write the Stockfish worker wrapper"
git push                       # rejected? git pull --rebase, then git push again</t>
        </is>
      </c>
      <c r="I62" s="41" t="inlineStr">
        <is>
          <t>C24</t>
        </is>
      </c>
      <c r="J62" s="41" t="inlineStr">
        <is>
          <t>L08, L10</t>
        </is>
      </c>
      <c r="K62" s="15" t="inlineStr">
        <is>
          <t>Compiles; you can list the UCI commands it sends.</t>
        </is>
      </c>
      <c r="L62" s="42" t="n">
        <v>1</v>
      </c>
      <c r="M62" s="43" t="inlineStr">
        <is>
          <t>Not started</t>
        </is>
      </c>
      <c r="N62" s="44" t="n"/>
      <c r="O62" s="43" t="n"/>
    </row>
    <row r="63" ht="142.6" customHeight="1">
      <c r="A63" s="15" t="inlineStr">
        <is>
          <t>P4.09</t>
        </is>
      </c>
      <c r="B63" s="15" t="inlineStr">
        <is>
          <t>P4</t>
        </is>
      </c>
      <c r="C63" s="45" t="inlineStr">
        <is>
          <t>Siva prasad</t>
        </is>
      </c>
      <c r="D63" s="15" t="inlineStr">
        <is>
          <t>Build</t>
        </is>
      </c>
      <c r="E63" s="19" t="inlineStr">
        <is>
          <t>Extract your original engine into a worker (no code changes to the engine)</t>
        </is>
      </c>
      <c r="F63" s="15" t="inlineStr">
        <is>
          <t>1. Copy the old chess.js and lines 35-309 of js/main.js (weights, piece-square tables, evaluateBoard, minimax) into public/legacy-engine/.
2. Create public/legacy-engine/legacy-worker.js (Code sheet) and src/engine/legacy.ts.
3. Note the documented limitation: from a mid-game FEN the running evaluation sum restarts at 0.</t>
        </is>
      </c>
      <c r="G63" s="40" t="inlineStr">
        <is>
          <t>mkdir -p public/legacy-engine
cp ../../js/chess.js public/legacy-engine/chess-legacy.js
sed -n '35,309p' ../../js/main.js &gt; public/legacy-engine/legacy-engine.js
head -1 public/legacy-engine/legacy-engine.js &amp;&amp; tail -1 public/legacy-engine/legacy-engine.js
→ Code: apps/web/public/legacy-engine/legacy-worker.js
→ Code: apps/web/src/engine/legacy.ts</t>
        </is>
      </c>
      <c r="H63" s="40" t="inlineStr">
        <is>
          <t>BEFORE YOU START
git pull --rebase
SAVE YOUR WORK
git add -A
git status                     # nothing listed? then there is nothing to commit for this step
git commit -m "P4.09: Extract your original engine into a worker"
git push                       # rejected? git pull --rebase, then git push again</t>
        </is>
      </c>
      <c r="I63" s="41" t="inlineStr">
        <is>
          <t>C25, C26</t>
        </is>
      </c>
      <c r="J63" s="41" t="inlineStr">
        <is>
          <t>L08, L10</t>
        </is>
      </c>
      <c r="K63" s="15" t="inlineStr">
        <is>
          <t>legacy-engine.js starts with 'var weights' and ends with the closing brace of minimax.</t>
        </is>
      </c>
      <c r="L63" s="42" t="n">
        <v>0.75</v>
      </c>
      <c r="M63" s="43" t="inlineStr">
        <is>
          <t>Not started</t>
        </is>
      </c>
      <c r="N63" s="44" t="n"/>
      <c r="O63" s="43" t="n"/>
    </row>
    <row r="64" ht="130" customHeight="1">
      <c r="A64" s="15" t="inlineStr">
        <is>
          <t>P4.10</t>
        </is>
      </c>
      <c r="B64" s="15" t="inlineStr">
        <is>
          <t>P4</t>
        </is>
      </c>
      <c r="C64" s="39" t="inlineStr">
        <is>
          <t>Srikanth</t>
        </is>
      </c>
      <c r="D64" s="15" t="inlineStr">
        <is>
          <t>Build</t>
        </is>
      </c>
      <c r="E64" s="19" t="inlineStr">
        <is>
          <t>Build the game hook (useChessGame)</t>
        </is>
      </c>
      <c r="F64" s="15" t="inlineStr">
        <is>
          <t>Create src/game/useChessGame.ts. Study how it separates the mutable chess.js object (in a ref) from render state (view), how the engine effect asks for a move whenever it is the engine's turn (including the first move when you choose Black), and how gameIdRef discards late replies after restart or resign.</t>
        </is>
      </c>
      <c r="G64" s="40" t="inlineStr">
        <is>
          <t>→ Code: apps/web/src/game/useChessGame.ts</t>
        </is>
      </c>
      <c r="H64" s="40" t="inlineStr">
        <is>
          <t>BEFORE YOU START
git pull --rebase
SAVE YOUR WORK
git add -A
git status                     # nothing listed? then there is nothing to commit for this step
git commit -m "P4.10: Build the game hook"
git push                       # rejected? git pull --rebase, then git push again</t>
        </is>
      </c>
      <c r="I64" s="41" t="inlineStr">
        <is>
          <t>C27</t>
        </is>
      </c>
      <c r="J64" s="41" t="inlineStr">
        <is>
          <t>L06, L08</t>
        </is>
      </c>
      <c r="K64" s="15" t="inlineStr">
        <is>
          <t>Compiles; you can explain the stale-reply guard.</t>
        </is>
      </c>
      <c r="L64" s="42" t="n">
        <v>2</v>
      </c>
      <c r="M64" s="43" t="inlineStr">
        <is>
          <t>Not started</t>
        </is>
      </c>
      <c r="N64" s="44" t="n"/>
      <c r="O64" s="43" t="n"/>
    </row>
    <row r="65" ht="142.6" customHeight="1">
      <c r="A65" s="15" t="inlineStr">
        <is>
          <t>P4.11</t>
        </is>
      </c>
      <c r="B65" s="15" t="inlineStr">
        <is>
          <t>P4</t>
        </is>
      </c>
      <c r="C65" s="45" t="inlineStr">
        <is>
          <t>Siva prasad</t>
        </is>
      </c>
      <c r="D65" s="15" t="inlineStr">
        <is>
          <t>Build</t>
        </is>
      </c>
      <c r="E65" s="19" t="inlineStr">
        <is>
          <t>Build MoveList and PromotionDialog components</t>
        </is>
      </c>
      <c r="F65" s="15" t="inlineStr">
        <is>
          <t>Create src/components/MoveList.tsx (accessible table of moves, current/flagged highlighting) and src/components/PromotionDialog.tsx (all four promotion pieces, keyboard focus on Queen, cancel).</t>
        </is>
      </c>
      <c r="G65" s="40" t="inlineStr">
        <is>
          <t>→ Code: apps/web/src/components/MoveList.tsx
→ Code: apps/web/src/components/PromotionDialog.tsx</t>
        </is>
      </c>
      <c r="H65" s="40" t="inlineStr">
        <is>
          <t>BEFORE YOU START
git pull --rebase
SAVE YOUR WORK
git add -A
git status                     # nothing listed? then there is nothing to commit for this step
git commit -m "P4.11: Build MoveList and PromotionDialog components"
git push                       # rejected? git pull --rebase, then git push again</t>
        </is>
      </c>
      <c r="I65" s="41" t="inlineStr">
        <is>
          <t>C28, C29</t>
        </is>
      </c>
      <c r="J65" s="41" t="inlineStr">
        <is>
          <t>L54</t>
        </is>
      </c>
      <c r="K65" s="15" t="inlineStr">
        <is>
          <t>Components render in the Play page later.</t>
        </is>
      </c>
      <c r="L65" s="42" t="n">
        <v>0.75</v>
      </c>
      <c r="M65" s="43" t="inlineStr">
        <is>
          <t>Not started</t>
        </is>
      </c>
      <c r="N65" s="44" t="n"/>
      <c r="O65" s="43" t="n"/>
    </row>
    <row r="66" ht="130" customHeight="1">
      <c r="A66" s="15" t="inlineStr">
        <is>
          <t>P4.12</t>
        </is>
      </c>
      <c r="B66" s="15" t="inlineStr">
        <is>
          <t>P4</t>
        </is>
      </c>
      <c r="C66" s="39" t="inlineStr">
        <is>
          <t>Srikanth</t>
        </is>
      </c>
      <c r="D66" s="15" t="inlineStr">
        <is>
          <t>Build</t>
        </is>
      </c>
      <c r="E66" s="19" t="inlineStr">
        <is>
          <t>Build the Play page</t>
        </is>
      </c>
      <c r="F66" s="15" t="inlineStr">
        <is>
          <t>Create src/pages/PlayPage.tsx: side and opponent selection, the board (drag and click-to-move), last-move highlight, status line (aria-live), engine error with retry, resign, restart, new setup, PGN export, and 'Review game' after the game ends. react-chessboard v4 props used: position, boardOrientation, onPieceDrop, onSquareClick, onPromotionCheck (returns false so OUR dialog handles promotion), customSquareStyles, arePiecesDraggable.</t>
        </is>
      </c>
      <c r="G66" s="40" t="inlineStr">
        <is>
          <t>→ Code: apps/web/src/pages/PlayPage.tsx</t>
        </is>
      </c>
      <c r="H66" s="40" t="inlineStr">
        <is>
          <t>BEFORE YOU START
git pull --rebase
SAVE YOUR WORK
git add -A
git status                     # nothing listed? then there is nothing to commit for this step
git commit -m "P4.12: Build the Play page"
git push                       # rejected? git pull --rebase, then git push again</t>
        </is>
      </c>
      <c r="I66" s="41" t="inlineStr">
        <is>
          <t>C30</t>
        </is>
      </c>
      <c r="J66" s="41" t="inlineStr">
        <is>
          <t>L06, L54</t>
        </is>
      </c>
      <c r="K66" s="15" t="inlineStr">
        <is>
          <t>You can play a full game against Stockfish in the browser at http://localhost:5180/play.</t>
        </is>
      </c>
      <c r="L66" s="42" t="n">
        <v>4</v>
      </c>
      <c r="M66" s="43" t="inlineStr">
        <is>
          <t>Not started</t>
        </is>
      </c>
      <c r="N66" s="44" t="n"/>
      <c r="O66" s="43" t="n"/>
    </row>
    <row r="67" ht="142.6" customHeight="1">
      <c r="A67" s="15" t="inlineStr">
        <is>
          <t>P4.13</t>
        </is>
      </c>
      <c r="B67" s="15" t="inlineStr">
        <is>
          <t>P4</t>
        </is>
      </c>
      <c r="C67" s="39" t="inlineStr">
        <is>
          <t>Srikanth</t>
        </is>
      </c>
      <c r="D67" s="15" t="inlineStr">
        <is>
          <t>Test</t>
        </is>
      </c>
      <c r="E67" s="19" t="inlineStr">
        <is>
          <t>Manually test the rules edge cases</t>
        </is>
      </c>
      <c r="F67" s="15" t="inlineStr">
        <is>
          <t>Use the board to check: castling both sides; castling is refused through check; en passant; all four promotions (set up quickly by playing, or temporarily start from a FEN); checkmate message; stalemate; threefold repetition; resign during engine thinking; restart during engine thinking (no stray engine move appears); choosing Black (engine moves first). Write results in docs/acceptance.md.</t>
        </is>
      </c>
      <c r="G67" s="40" t="n"/>
      <c r="H67" s="40" t="inlineStr">
        <is>
          <t>BEFORE YOU START
git pull --rebase
SAVE YOUR WORK
git add -A
git status                     # nothing listed? then there is nothing to commit for this step
git commit -m "P4.13: Manually test the rules edge cases"
git push                       # rejected? git pull --rebase, then git push again</t>
        </is>
      </c>
      <c r="I67" s="15" t="n"/>
      <c r="J67" s="41" t="inlineStr">
        <is>
          <t>L09</t>
        </is>
      </c>
      <c r="K67" s="15" t="inlineStr">
        <is>
          <t>Every edge case behaves correctly or has a written issue.</t>
        </is>
      </c>
      <c r="L67" s="42" t="n">
        <v>1.5</v>
      </c>
      <c r="M67" s="43" t="inlineStr">
        <is>
          <t>Not started</t>
        </is>
      </c>
      <c r="N67" s="44" t="n"/>
      <c r="O67" s="43" t="n"/>
    </row>
    <row r="68" ht="142.6" customHeight="1">
      <c r="A68" s="15" t="inlineStr">
        <is>
          <t>P4.14</t>
        </is>
      </c>
      <c r="B68" s="15" t="inlineStr">
        <is>
          <t>P4</t>
        </is>
      </c>
      <c r="C68" s="45" t="inlineStr">
        <is>
          <t>Siva prasad</t>
        </is>
      </c>
      <c r="D68" s="15" t="inlineStr">
        <is>
          <t>Test</t>
        </is>
      </c>
      <c r="E68" s="19" t="inlineStr">
        <is>
          <t>Add Playwright end-to-end tests for play</t>
        </is>
      </c>
      <c r="F68" s="15" t="inlineStr">
        <is>
          <t>Create playwright.config.ts and e2e/play.spec.ts (Code sheet). They verify: Stockfish replies as White when you choose Black; the original engine replies; deep links load. Add a script "e2e": "playwright test".
Verified result while preparing this plan: 3 passed in Chromium.</t>
        </is>
      </c>
      <c r="G68" s="40" t="inlineStr">
        <is>
          <t>→ Code: apps/web/playwright.config.ts
→ Code: apps/web/e2e/play.spec.ts
npx playwright test e2e/play.spec.ts</t>
        </is>
      </c>
      <c r="H68" s="40" t="inlineStr">
        <is>
          <t>BEFORE YOU START
git pull --rebase
SAVE YOUR WORK
git add -A
git status                     # nothing listed? then there is nothing to commit for this step
git commit -m "P4.14: Add Playwright end-to-end tests for play"
git push                       # rejected? git pull --rebase, then git push again</t>
        </is>
      </c>
      <c r="I68" s="41" t="inlineStr">
        <is>
          <t>C31, C32</t>
        </is>
      </c>
      <c r="J68" s="41" t="inlineStr">
        <is>
          <t>L24</t>
        </is>
      </c>
      <c r="K68" s="15" t="inlineStr">
        <is>
          <t>3 passed.</t>
        </is>
      </c>
      <c r="L68" s="42" t="n">
        <v>1</v>
      </c>
      <c r="M68" s="43" t="inlineStr">
        <is>
          <t>Not started</t>
        </is>
      </c>
      <c r="N68" s="44" t="n"/>
      <c r="O68" s="43" t="n"/>
    </row>
    <row r="69" ht="142.6" customHeight="1">
      <c r="A69" s="15" t="inlineStr">
        <is>
          <t>P4.15</t>
        </is>
      </c>
      <c r="B69" s="15" t="inlineStr">
        <is>
          <t>P4</t>
        </is>
      </c>
      <c r="C69" s="45" t="inlineStr">
        <is>
          <t>Siva prasad</t>
        </is>
      </c>
      <c r="D69" s="15" t="inlineStr">
        <is>
          <t>Test</t>
        </is>
      </c>
      <c r="E69" s="19" t="inlineStr">
        <is>
          <t>Type-check, build, lint and commit</t>
        </is>
      </c>
      <c r="F69" s="15" t="inlineStr">
        <is>
          <t>Run the same checks CI will run. Fix all TypeScript errors. The Vite template's linter (oxlint) may warn about React rules; aim for zero warnings.</t>
        </is>
      </c>
      <c r="G69" s="40" t="inlineStr">
        <is>
          <t>npx tsc -b
npm run build
npm run lint</t>
        </is>
      </c>
      <c r="H69" s="40" t="inlineStr">
        <is>
          <t>BEFORE YOU START
git pull --rebase
SAVE YOUR WORK
git add -A
git status                     # nothing listed? then there is nothing to commit for this step
git commit -m "P4.15: Type-check, build, lint and commit"
git push                       # rejected? git pull --rebase, then git push again</t>
        </is>
      </c>
      <c r="I69" s="15" t="n"/>
      <c r="J69" s="41" t="inlineStr">
        <is>
          <t>L07</t>
        </is>
      </c>
      <c r="K69" s="15" t="inlineStr">
        <is>
          <t>Build succeeds; dist/ is created (not committed).</t>
        </is>
      </c>
      <c r="L69" s="42" t="n">
        <v>0.25</v>
      </c>
      <c r="M69" s="43" t="inlineStr">
        <is>
          <t>Not started</t>
        </is>
      </c>
      <c r="N69" s="44" t="n"/>
      <c r="O69" s="43" t="n"/>
    </row>
    <row r="70" ht="30" customHeight="1">
      <c r="A70" s="36" t="n"/>
      <c r="B70" s="36" t="n"/>
      <c r="C70" s="36" t="n"/>
      <c r="D70" s="36" t="n"/>
      <c r="E70" s="37" t="inlineStr">
        <is>
          <t>P5  First public deployment (thin slice)  (Core)</t>
        </is>
      </c>
      <c r="F70" s="38" t="inlineStr">
        <is>
          <t>Render (API + Postgres) and Vercel (frontend) live; CORS and env vars proven; CI.   ►  Checkpoint A: a stranger can play a complete game on the public URL</t>
        </is>
      </c>
      <c r="G70" s="36" t="n"/>
      <c r="H70" s="36" t="n"/>
      <c r="I70" s="36" t="n"/>
      <c r="J70" s="36" t="n"/>
      <c r="K70" s="36" t="n"/>
      <c r="L70" s="36" t="n"/>
      <c r="M70" s="36" t="n"/>
      <c r="N70" s="36" t="n"/>
      <c r="O70" s="36" t="n"/>
    </row>
    <row r="71" ht="41.8" customHeight="1">
      <c r="A71" s="15" t="inlineStr">
        <is>
          <t>P5.01</t>
        </is>
      </c>
      <c r="B71" s="15" t="inlineStr">
        <is>
          <t>P5</t>
        </is>
      </c>
      <c r="C71" s="45" t="inlineStr">
        <is>
          <t>Siva prasad</t>
        </is>
      </c>
      <c r="D71" s="15" t="inlineStr">
        <is>
          <t>Learn</t>
        </is>
      </c>
      <c r="E71" s="19" t="inlineStr">
        <is>
          <t>Learn deployment on Render and Vercel</t>
        </is>
      </c>
      <c r="F71" s="15" t="inlineStr">
        <is>
          <t>Study lesson L48 and read Render's 'Web services', 'Background workers' and 'Free instance limitations' pages.</t>
        </is>
      </c>
      <c r="G71" s="40" t="n"/>
      <c r="H71" s="40" t="n"/>
      <c r="I71" s="15" t="n"/>
      <c r="J71" s="41" t="inlineStr">
        <is>
          <t>L48</t>
        </is>
      </c>
      <c r="K71" s="15" t="inlineStr">
        <is>
          <t>You can explain why the worker can't be serverless and why free plans sleep.</t>
        </is>
      </c>
      <c r="L71" s="42" t="n">
        <v>2</v>
      </c>
      <c r="M71" s="43" t="inlineStr">
        <is>
          <t>Not started</t>
        </is>
      </c>
      <c r="N71" s="44" t="n"/>
      <c r="O71" s="43" t="n"/>
    </row>
    <row r="72" ht="142.6" customHeight="1">
      <c r="A72" s="15" t="inlineStr">
        <is>
          <t>P5.02</t>
        </is>
      </c>
      <c r="B72" s="15" t="inlineStr">
        <is>
          <t>P5</t>
        </is>
      </c>
      <c r="C72" s="39" t="inlineStr">
        <is>
          <t>Srikanth</t>
        </is>
      </c>
      <c r="D72" s="15" t="inlineStr">
        <is>
          <t>Build</t>
        </is>
      </c>
      <c r="E72" s="19" t="inlineStr">
        <is>
          <t>Write the backend Dockerfile and build it locally</t>
        </is>
      </c>
      <c r="F72" s="15" t="inlineStr">
        <is>
          <t>1. Create services/backend/Dockerfile and .dockerignore (Code sheet).
2. Export pinned requirements from uv.lock (the image uses pip).
3. Build and run the image; check Stockfish inside it.
Verified: the image builds and contains Stockfish 15.1 at /usr/games/stockfish.</t>
        </is>
      </c>
      <c r="G72" s="40" t="inlineStr">
        <is>
          <t>→ Code: services/backend/.dockerignore
→ Code: services/backend/Dockerfile
cd services/backend
uv export --frozen --no-dev --no-emit-project --no-hashes -o requirements.txt
docker build -t chesslab-backend .
MSYS_NO_PATHCONV=1 docker run --rm chesslab-backend sh -c "echo uci | /usr/games/stockfish | head -1"</t>
        </is>
      </c>
      <c r="H72" s="40" t="inlineStr">
        <is>
          <t>BEFORE YOU START
git pull --rebase
SAVE YOUR WORK
git add -A
git status                     # nothing listed? then there is nothing to commit for this step
git commit -m "P5.02: Write the backend Dockerfile and build it locally"
git push                       # rejected? git pull --rebase, then git push again</t>
        </is>
      </c>
      <c r="I72" s="41" t="inlineStr">
        <is>
          <t>C34, C33</t>
        </is>
      </c>
      <c r="J72" s="41" t="inlineStr">
        <is>
          <t>L25</t>
        </is>
      </c>
      <c r="K72" s="15" t="inlineStr">
        <is>
          <t>The last command prints 'Stockfish 15.1 by the Stockfish developers...' (or your version).</t>
        </is>
      </c>
      <c r="L72" s="42" t="n">
        <v>1</v>
      </c>
      <c r="M72" s="43" t="inlineStr">
        <is>
          <t>Not started</t>
        </is>
      </c>
      <c r="N72" s="44" t="n"/>
      <c r="O72" s="43" t="n"/>
    </row>
    <row r="73" ht="142.6" customHeight="1">
      <c r="A73" s="15" t="inlineStr">
        <is>
          <t>P5.03</t>
        </is>
      </c>
      <c r="B73" s="15" t="inlineStr">
        <is>
          <t>P5</t>
        </is>
      </c>
      <c r="C73" s="45" t="inlineStr">
        <is>
          <t>Siva prasad</t>
        </is>
      </c>
      <c r="D73" s="15" t="inlineStr">
        <is>
          <t>Test</t>
        </is>
      </c>
      <c r="E73" s="19" t="inlineStr">
        <is>
          <t>Run the whole backend stack with Compose</t>
        </is>
      </c>
      <c r="F73" s="15" t="inlineStr">
        <is>
          <t>Start db + api (+ worker later) with Compose. The api command runs migrations first. Check health from your machine on port 8010.</t>
        </is>
      </c>
      <c r="G73" s="40" t="inlineStr">
        <is>
          <t>docker compose up --build -d
docker compose ps
curl http://localhost:8010/health/ready
docker compose logs api --tail 20</t>
        </is>
      </c>
      <c r="H73" s="40" t="inlineStr">
        <is>
          <t>BEFORE YOU START
git pull --rebase
SAVE YOUR WORK
git add -A
git status                     # nothing listed? then there is nothing to commit for this step
git commit -m "P5.03: Run the whole backend stack with Compose"
git push                       # rejected? git pull --rebase, then git push again</t>
        </is>
      </c>
      <c r="I73" s="15" t="n"/>
      <c r="J73" s="41" t="inlineStr">
        <is>
          <t>L26</t>
        </is>
      </c>
      <c r="K73" s="15" t="inlineStr">
        <is>
          <t>health/ready returns ready from the container.</t>
        </is>
      </c>
      <c r="L73" s="42" t="n">
        <v>0.5</v>
      </c>
      <c r="M73" s="43" t="inlineStr">
        <is>
          <t>Not started</t>
        </is>
      </c>
      <c r="N73" s="44" t="n"/>
      <c r="O73" s="43" t="n"/>
    </row>
    <row r="74" ht="142.6" customHeight="1">
      <c r="A74" s="15" t="inlineStr">
        <is>
          <t>P5.04</t>
        </is>
      </c>
      <c r="B74" s="15" t="inlineStr">
        <is>
          <t>P5</t>
        </is>
      </c>
      <c r="C74" s="39" t="inlineStr">
        <is>
          <t>Srikanth</t>
        </is>
      </c>
      <c r="D74" s="15" t="inlineStr">
        <is>
          <t>Deploy</t>
        </is>
      </c>
      <c r="E74" s="19" t="inlineStr">
        <is>
          <t>Check that main has all the P2-P4 work</t>
        </is>
      </c>
      <c r="F74" s="15" t="inlineStr">
        <is>
          <t>Pull the latest main and make sure it builds from a clean install on your laptop.</t>
        </is>
      </c>
      <c r="G74" s="40" t="inlineStr">
        <is>
          <t>git pull --rebase
git log --oneline -15
cd apps/web &amp;&amp; npm ci &amp;&amp; npm run build</t>
        </is>
      </c>
      <c r="H74" s="40" t="inlineStr">
        <is>
          <t>BEFORE YOU START
git pull --rebase
SAVE YOUR WORK
git add -A
git status                     # nothing listed? then there is nothing to commit for this step
git commit -m "P5.04: Check that main has all the P2-P4 work"
git push                       # rejected? git pull --rebase, then git push again</t>
        </is>
      </c>
      <c r="I74" s="15" t="n"/>
      <c r="J74" s="41" t="inlineStr">
        <is>
          <t>L03</t>
        </is>
      </c>
      <c r="K74" s="15" t="inlineStr">
        <is>
          <t>main builds from a fresh install.</t>
        </is>
      </c>
      <c r="L74" s="42" t="n">
        <v>0.25</v>
      </c>
      <c r="M74" s="43" t="inlineStr">
        <is>
          <t>Not started</t>
        </is>
      </c>
      <c r="N74" s="44" t="n"/>
      <c r="O74" s="43" t="n"/>
    </row>
    <row r="75" ht="130" customHeight="1">
      <c r="A75" s="15" t="inlineStr">
        <is>
          <t>P5.05</t>
        </is>
      </c>
      <c r="B75" s="15" t="inlineStr">
        <is>
          <t>P5</t>
        </is>
      </c>
      <c r="C75" s="45" t="inlineStr">
        <is>
          <t>Siva prasad</t>
        </is>
      </c>
      <c r="D75" s="15" t="inlineStr">
        <is>
          <t>Deploy</t>
        </is>
      </c>
      <c r="E75" s="19" t="inlineStr">
        <is>
          <t>Add CI with GitHub Actions</t>
        </is>
      </c>
      <c r="F75" s="15" t="inlineStr">
        <is>
          <t>Create .github/workflows/ci.yml (Code sheet). It runs backend lint, migrations (upgrade + check), pytest against a Postgres service container and a docker build; and frontend npm ci, lint, tsc, vitest, build and the Playwright play tests. Push and watch the Actions tab until both jobs are green. CI now runs on every push to main; keep it green.</t>
        </is>
      </c>
      <c r="G75" s="40" t="inlineStr">
        <is>
          <t>→ Code: .github/workflows/ci.yml</t>
        </is>
      </c>
      <c r="H75" s="40" t="inlineStr">
        <is>
          <t>BEFORE YOU START
git pull --rebase
SAVE YOUR WORK
git add -A
git status                     # nothing listed? then there is nothing to commit for this step
git commit -m "P5.05: Add CI with GitHub Actions"
git push                       # rejected? git pull --rebase, then git push again</t>
        </is>
      </c>
      <c r="I75" s="41" t="inlineStr">
        <is>
          <t>C37</t>
        </is>
      </c>
      <c r="J75" s="41" t="inlineStr">
        <is>
          <t>L49</t>
        </is>
      </c>
      <c r="K75" s="15" t="inlineStr">
        <is>
          <t>Both CI jobs pass; main requires CI.</t>
        </is>
      </c>
      <c r="L75" s="42" t="n">
        <v>1.5</v>
      </c>
      <c r="M75" s="43" t="inlineStr">
        <is>
          <t>Not started</t>
        </is>
      </c>
      <c r="N75" s="44" t="n"/>
      <c r="O75" s="43" t="n"/>
    </row>
    <row r="76" ht="142.6" customHeight="1">
      <c r="A76" s="15" t="inlineStr">
        <is>
          <t>P5.06</t>
        </is>
      </c>
      <c r="B76" s="15" t="inlineStr">
        <is>
          <t>P5</t>
        </is>
      </c>
      <c r="C76" s="39" t="inlineStr">
        <is>
          <t>Srikanth</t>
        </is>
      </c>
      <c r="D76" s="15" t="inlineStr">
        <is>
          <t>Deploy</t>
        </is>
      </c>
      <c r="E76" s="19" t="inlineStr">
        <is>
          <t>Create the Render Postgres database</t>
        </is>
      </c>
      <c r="F76" s="15" t="inlineStr">
        <is>
          <t>Render dashboard &gt; New &gt; Postgres. Name chesslab-db, choose a region near you (e.g. Singapore or Frankfurt) and keep API/worker in the SAME region. Choose a paid plan if you want it to persist (free databases expire). Copy the Internal Database URL (you will reference it, not paste it in code).</t>
        </is>
      </c>
      <c r="G76" s="40" t="n"/>
      <c r="H76" s="40" t="inlineStr">
        <is>
          <t>BEFORE YOU START
git pull --rebase
SAVE YOUR WORK
git add -A
git status                     # nothing listed? then there is nothing to commit for this step
git commit -m "P5.06: Create the Render Postgres database"
git push                       # rejected? git pull --rebase, then git push again</t>
        </is>
      </c>
      <c r="I76" s="15" t="n"/>
      <c r="J76" s="41" t="inlineStr">
        <is>
          <t>L48</t>
        </is>
      </c>
      <c r="K76" s="15" t="inlineStr">
        <is>
          <t>chesslab-db shows 'Available'.</t>
        </is>
      </c>
      <c r="L76" s="42" t="n">
        <v>0.5</v>
      </c>
      <c r="M76" s="43" t="inlineStr">
        <is>
          <t>Not started</t>
        </is>
      </c>
      <c r="N76" s="44" t="n"/>
      <c r="O76" s="43" t="n"/>
    </row>
    <row r="77" ht="142.6" customHeight="1">
      <c r="A77" s="15" t="inlineStr">
        <is>
          <t>P5.07</t>
        </is>
      </c>
      <c r="B77" s="15" t="inlineStr">
        <is>
          <t>P5</t>
        </is>
      </c>
      <c r="C77" s="39" t="inlineStr">
        <is>
          <t>Srikanth</t>
        </is>
      </c>
      <c r="D77" s="15" t="inlineStr">
        <is>
          <t>Deploy</t>
        </is>
      </c>
      <c r="E77" s="19" t="inlineStr">
        <is>
          <t>Create the Render web service for the API</t>
        </is>
      </c>
      <c r="F77" s="15" t="inlineStr">
        <is>
          <t>Option A (recommended): New &gt; Blueprint, select your repo; render.yaml (Code sheet) creates db, api and worker together. Option B: New &gt; Web Service &gt; Docker, root directory services/backend.
Set env vars: DATABASE_URL (from database), ENVIRONMENT=production, ALLOWED_ORIGINS (temporary: http://localhost:5180), health check path /health/ready, pre-deploy command 'alembic upgrade head'. Deploy and open https://&lt;name&gt;.onrender.com/health/ready.</t>
        </is>
      </c>
      <c r="G77" s="40" t="inlineStr">
        <is>
          <t>→ Code: render.yaml</t>
        </is>
      </c>
      <c r="H77" s="40" t="inlineStr">
        <is>
          <t>BEFORE YOU START
git pull --rebase
SAVE YOUR WORK
git add -A
git status                     # nothing listed? then there is nothing to commit for this step
git commit -m "P5.07: Create the Render web service for the API"
git push                       # rejected? git pull --rebase, then git push again</t>
        </is>
      </c>
      <c r="I77" s="41" t="inlineStr">
        <is>
          <t>C35</t>
        </is>
      </c>
      <c r="J77" s="41" t="inlineStr">
        <is>
          <t>L48, L17</t>
        </is>
      </c>
      <c r="K77" s="15" t="inlineStr">
        <is>
          <t>The public /health/ready returns ready; /docs loads over HTTPS.</t>
        </is>
      </c>
      <c r="L77" s="42" t="n">
        <v>1</v>
      </c>
      <c r="M77" s="43" t="inlineStr">
        <is>
          <t>Not started</t>
        </is>
      </c>
      <c r="N77" s="44" t="n"/>
      <c r="O77" s="43" t="n"/>
    </row>
    <row r="78" ht="142.6" customHeight="1">
      <c r="A78" s="15" t="inlineStr">
        <is>
          <t>P5.08</t>
        </is>
      </c>
      <c r="B78" s="15" t="inlineStr">
        <is>
          <t>P5</t>
        </is>
      </c>
      <c r="C78" s="39" t="inlineStr">
        <is>
          <t>Srikanth</t>
        </is>
      </c>
      <c r="D78" s="15" t="inlineStr">
        <is>
          <t>Deploy</t>
        </is>
      </c>
      <c r="E78" s="19" t="inlineStr">
        <is>
          <t>Deploy the frontend to Vercel</t>
        </is>
      </c>
      <c r="F78" s="15" t="inlineStr">
        <is>
          <t>1. Add apps/web/vercel.json (Code sheet) with the SPA rewrite and security headers; replace YOUR-API in the CSP connect-src with your Render API host.
2. Vercel &gt; Add New Project &gt; import the repo &gt; Root Directory: apps/web; Framework: Vite; Build: npm run build; Output: dist.
3. Environment variable VITE_API_BASE_URL = https://&lt;your-api&gt;.onrender.com (no trailing slash). Deploy.</t>
        </is>
      </c>
      <c r="G78" s="40" t="inlineStr">
        <is>
          <t>→ Code: apps/web/vercel.json</t>
        </is>
      </c>
      <c r="H78" s="40" t="inlineStr">
        <is>
          <t>BEFORE YOU START
git pull --rebase
SAVE YOUR WORK
git add -A
git status                     # nothing listed? then there is nothing to commit for this step
git commit -m "P5.08: Deploy the frontend to Vercel"
git push                       # rejected? git pull --rebase, then git push again</t>
        </is>
      </c>
      <c r="I78" s="41" t="inlineStr">
        <is>
          <t>C36</t>
        </is>
      </c>
      <c r="J78" s="41" t="inlineStr">
        <is>
          <t>L07, L48, L50</t>
        </is>
      </c>
      <c r="K78" s="15" t="inlineStr">
        <is>
          <t>https://&lt;project&gt;.vercel.app/play loads and you can play a game.</t>
        </is>
      </c>
      <c r="L78" s="42" t="n">
        <v>0.75</v>
      </c>
      <c r="M78" s="43" t="inlineStr">
        <is>
          <t>Not started</t>
        </is>
      </c>
      <c r="N78" s="44" t="n"/>
      <c r="O78" s="43" t="n"/>
    </row>
    <row r="79" ht="142.6" customHeight="1">
      <c r="A79" s="15" t="inlineStr">
        <is>
          <t>P5.09</t>
        </is>
      </c>
      <c r="B79" s="15" t="inlineStr">
        <is>
          <t>P5</t>
        </is>
      </c>
      <c r="C79" s="39" t="inlineStr">
        <is>
          <t>Srikanth</t>
        </is>
      </c>
      <c r="D79" s="15" t="inlineStr">
        <is>
          <t>Deploy</t>
        </is>
      </c>
      <c r="E79" s="19" t="inlineStr">
        <is>
          <t>Connect frontend and backend (CORS)</t>
        </is>
      </c>
      <c r="F79" s="15" t="inlineStr">
        <is>
          <t>Set ALLOWED_ORIGINS on the Render API to your exact Vercel origin (https://&lt;project&gt;.vercel.app, no trailing slash) and redeploy. Open the Vercel site, open DevTools &gt; Console and run: fetch('https://&lt;your-api&gt;.onrender.com/v1/sessions', {method: 'POST'}).then(r =&gt; r.json()).then(console.log). Then open DevTools &gt; Network and look at the preflight OPTIONS request and its Access-Control-Allow-Origin response header.</t>
        </is>
      </c>
      <c r="G79" s="40" t="n"/>
      <c r="H79" s="40" t="inlineStr">
        <is>
          <t>BEFORE YOU START
git pull --rebase
SAVE YOUR WORK
git add -A
git status                     # nothing listed? then there is nothing to commit for this step
git commit -m "P5.09: Connect frontend and backend"
git push                       # rejected? git pull --rebase, then git push again</t>
        </is>
      </c>
      <c r="I79" s="15" t="n"/>
      <c r="J79" s="41" t="inlineStr">
        <is>
          <t>L21</t>
        </is>
      </c>
      <c r="K79" s="15" t="inlineStr">
        <is>
          <t>The browser console shows a token; no CORS error. A request from another origin is blocked.</t>
        </is>
      </c>
      <c r="L79" s="42" t="n">
        <v>0.5</v>
      </c>
      <c r="M79" s="43" t="inlineStr">
        <is>
          <t>Not started</t>
        </is>
      </c>
      <c r="N79" s="44" t="n"/>
      <c r="O79" s="43" t="n"/>
    </row>
    <row r="80" ht="142.6" customHeight="1">
      <c r="A80" s="15" t="inlineStr">
        <is>
          <t>P5.10</t>
        </is>
      </c>
      <c r="B80" s="15" t="inlineStr">
        <is>
          <t>P5</t>
        </is>
      </c>
      <c r="C80" s="45" t="inlineStr">
        <is>
          <t>Siva prasad</t>
        </is>
      </c>
      <c r="D80" s="15" t="inlineStr">
        <is>
          <t>Test</t>
        </is>
      </c>
      <c r="E80" s="19" t="inlineStr">
        <is>
          <t>Verify the thin slice from a fresh browser</t>
        </is>
      </c>
      <c r="F80" s="15" t="inlineStr">
        <is>
          <t>Use an incognito window on your phone (mobile data, not your Wi-Fi) and: open the site; choose Black; receive an engine move; play a few moves; reload a deep link (/methodology). Then restart the Render API service and confirm sessions still work (state is in Postgres).</t>
        </is>
      </c>
      <c r="G80" s="40" t="n"/>
      <c r="H80" s="40" t="inlineStr">
        <is>
          <t>BEFORE YOU START
git pull --rebase
SAVE YOUR WORK
git add -A
git status                     # nothing listed? then there is nothing to commit for this step
git commit -m "P5.10: Verify the thin slice from a fresh browser"
git push                       # rejected? git pull --rebase, then git push again</t>
        </is>
      </c>
      <c r="I80" s="15" t="n"/>
      <c r="J80" s="41" t="inlineStr">
        <is>
          <t>L48</t>
        </is>
      </c>
      <c r="K80" s="15" t="inlineStr">
        <is>
          <t>Checkpoint A reached: a stranger can play a complete game on the public URL.</t>
        </is>
      </c>
      <c r="L80" s="42" t="n">
        <v>0.5</v>
      </c>
      <c r="M80" s="43" t="inlineStr">
        <is>
          <t>Not started</t>
        </is>
      </c>
      <c r="N80" s="44" t="n"/>
      <c r="O80" s="43" t="n"/>
    </row>
    <row r="81" ht="130" customHeight="1">
      <c r="A81" s="15" t="inlineStr">
        <is>
          <t>P5.11</t>
        </is>
      </c>
      <c r="B81" s="15" t="inlineStr">
        <is>
          <t>P5</t>
        </is>
      </c>
      <c r="C81" s="39" t="inlineStr">
        <is>
          <t>Srikanth</t>
        </is>
      </c>
      <c r="D81" s="15" t="inlineStr">
        <is>
          <t>Doc</t>
        </is>
      </c>
      <c r="E81" s="19" t="inlineStr">
        <is>
          <t>Record the deployment</t>
        </is>
      </c>
      <c r="F81" s="15" t="inlineStr">
        <is>
          <t>Start docs/OPERATIONS.md from the template: service names, URLs, region, plans, env var NAMES (never values). Tag the release.</t>
        </is>
      </c>
      <c r="G81" s="40" t="inlineStr">
        <is>
          <t>→ Code: docs/OPERATIONS_TEMPLATE.md
git tag checkpoint-a &amp;&amp; git push --tags</t>
        </is>
      </c>
      <c r="H81" s="40" t="inlineStr">
        <is>
          <t>BEFORE YOU START
git pull --rebase
SAVE YOUR WORK
git add -A
git status                     # nothing listed? then there is nothing to commit for this step
git commit -m "P5.11: Record the deployment"
git push                       # rejected? git pull --rebase, then git push again</t>
        </is>
      </c>
      <c r="I81" s="41" t="inlineStr">
        <is>
          <t>C84</t>
        </is>
      </c>
      <c r="J81" s="41" t="inlineStr">
        <is>
          <t>L49</t>
        </is>
      </c>
      <c r="K81" s="15" t="inlineStr">
        <is>
          <t>OPERATIONS.md committed; tag pushed.</t>
        </is>
      </c>
      <c r="L81" s="42" t="n">
        <v>0.5</v>
      </c>
      <c r="M81" s="43" t="inlineStr">
        <is>
          <t>Not started</t>
        </is>
      </c>
      <c r="N81" s="44" t="n"/>
      <c r="O81" s="43" t="n"/>
    </row>
    <row r="82" ht="30" customHeight="1">
      <c r="A82" s="36" t="n"/>
      <c r="B82" s="36" t="n"/>
      <c r="C82" s="36" t="n"/>
      <c r="D82" s="36" t="n"/>
      <c r="E82" s="37" t="inlineStr">
        <is>
          <t>P6  Saving games and the durable job queue  (Core)</t>
        </is>
      </c>
      <c r="F82" s="38" t="inlineStr">
        <is>
          <t>Server re-validates games; Postgres queue with leases; the worker process with Stockfish.</t>
        </is>
      </c>
      <c r="G82" s="36" t="n"/>
      <c r="H82" s="36" t="n"/>
      <c r="I82" s="36" t="n"/>
      <c r="J82" s="36" t="n"/>
      <c r="K82" s="36" t="n"/>
      <c r="L82" s="36" t="n"/>
      <c r="M82" s="36" t="n"/>
      <c r="N82" s="36" t="n"/>
      <c r="O82" s="36" t="n"/>
    </row>
    <row r="83" ht="29.2" customHeight="1">
      <c r="A83" s="15" t="inlineStr">
        <is>
          <t>P6.01</t>
        </is>
      </c>
      <c r="B83" s="15" t="inlineStr">
        <is>
          <t>P6</t>
        </is>
      </c>
      <c r="C83" s="39" t="inlineStr">
        <is>
          <t>Srikanth</t>
        </is>
      </c>
      <c r="D83" s="15" t="inlineStr">
        <is>
          <t>Learn</t>
        </is>
      </c>
      <c r="E83" s="19" t="inlineStr">
        <is>
          <t>Learn background jobs and Postgres queues</t>
        </is>
      </c>
      <c r="F83" s="15" t="inlineStr">
        <is>
          <t>Study lessons L27, L28 and L29. Draw the job state diagram (queued -&gt; running -&gt; succeeded / retry_wait / failed / cancelled) on paper.</t>
        </is>
      </c>
      <c r="G83" s="40" t="n"/>
      <c r="H83" s="40" t="n"/>
      <c r="I83" s="15" t="n"/>
      <c r="J83" s="41" t="inlineStr">
        <is>
          <t>L27, L28, L29</t>
        </is>
      </c>
      <c r="K83" s="15" t="inlineStr">
        <is>
          <t>You can explain SKIP LOCKED, leases and fencing tokens.</t>
        </is>
      </c>
      <c r="L83" s="42" t="n">
        <v>5</v>
      </c>
      <c r="M83" s="43" t="inlineStr">
        <is>
          <t>Not started</t>
        </is>
      </c>
      <c r="N83" s="44" t="n"/>
      <c r="O83" s="43" t="n"/>
    </row>
    <row r="84" ht="142.6" customHeight="1">
      <c r="A84" s="15" t="inlineStr">
        <is>
          <t>P6.02</t>
        </is>
      </c>
      <c r="B84" s="15" t="inlineStr">
        <is>
          <t>P6</t>
        </is>
      </c>
      <c r="C84" s="45" t="inlineStr">
        <is>
          <t>Siva prasad</t>
        </is>
      </c>
      <c r="D84" s="15" t="inlineStr">
        <is>
          <t>Build</t>
        </is>
      </c>
      <c r="E84" s="19" t="inlineStr">
        <is>
          <t>Add PGN parsing and validation (app/domain/pgn.py)</t>
        </is>
      </c>
      <c r="F84" s="15" t="inlineStr">
        <is>
          <t>Create app/domain/pgn.py: parse_single, iter_games (per-game errors), player_color_for, a fingerprint for games without provider ids, and bounds (400 plies). Note that python-chess records illegal moves in game.errors instead of raising.</t>
        </is>
      </c>
      <c r="G84" s="40" t="inlineStr">
        <is>
          <t>→ Code: services/backend/app/domain/pgn.py</t>
        </is>
      </c>
      <c r="H84" s="40" t="inlineStr">
        <is>
          <t>BEFORE YOU START
git pull --rebase
SAVE YOUR WORK
git add -A
git status                     # nothing listed? then there is nothing to commit for this step
git commit -m "P6.02: Add PGN parsing and validation"
git push                       # rejected? git pull --rebase, then git push again</t>
        </is>
      </c>
      <c r="I84" s="41" t="inlineStr">
        <is>
          <t>C38</t>
        </is>
      </c>
      <c r="J84" s="41" t="inlineStr">
        <is>
          <t>L33, L34</t>
        </is>
      </c>
      <c r="K84" s="15" t="inlineStr">
        <is>
          <t>File created.</t>
        </is>
      </c>
      <c r="L84" s="42" t="n">
        <v>1</v>
      </c>
      <c r="M84" s="43" t="inlineStr">
        <is>
          <t>Not started</t>
        </is>
      </c>
      <c r="N84" s="44" t="n"/>
      <c r="O84" s="43" t="n"/>
    </row>
    <row r="85" ht="130" customHeight="1">
      <c r="A85" s="15" t="inlineStr">
        <is>
          <t>P6.03</t>
        </is>
      </c>
      <c r="B85" s="15" t="inlineStr">
        <is>
          <t>P6</t>
        </is>
      </c>
      <c r="C85" s="39" t="inlineStr">
        <is>
          <t>Srikanth</t>
        </is>
      </c>
      <c r="D85" s="15" t="inlineStr">
        <is>
          <t>Test</t>
        </is>
      </c>
      <c r="E85" s="19" t="inlineStr">
        <is>
          <t>Test the PGN parser</t>
        </is>
      </c>
      <c r="F85" s="15" t="inlineStr">
        <is>
          <t>Create tests/test_learning_and_pgn.py from the Code sheet (it also contains Elo and template tests you will need later; keep them, they will pass once those modules exist, or add them later). Run the PGN tests.</t>
        </is>
      </c>
      <c r="G85" s="40" t="inlineStr">
        <is>
          <t>→ Code: services/backend/tests/test_learning_and_pgn.py
uv run pytest -q -k pgn</t>
        </is>
      </c>
      <c r="H85" s="40" t="inlineStr">
        <is>
          <t>BEFORE YOU START
git pull --rebase
SAVE YOUR WORK
git add -A
git status                     # nothing listed? then there is nothing to commit for this step
git commit -m "P6.03: Test the PGN parser"
git push                       # rejected? git pull --rebase, then git push again</t>
        </is>
      </c>
      <c r="I85" s="41" t="inlineStr">
        <is>
          <t>C72</t>
        </is>
      </c>
      <c r="J85" s="41" t="inlineStr">
        <is>
          <t>L23</t>
        </is>
      </c>
      <c r="K85" s="15" t="inlineStr">
        <is>
          <t>PGN tests pass (good game, illegal move, variant, per-game errors).</t>
        </is>
      </c>
      <c r="L85" s="42" t="n">
        <v>0.5</v>
      </c>
      <c r="M85" s="43" t="inlineStr">
        <is>
          <t>Not started</t>
        </is>
      </c>
      <c r="N85" s="44" t="n"/>
      <c r="O85" s="43" t="n"/>
    </row>
    <row r="86" ht="130" customHeight="1">
      <c r="A86" s="15" t="inlineStr">
        <is>
          <t>P6.04</t>
        </is>
      </c>
      <c r="B86" s="15" t="inlineStr">
        <is>
          <t>P6</t>
        </is>
      </c>
      <c r="C86" s="45" t="inlineStr">
        <is>
          <t>Siva prasad</t>
        </is>
      </c>
      <c r="D86" s="15" t="inlineStr">
        <is>
          <t>Build</t>
        </is>
      </c>
      <c r="E86" s="19" t="inlineStr">
        <is>
          <t>Build the job queue (app/jobs/queue.py)</t>
        </is>
      </c>
      <c r="F86" s="15" t="inlineStr">
        <is>
          <t>Create app/jobs/queue.py. Read CLAIM_SQL slowly: the inner SELECT finds the best ready job (or one whose lease expired), FOR UPDATE SKIP LOCKED takes it without waiting for other workers, the outer UPDATE marks it running with a 60 s lease and attempts+1. All later updates are fenced with 'AND attempts = :attempts AND status = running'.</t>
        </is>
      </c>
      <c r="G86" s="40" t="inlineStr">
        <is>
          <t>→ Code: services/backend/app/jobs/queue.py</t>
        </is>
      </c>
      <c r="H86" s="40" t="inlineStr">
        <is>
          <t>BEFORE YOU START
git pull --rebase
SAVE YOUR WORK
git add -A
git status                     # nothing listed? then there is nothing to commit for this step
git commit -m "P6.04: Build the job queue"
git push                       # rejected? git pull --rebase, then git push again</t>
        </is>
      </c>
      <c r="I86" s="41" t="inlineStr">
        <is>
          <t>C39</t>
        </is>
      </c>
      <c r="J86" s="41" t="inlineStr">
        <is>
          <t>L28, L29</t>
        </is>
      </c>
      <c r="K86" s="15" t="inlineStr">
        <is>
          <t>File created; you can explain each line of CLAIM_SQL.</t>
        </is>
      </c>
      <c r="L86" s="42" t="n">
        <v>2</v>
      </c>
      <c r="M86" s="43" t="inlineStr">
        <is>
          <t>Not started</t>
        </is>
      </c>
      <c r="N86" s="44" t="n"/>
      <c r="O86" s="43" t="n"/>
    </row>
    <row r="87" ht="130" customHeight="1">
      <c r="A87" s="15" t="inlineStr">
        <is>
          <t>P6.05</t>
        </is>
      </c>
      <c r="B87" s="15" t="inlineStr">
        <is>
          <t>P6</t>
        </is>
      </c>
      <c r="C87" s="39" t="inlineStr">
        <is>
          <t>Srikanth</t>
        </is>
      </c>
      <c r="D87" s="15" t="inlineStr">
        <is>
          <t>Build</t>
        </is>
      </c>
      <c r="E87" s="19" t="inlineStr">
        <is>
          <t>Add the games API (save played games)</t>
        </is>
      </c>
      <c r="F87" s="15" t="inlineStr">
        <is>
          <t>Create app/api/games.py: POST /v1/games re-validates the PGN, inserts with ON CONFLICT DO NOTHING (double clicks reuse the same game), enqueues analysis with dedupe_key and priority 10, and commits game + job together. GET list/detail use get_owned_game (404 for others). POST /{id}/analysis re-requests analysis.</t>
        </is>
      </c>
      <c r="G87" s="40" t="inlineStr">
        <is>
          <t>→ Code: services/backend/app/api/games.py</t>
        </is>
      </c>
      <c r="H87" s="40" t="inlineStr">
        <is>
          <t>BEFORE YOU START
git pull --rebase
SAVE YOUR WORK
git add -A
git status                     # nothing listed? then there is nothing to commit for this step
git commit -m "P6.05: Add the games API"
git push                       # rejected? git pull --rebase, then git push again</t>
        </is>
      </c>
      <c r="I87" s="41" t="inlineStr">
        <is>
          <t>C40</t>
        </is>
      </c>
      <c r="J87" s="41" t="inlineStr">
        <is>
          <t>L12, L20, L29</t>
        </is>
      </c>
      <c r="K87" s="15" t="inlineStr">
        <is>
          <t>File created and router included in main.py.</t>
        </is>
      </c>
      <c r="L87" s="42" t="n">
        <v>1.5</v>
      </c>
      <c r="M87" s="43" t="inlineStr">
        <is>
          <t>Not started</t>
        </is>
      </c>
      <c r="N87" s="44" t="n"/>
      <c r="O87" s="43" t="n"/>
    </row>
    <row r="88" ht="130" customHeight="1">
      <c r="A88" s="15" t="inlineStr">
        <is>
          <t>P6.06</t>
        </is>
      </c>
      <c r="B88" s="15" t="inlineStr">
        <is>
          <t>P6</t>
        </is>
      </c>
      <c r="C88" s="45" t="inlineStr">
        <is>
          <t>Siva prasad</t>
        </is>
      </c>
      <c r="D88" s="15" t="inlineStr">
        <is>
          <t>Build</t>
        </is>
      </c>
      <c r="E88" s="19" t="inlineStr">
        <is>
          <t>Add the jobs API (status and cancel)</t>
        </is>
      </c>
      <c r="F88" s="15" t="inlineStr">
        <is>
          <t>Create app/api/jobs.py: GET /v1/jobs/{id} (owner only; returns status, attempts, progress, safe error code) and POST /v1/jobs/{id}/cancel (queued jobs cancel immediately; running jobs stop at the next heartbeat).</t>
        </is>
      </c>
      <c r="G88" s="40" t="inlineStr">
        <is>
          <t>→ Code: services/backend/app/api/jobs.py</t>
        </is>
      </c>
      <c r="H88" s="40" t="inlineStr">
        <is>
          <t>BEFORE YOU START
git pull --rebase
SAVE YOUR WORK
git add -A
git status                     # nothing listed? then there is nothing to commit for this step
git commit -m "P6.06: Add the jobs API"
git push                       # rejected? git pull --rebase, then git push again</t>
        </is>
      </c>
      <c r="I88" s="41" t="inlineStr">
        <is>
          <t>C41</t>
        </is>
      </c>
      <c r="J88" s="41" t="inlineStr">
        <is>
          <t>L20, L27</t>
        </is>
      </c>
      <c r="K88" s="15" t="inlineStr">
        <is>
          <t>File created.</t>
        </is>
      </c>
      <c r="L88" s="42" t="n">
        <v>0.5</v>
      </c>
      <c r="M88" s="43" t="inlineStr">
        <is>
          <t>Not started</t>
        </is>
      </c>
      <c r="N88" s="44" t="n"/>
      <c r="O88" s="43" t="n"/>
    </row>
    <row r="89" ht="142.6" customHeight="1">
      <c r="A89" s="15" t="inlineStr">
        <is>
          <t>P6.07</t>
        </is>
      </c>
      <c r="B89" s="15" t="inlineStr">
        <is>
          <t>P6</t>
        </is>
      </c>
      <c r="C89" s="39" t="inlineStr">
        <is>
          <t>Srikanth</t>
        </is>
      </c>
      <c r="D89" s="15" t="inlineStr">
        <is>
          <t>Test</t>
        </is>
      </c>
      <c r="E89" s="19" t="inlineStr">
        <is>
          <t>Test idempotency, ownership and the queue</t>
        </is>
      </c>
      <c r="F89" s="15" t="inlineStr">
        <is>
          <t>Add these tests from tests/test_api.py: test_save_game_is_idempotent_and_queues_one_job, test_illegal_pgn_is_rejected, test_other_guests_cannot_read_my_game, test_two_workers_never_claim_the_same_job (4 threads, 30 jobs, no duplicates), test_stale_worker_cannot_overwrite, test_cancel_queued_job.</t>
        </is>
      </c>
      <c r="G89" s="40" t="inlineStr">
        <is>
          <t>uv run pytest -q tests/test_api.py</t>
        </is>
      </c>
      <c r="H89" s="40" t="inlineStr">
        <is>
          <t>BEFORE YOU START
git pull --rebase
SAVE YOUR WORK
git add -A
git status                     # nothing listed? then there is nothing to commit for this step
git commit -m "P6.07: Test idempotency, ownership and the queue"
git push                       # rejected? git pull --rebase, then git push again</t>
        </is>
      </c>
      <c r="I89" s="15" t="n"/>
      <c r="J89" s="41" t="inlineStr">
        <is>
          <t>L23, L28</t>
        </is>
      </c>
      <c r="K89" s="15" t="inlineStr">
        <is>
          <t>All queue and ownership tests pass (verified).</t>
        </is>
      </c>
      <c r="L89" s="42" t="n">
        <v>1</v>
      </c>
      <c r="M89" s="43" t="inlineStr">
        <is>
          <t>Not started</t>
        </is>
      </c>
      <c r="N89" s="44" t="n"/>
      <c r="O89" s="43" t="n"/>
    </row>
    <row r="90" ht="54.4" customHeight="1">
      <c r="A90" s="15" t="inlineStr">
        <is>
          <t>P6.08</t>
        </is>
      </c>
      <c r="B90" s="15" t="inlineStr">
        <is>
          <t>P6</t>
        </is>
      </c>
      <c r="C90" s="45" t="inlineStr">
        <is>
          <t>Siva prasad</t>
        </is>
      </c>
      <c r="D90" s="15" t="inlineStr">
        <is>
          <t>Learn</t>
        </is>
      </c>
      <c r="E90" s="19" t="inlineStr">
        <is>
          <t>Learn python-chess and engine scores</t>
        </is>
      </c>
      <c r="F90" s="15" t="inlineStr">
        <is>
          <t>Study lessons L34 and L35. In a scratch script, open Stockfish via the Docker image and analyse the start position with Limit(depth=12).</t>
        </is>
      </c>
      <c r="G90" s="40" t="inlineStr">
        <is>
          <t>MSYS_NO_PATHCONV=1 docker run --rm chesslab-backend python -c "import chess, chess.engine; e=chess.engine.SimpleEngine.popen_uci('/usr/games/stockfish'); print(e.analyse(chess.Board(), chess.engine.Limit(depth=12))['score']); e.quit()"</t>
        </is>
      </c>
      <c r="H90" s="40" t="n"/>
      <c r="I90" s="15" t="n"/>
      <c r="J90" s="41" t="inlineStr">
        <is>
          <t>L34, L35</t>
        </is>
      </c>
      <c r="K90" s="15" t="inlineStr">
        <is>
          <t>You saw a PovScore and can convert it to White's point of view.</t>
        </is>
      </c>
      <c r="L90" s="42" t="n">
        <v>2</v>
      </c>
      <c r="M90" s="43" t="inlineStr">
        <is>
          <t>Not started</t>
        </is>
      </c>
      <c r="N90" s="44" t="n"/>
      <c r="O90" s="43" t="n"/>
    </row>
    <row r="91" ht="130" customHeight="1">
      <c r="A91" s="15" t="inlineStr">
        <is>
          <t>P6.09</t>
        </is>
      </c>
      <c r="B91" s="15" t="inlineStr">
        <is>
          <t>P6</t>
        </is>
      </c>
      <c r="C91" s="39" t="inlineStr">
        <is>
          <t>Srikanth</t>
        </is>
      </c>
      <c r="D91" s="15" t="inlineStr">
        <is>
          <t>Build</t>
        </is>
      </c>
      <c r="E91" s="19" t="inlineStr">
        <is>
          <t>Add the engine adapter (app/analysis/engine.py)</t>
        </is>
      </c>
      <c r="F91" s="15" t="inlineStr">
        <is>
          <t>Create app/analysis/engine.py: MoveEval, the Evaluator protocol (so tests can use a fake), and StockfishEvaluator (one long-lived process per worker, restarted on failure, configured threads/hash, analyse(..., root_moves=[move]) to score a SPECIFIC move from the mover's point of view).</t>
        </is>
      </c>
      <c r="G91" s="40" t="inlineStr">
        <is>
          <t>→ Code: services/backend/app/analysis/engine.py</t>
        </is>
      </c>
      <c r="H91" s="40" t="inlineStr">
        <is>
          <t>BEFORE YOU START
git pull --rebase
SAVE YOUR WORK
git add -A
git status                     # nothing listed? then there is nothing to commit for this step
git commit -m "P6.09: Add the engine adapter"
git push                       # rejected? git pull --rebase, then git push again</t>
        </is>
      </c>
      <c r="I91" s="41" t="inlineStr">
        <is>
          <t>C42</t>
        </is>
      </c>
      <c r="J91" s="41" t="inlineStr">
        <is>
          <t>L34, L35</t>
        </is>
      </c>
      <c r="K91" s="15" t="inlineStr">
        <is>
          <t>File created.</t>
        </is>
      </c>
      <c r="L91" s="42" t="n">
        <v>1</v>
      </c>
      <c r="M91" s="43" t="inlineStr">
        <is>
          <t>Not started</t>
        </is>
      </c>
      <c r="N91" s="44" t="n"/>
      <c r="O91" s="43" t="n"/>
    </row>
    <row r="92" ht="142.6" customHeight="1">
      <c r="A92" s="15" t="inlineStr">
        <is>
          <t>P6.10</t>
        </is>
      </c>
      <c r="B92" s="15" t="inlineStr">
        <is>
          <t>P6</t>
        </is>
      </c>
      <c r="C92" s="45" t="inlineStr">
        <is>
          <t>Siva prasad</t>
        </is>
      </c>
      <c r="D92" s="15" t="inlineStr">
        <is>
          <t>Build</t>
        </is>
      </c>
      <c r="E92" s="19" t="inlineStr">
        <is>
          <t>Add job handlers and the worker loop</t>
        </is>
      </c>
      <c r="F92" s="15" t="inlineStr">
        <is>
          <t>Create app/jobs/handlers.py (analyze_game now; import_lichess is used in P7) and app/worker.py (claim -&gt; run -&gt; complete/fail/cancel, SIGTERM-safe, sweeps exhausted leases every minute). analyze_game depends on the analysis pipeline from P8: create app/analysis/pipeline.py now as a stub returning AnalysisResult() with no findings, or build P8 first and return here.</t>
        </is>
      </c>
      <c r="G92" s="40" t="inlineStr">
        <is>
          <t>→ Code: services/backend/app/jobs/handlers.py
→ Code: services/backend/app/worker.py</t>
        </is>
      </c>
      <c r="H92" s="40" t="inlineStr">
        <is>
          <t>BEFORE YOU START
git pull --rebase
SAVE YOUR WORK
git add -A
git status                     # nothing listed? then there is nothing to commit for this step
git commit -m "P6.10: Add job handlers and the worker loop"
git push                       # rejected? git pull --rebase, then git push again</t>
        </is>
      </c>
      <c r="I92" s="41" t="inlineStr">
        <is>
          <t>C43, C44</t>
        </is>
      </c>
      <c r="J92" s="41" t="inlineStr">
        <is>
          <t>L27, L29, L52</t>
        </is>
      </c>
      <c r="K92" s="15" t="inlineStr">
        <is>
          <t>uv run python -m app.worker starts and logs 'worker started'.</t>
        </is>
      </c>
      <c r="L92" s="42" t="n">
        <v>2.5</v>
      </c>
      <c r="M92" s="43" t="inlineStr">
        <is>
          <t>Not started</t>
        </is>
      </c>
      <c r="N92" s="44" t="n"/>
      <c r="O92" s="43" t="n"/>
    </row>
    <row r="93" ht="142.6" customHeight="1">
      <c r="A93" s="15" t="inlineStr">
        <is>
          <t>P6.11</t>
        </is>
      </c>
      <c r="B93" s="15" t="inlineStr">
        <is>
          <t>P6</t>
        </is>
      </c>
      <c r="C93" s="45" t="inlineStr">
        <is>
          <t>Siva prasad</t>
        </is>
      </c>
      <c r="D93" s="15" t="inlineStr">
        <is>
          <t>Test</t>
        </is>
      </c>
      <c r="E93" s="19" t="inlineStr">
        <is>
          <t>Run the worker in Compose and watch a job</t>
        </is>
      </c>
      <c r="F93" s="15" t="inlineStr">
        <is>
          <t>Start the worker service, save a game through the API (/docs or the Play page's 'Review game'), and watch the worker log line: job=1 kind=analyze_game attempt=1 outcome=succeeded duration_ms=...</t>
        </is>
      </c>
      <c r="G93" s="40" t="inlineStr">
        <is>
          <t>docker compose up --build -d
docker compose logs -f worker</t>
        </is>
      </c>
      <c r="H93" s="40" t="inlineStr">
        <is>
          <t>BEFORE YOU START
git pull --rebase
SAVE YOUR WORK
git add -A
git status                     # nothing listed? then there is nothing to commit for this step
git commit -m "P6.11: Run the worker in Compose and watch a job"
git push                       # rejected? git pull --rebase, then git push again</t>
        </is>
      </c>
      <c r="I93" s="15" t="n"/>
      <c r="J93" s="41" t="inlineStr">
        <is>
          <t>L26, L52</t>
        </is>
      </c>
      <c r="K93" s="15" t="inlineStr">
        <is>
          <t>A job moves from queued to succeeded; jobs table shows status succeeded.</t>
        </is>
      </c>
      <c r="L93" s="42" t="n">
        <v>0.5</v>
      </c>
      <c r="M93" s="43" t="inlineStr">
        <is>
          <t>Not started</t>
        </is>
      </c>
      <c r="N93" s="44" t="n"/>
      <c r="O93" s="43" t="n"/>
    </row>
    <row r="94" ht="130" customHeight="1">
      <c r="A94" s="15" t="inlineStr">
        <is>
          <t>P6.12</t>
        </is>
      </c>
      <c r="B94" s="15" t="inlineStr">
        <is>
          <t>P6</t>
        </is>
      </c>
      <c r="C94" s="39" t="inlineStr">
        <is>
          <t>Srikanth</t>
        </is>
      </c>
      <c r="D94" s="15" t="inlineStr">
        <is>
          <t>Test</t>
        </is>
      </c>
      <c r="E94" s="19" t="inlineStr">
        <is>
          <t>Prove crash recovery</t>
        </is>
      </c>
      <c r="F94" s="15" t="inlineStr">
        <is>
          <t>Make a job slow (temporarily set ANALYSIS_TIME_S=3 for the worker), save a long game, and while it runs: docker compose kill worker. Wait for the 60 s lease to expire, start the worker again, and see the same job reclaimed with attempt=2 and succeed.</t>
        </is>
      </c>
      <c r="G94" s="40" t="inlineStr">
        <is>
          <t>docker compose kill worker
docker compose up -d worker
docker compose logs -f worker</t>
        </is>
      </c>
      <c r="H94" s="40" t="inlineStr">
        <is>
          <t>BEFORE YOU START
git pull --rebase
SAVE YOUR WORK
git add -A
git status                     # nothing listed? then there is nothing to commit for this step
git commit -m "P6.12: Prove crash recovery"
git push                       # rejected? git pull --rebase, then git push again</t>
        </is>
      </c>
      <c r="I94" s="15" t="n"/>
      <c r="J94" s="41" t="inlineStr">
        <is>
          <t>L28</t>
        </is>
      </c>
      <c r="K94" s="15" t="inlineStr">
        <is>
          <t>The killed job finishes on attempt 2; no duplicate evidence rows.</t>
        </is>
      </c>
      <c r="L94" s="42" t="n">
        <v>0.75</v>
      </c>
      <c r="M94" s="43" t="inlineStr">
        <is>
          <t>Not started</t>
        </is>
      </c>
      <c r="N94" s="44" t="n"/>
      <c r="O94" s="43" t="n"/>
    </row>
    <row r="95" ht="142.6" customHeight="1">
      <c r="A95" s="15" t="inlineStr">
        <is>
          <t>P6.13</t>
        </is>
      </c>
      <c r="B95" s="15" t="inlineStr">
        <is>
          <t>P6</t>
        </is>
      </c>
      <c r="C95" s="45" t="inlineStr">
        <is>
          <t>Siva prasad</t>
        </is>
      </c>
      <c r="D95" s="15" t="inlineStr">
        <is>
          <t>Deploy</t>
        </is>
      </c>
      <c r="E95" s="19" t="inlineStr">
        <is>
          <t>Wire 'Review game' in the UI and commit</t>
        </is>
      </c>
      <c r="F95" s="15" t="inlineStr">
        <is>
          <t>The Play page already POSTs /v1/games and shows 'Open review'. Play a short game locally, resign, click Review game, and confirm a job is created. Push; let CI pass; Render redeploys api; create the Render background worker (render.yaml includes it).</t>
        </is>
      </c>
      <c r="G95" s="40" t="n"/>
      <c r="H95" s="40" t="inlineStr">
        <is>
          <t>BEFORE YOU START
git pull --rebase
SAVE YOUR WORK
git add -A
git status                     # nothing listed? then there is nothing to commit for this step
git commit -m "P6.13: Wire 'Review game' in the UI and commit"
git push                       # rejected? git pull --rebase, then git push again</t>
        </is>
      </c>
      <c r="I95" s="15" t="n"/>
      <c r="J95" s="41" t="inlineStr">
        <is>
          <t>L49</t>
        </is>
      </c>
      <c r="K95" s="15" t="inlineStr">
        <is>
          <t>On the live site, a finished game creates a job that the Render worker completes.</t>
        </is>
      </c>
      <c r="L95" s="42" t="n">
        <v>1</v>
      </c>
      <c r="M95" s="43" t="inlineStr">
        <is>
          <t>Not started</t>
        </is>
      </c>
      <c r="N95" s="44" t="n"/>
      <c r="O95" s="43" t="n"/>
    </row>
    <row r="96" ht="30" customHeight="1">
      <c r="A96" s="36" t="n"/>
      <c r="B96" s="36" t="n"/>
      <c r="C96" s="36" t="n"/>
      <c r="D96" s="36" t="n"/>
      <c r="E96" s="37" t="inlineStr">
        <is>
          <t>P7  Importing history: Lichess and PGN upload  (Core)</t>
        </is>
      </c>
      <c r="F96" s="38" t="inlineStr">
        <is>
          <t>Streaming provider import, dedupe, progress, cancellation, upload validation.</t>
        </is>
      </c>
      <c r="G96" s="36" t="n"/>
      <c r="H96" s="36" t="n"/>
      <c r="I96" s="36" t="n"/>
      <c r="J96" s="36" t="n"/>
      <c r="K96" s="36" t="n"/>
      <c r="L96" s="36" t="n"/>
      <c r="M96" s="36" t="n"/>
      <c r="N96" s="36" t="n"/>
      <c r="O96" s="36" t="n"/>
    </row>
    <row r="97" ht="29.2" customHeight="1">
      <c r="A97" s="15" t="inlineStr">
        <is>
          <t>P7.01</t>
        </is>
      </c>
      <c r="B97" s="15" t="inlineStr">
        <is>
          <t>P7</t>
        </is>
      </c>
      <c r="C97" s="45" t="inlineStr">
        <is>
          <t>Siva prasad</t>
        </is>
      </c>
      <c r="D97" s="15" t="inlineStr">
        <is>
          <t>Learn</t>
        </is>
      </c>
      <c r="E97" s="19" t="inlineStr">
        <is>
          <t>Learn to consume third-party APIs</t>
        </is>
      </c>
      <c r="F97" s="15" t="inlineStr">
        <is>
          <t>Study lesson L32 and read the Lichess 'Export games of a user' docs and the API tips page.</t>
        </is>
      </c>
      <c r="G97" s="40" t="n"/>
      <c r="H97" s="40" t="n"/>
      <c r="I97" s="15" t="n"/>
      <c r="J97" s="41" t="inlineStr">
        <is>
          <t>L32</t>
        </is>
      </c>
      <c r="K97" s="15" t="inlineStr">
        <is>
          <t>You know Lichess's 429 rule and what NDJSON is.</t>
        </is>
      </c>
      <c r="L97" s="42" t="n">
        <v>1</v>
      </c>
      <c r="M97" s="43" t="inlineStr">
        <is>
          <t>Not started</t>
        </is>
      </c>
      <c r="N97" s="44" t="n"/>
      <c r="O97" s="43" t="n"/>
    </row>
    <row r="98" ht="130" customHeight="1">
      <c r="A98" s="15" t="inlineStr">
        <is>
          <t>P7.02</t>
        </is>
      </c>
      <c r="B98" s="15" t="inlineStr">
        <is>
          <t>P7</t>
        </is>
      </c>
      <c r="C98" s="39" t="inlineStr">
        <is>
          <t>Srikanth</t>
        </is>
      </c>
      <c r="D98" s="15" t="inlineStr">
        <is>
          <t>Build</t>
        </is>
      </c>
      <c r="E98" s="19" t="inlineStr">
        <is>
          <t>Write the Lichess importer</t>
        </is>
      </c>
      <c r="F98" s="15" t="inlineStr">
        <is>
          <t>Create app/importers/lichess.py: fetch_raw streams NDJSON with timeouts and a User-Agent and maps 404/429/5xx/timeouts to Permanent/Retryable errors; normalize() keeps standard, finished games with a PGN and works out the player's colour. Set PROVIDER_USER_AGENT to include your contact email.</t>
        </is>
      </c>
      <c r="G98" s="40" t="inlineStr">
        <is>
          <t>→ Code: services/backend/app/importers/lichess.py</t>
        </is>
      </c>
      <c r="H98" s="40" t="inlineStr">
        <is>
          <t>BEFORE YOU START
git pull --rebase
SAVE YOUR WORK
git add -A
git status                     # nothing listed? then there is nothing to commit for this step
git commit -m "P7.02: Write the Lichess importer"
git push                       # rejected? git pull --rebase, then git push again</t>
        </is>
      </c>
      <c r="I98" s="41" t="inlineStr">
        <is>
          <t>C45</t>
        </is>
      </c>
      <c r="J98" s="41" t="inlineStr">
        <is>
          <t>L32, L29</t>
        </is>
      </c>
      <c r="K98" s="15" t="inlineStr">
        <is>
          <t>File created.</t>
        </is>
      </c>
      <c r="L98" s="42" t="n">
        <v>1</v>
      </c>
      <c r="M98" s="43" t="inlineStr">
        <is>
          <t>Not started</t>
        </is>
      </c>
      <c r="N98" s="44" t="n"/>
      <c r="O98" s="43" t="n"/>
    </row>
    <row r="99" ht="142.6" customHeight="1">
      <c r="A99" s="15" t="inlineStr">
        <is>
          <t>P7.03</t>
        </is>
      </c>
      <c r="B99" s="15" t="inlineStr">
        <is>
          <t>P7</t>
        </is>
      </c>
      <c r="C99" s="45" t="inlineStr">
        <is>
          <t>Siva prasad</t>
        </is>
      </c>
      <c r="D99" s="15" t="inlineStr">
        <is>
          <t>Test</t>
        </is>
      </c>
      <c r="E99" s="19" t="inlineStr">
        <is>
          <t>Smoke-test the importer against live Lichess (manually, not in CI)</t>
        </is>
      </c>
      <c r="F99" s="15" t="inlineStr">
        <is>
          <t>Fetch 3 public games of a known player and a nonexistent user. Verified while preparing this plan: 3 standard blitz games parsed (91, 34, 36 plies) and the fake user raised USER_NOT_FOUND.</t>
        </is>
      </c>
      <c r="G99" s="40" t="inlineStr">
        <is>
          <t>uv run python -c "from app.importers import lichess; print([lichess.normalize(r, 'DrNykterstein').source_game_id for r in lichess.fetch_raw('DrNykterstein', 3, 'ChessLab dev test (you@example.com)')])"</t>
        </is>
      </c>
      <c r="H99" s="40" t="inlineStr">
        <is>
          <t>BEFORE YOU START
git pull --rebase
SAVE YOUR WORK
git add -A
git status                     # nothing listed? then there is nothing to commit for this step
git commit -m "P7.03: Smoke-test the importer against live Lichess"
git push                       # rejected? git pull --rebase, then git push again</t>
        </is>
      </c>
      <c r="I99" s="15" t="n"/>
      <c r="J99" s="41" t="inlineStr">
        <is>
          <t>L32</t>
        </is>
      </c>
      <c r="K99" s="15" t="inlineStr">
        <is>
          <t>Three game ids printed.</t>
        </is>
      </c>
      <c r="L99" s="42" t="n">
        <v>0.25</v>
      </c>
      <c r="M99" s="43" t="inlineStr">
        <is>
          <t>Not started</t>
        </is>
      </c>
      <c r="N99" s="44" t="n"/>
      <c r="O99" s="43" t="n"/>
    </row>
    <row r="100" ht="142.6" customHeight="1">
      <c r="A100" s="15" t="inlineStr">
        <is>
          <t>P7.04</t>
        </is>
      </c>
      <c r="B100" s="15" t="inlineStr">
        <is>
          <t>P7</t>
        </is>
      </c>
      <c r="C100" s="39" t="inlineStr">
        <is>
          <t>Srikanth</t>
        </is>
      </c>
      <c r="D100" s="15" t="inlineStr">
        <is>
          <t>Test</t>
        </is>
      </c>
      <c r="E100" s="19" t="inlineStr">
        <is>
          <t>Save a provider fixture for tests</t>
        </is>
      </c>
      <c r="F100" s="15" t="inlineStr">
        <is>
          <t>Save one real NDJSON line to tests/fixtures/lichess_game.ndjson (trim it). Write a unit test for normalize() using it, so CI never calls Lichess.</t>
        </is>
      </c>
      <c r="G100" s="40" t="n"/>
      <c r="H100" s="40" t="inlineStr">
        <is>
          <t>BEFORE YOU START
git pull --rebase
SAVE YOUR WORK
git add -A
git status                     # nothing listed? then there is nothing to commit for this step
git commit -m "P7.04: Save a provider fixture for tests"
git push                       # rejected? git pull --rebase, then git push again</t>
        </is>
      </c>
      <c r="I100" s="15" t="n"/>
      <c r="J100" s="41" t="inlineStr">
        <is>
          <t>L23, L32</t>
        </is>
      </c>
      <c r="K100" s="15" t="inlineStr">
        <is>
          <t>test passes offline.</t>
        </is>
      </c>
      <c r="L100" s="42" t="n">
        <v>0.5</v>
      </c>
      <c r="M100" s="43" t="inlineStr">
        <is>
          <t>Not started</t>
        </is>
      </c>
      <c r="N100" s="44" t="n"/>
      <c r="O100" s="43" t="n"/>
    </row>
    <row r="101" ht="130" customHeight="1">
      <c r="A101" s="15" t="inlineStr">
        <is>
          <t>P7.05</t>
        </is>
      </c>
      <c r="B101" s="15" t="inlineStr">
        <is>
          <t>P7</t>
        </is>
      </c>
      <c r="C101" s="45" t="inlineStr">
        <is>
          <t>Siva prasad</t>
        </is>
      </c>
      <c r="D101" s="15" t="inlineStr">
        <is>
          <t>Build</t>
        </is>
      </c>
      <c r="E101" s="19" t="inlineStr">
        <is>
          <t>Add the import handler</t>
        </is>
      </c>
      <c r="F101" s="15" t="inlineStr">
        <is>
          <t>handle_import_lichess in handlers.py: marks the run running, streams games, inserts each with ON CONFLICT DO NOTHING (re-imports and retries never duplicate), enqueues one analysis job per NEW game at priority 0, updates counts every 10 games and commits (so analysis of the first games starts while downloading continues), heartbeats for cancellation.</t>
        </is>
      </c>
      <c r="G101" s="40" t="inlineStr">
        <is>
          <t>→ Code: services/backend/app/jobs/handlers.py (handle_import_lichess)</t>
        </is>
      </c>
      <c r="H101" s="40" t="inlineStr">
        <is>
          <t>BEFORE YOU START
git pull --rebase
SAVE YOUR WORK
git add -A
git status                     # nothing listed? then there is nothing to commit for this step
git commit -m "P7.05: Add the import handler"
git push                       # rejected? git pull --rebase, then git push again</t>
        </is>
      </c>
      <c r="I101" s="41" t="inlineStr">
        <is>
          <t>C43</t>
        </is>
      </c>
      <c r="J101" s="41" t="inlineStr">
        <is>
          <t>L27, L29</t>
        </is>
      </c>
      <c r="K101" s="15" t="inlineStr">
        <is>
          <t>Code reviewed and understood.</t>
        </is>
      </c>
      <c r="L101" s="42" t="n">
        <v>1</v>
      </c>
      <c r="M101" s="43" t="inlineStr">
        <is>
          <t>Not started</t>
        </is>
      </c>
      <c r="N101" s="44" t="n"/>
      <c r="O101" s="43" t="n"/>
    </row>
    <row r="102" ht="130" customHeight="1">
      <c r="A102" s="15" t="inlineStr">
        <is>
          <t>P7.06</t>
        </is>
      </c>
      <c r="B102" s="15" t="inlineStr">
        <is>
          <t>P7</t>
        </is>
      </c>
      <c r="C102" s="39" t="inlineStr">
        <is>
          <t>Srikanth</t>
        </is>
      </c>
      <c r="D102" s="15" t="inlineStr">
        <is>
          <t>Build</t>
        </is>
      </c>
      <c r="E102" s="19" t="inlineStr">
        <is>
          <t>Add the imports API</t>
        </is>
      </c>
      <c r="F102" s="15" t="inlineStr">
        <is>
          <t>Create app/api/imports.py: POST /v1/imports (validated username, max 200 games, one active import per visitor -&gt; 429), POST /v1/imports/pgn (multipart upload, 2 MB limit -&gt; 413, per-game errors, colour from player name or explicit choice), GET /v1/imports/{id} with fetched/eligible/excluded/analysed counts.</t>
        </is>
      </c>
      <c r="G102" s="40" t="inlineStr">
        <is>
          <t>→ Code: services/backend/app/api/imports.py</t>
        </is>
      </c>
      <c r="H102" s="40" t="inlineStr">
        <is>
          <t>BEFORE YOU START
git pull --rebase
SAVE YOUR WORK
git add -A
git status                     # nothing listed? then there is nothing to commit for this step
git commit -m "P7.06: Add the imports API"
git push                       # rejected? git pull --rebase, then git push again</t>
        </is>
      </c>
      <c r="I102" s="41" t="inlineStr">
        <is>
          <t>C46</t>
        </is>
      </c>
      <c r="J102" s="41" t="inlineStr">
        <is>
          <t>L12, L33</t>
        </is>
      </c>
      <c r="K102" s="15" t="inlineStr">
        <is>
          <t>File created and router included.</t>
        </is>
      </c>
      <c r="L102" s="42" t="n">
        <v>1.5</v>
      </c>
      <c r="M102" s="43" t="inlineStr">
        <is>
          <t>Not started</t>
        </is>
      </c>
      <c r="N102" s="44" t="n"/>
      <c r="O102" s="43" t="n"/>
    </row>
    <row r="103" ht="142.6" customHeight="1">
      <c r="A103" s="15" t="inlineStr">
        <is>
          <t>P7.07</t>
        </is>
      </c>
      <c r="B103" s="15" t="inlineStr">
        <is>
          <t>P7</t>
        </is>
      </c>
      <c r="C103" s="45" t="inlineStr">
        <is>
          <t>Siva prasad</t>
        </is>
      </c>
      <c r="D103" s="15" t="inlineStr">
        <is>
          <t>Build</t>
        </is>
      </c>
      <c r="E103" s="19" t="inlineStr">
        <is>
          <t>Build the polling hook and Import page</t>
        </is>
      </c>
      <c r="F103" s="15" t="inlineStr">
        <is>
          <t>Create src/hooks/usePolling.ts (stops at terminal states, backs off, slows in hidden tabs) and src/pages/ImportPage.tsx (Lichess form with progress and cancel; PGN upload form with per-game feedback) and src/pages/GamesPage.tsx (your games with links to review).</t>
        </is>
      </c>
      <c r="G103" s="40" t="inlineStr">
        <is>
          <t>→ Code: apps/web/src/hooks/usePolling.ts
→ Code: apps/web/src/pages/ImportPage.tsx
→ Code: apps/web/src/pages/GamesPage.tsx</t>
        </is>
      </c>
      <c r="H103" s="40" t="inlineStr">
        <is>
          <t>BEFORE YOU START
git pull --rebase
SAVE YOUR WORK
git add -A
git status                     # nothing listed? then there is nothing to commit for this step
git commit -m "P7.07: Build the polling hook and Import page"
git push                       # rejected? git pull --rebase, then git push again</t>
        </is>
      </c>
      <c r="I103" s="41" t="inlineStr">
        <is>
          <t>C47, C48, C49</t>
        </is>
      </c>
      <c r="J103" s="41" t="inlineStr">
        <is>
          <t>L31</t>
        </is>
      </c>
      <c r="K103" s="15" t="inlineStr">
        <is>
          <t>Import 10 of your own Lichess games locally and watch counts rise.</t>
        </is>
      </c>
      <c r="L103" s="42" t="n">
        <v>2</v>
      </c>
      <c r="M103" s="43" t="inlineStr">
        <is>
          <t>Not started</t>
        </is>
      </c>
      <c r="N103" s="44" t="n"/>
      <c r="O103" s="43" t="n"/>
    </row>
    <row r="104" ht="130" customHeight="1">
      <c r="A104" s="15" t="inlineStr">
        <is>
          <t>P7.08</t>
        </is>
      </c>
      <c r="B104" s="15" t="inlineStr">
        <is>
          <t>P7</t>
        </is>
      </c>
      <c r="C104" s="39" t="inlineStr">
        <is>
          <t>Srikanth</t>
        </is>
      </c>
      <c r="D104" s="15" t="inlineStr">
        <is>
          <t>Test</t>
        </is>
      </c>
      <c r="E104" s="19" t="inlineStr">
        <is>
          <t>Test an import end to end</t>
        </is>
      </c>
      <c r="F104" s="15" t="inlineStr">
        <is>
          <t>With Compose running, import 5 games, then import the same user again (no duplicates; 'eligible' new games = 0), cancel an import midway, upload a valid PGN and an invalid one. Verified while preparing this plan: a 5-game import fetched, stored and analysed all 5 games through the queue.</t>
        </is>
      </c>
      <c r="G104" s="40" t="n"/>
      <c r="H104" s="40" t="inlineStr">
        <is>
          <t>BEFORE YOU START
git pull --rebase
SAVE YOUR WORK
git add -A
git status                     # nothing listed? then there is nothing to commit for this step
git commit -m "P7.08: Test an import end to end"
git push                       # rejected? git pull --rebase, then git push again</t>
        </is>
      </c>
      <c r="I104" s="15" t="n"/>
      <c r="J104" s="41" t="inlineStr">
        <is>
          <t>L23</t>
        </is>
      </c>
      <c r="K104" s="15" t="inlineStr">
        <is>
          <t>Counts are correct; cancel stops work; invalid PGN reports a per-game error; bad username gets 422.</t>
        </is>
      </c>
      <c r="L104" s="42" t="n">
        <v>1</v>
      </c>
      <c r="M104" s="43" t="inlineStr">
        <is>
          <t>Not started</t>
        </is>
      </c>
      <c r="N104" s="44" t="n"/>
      <c r="O104" s="43" t="n"/>
    </row>
    <row r="105" ht="142.6" customHeight="1">
      <c r="A105" s="15" t="inlineStr">
        <is>
          <t>P7.09</t>
        </is>
      </c>
      <c r="B105" s="15" t="inlineStr">
        <is>
          <t>P7</t>
        </is>
      </c>
      <c r="C105" s="45" t="inlineStr">
        <is>
          <t>Siva prasad</t>
        </is>
      </c>
      <c r="D105" s="15" t="inlineStr">
        <is>
          <t>Test</t>
        </is>
      </c>
      <c r="E105" s="19" t="inlineStr">
        <is>
          <t>Protect interactive work during imports</t>
        </is>
      </c>
      <c r="F105" s="15" t="inlineStr">
        <is>
          <t>Save a played game while a 50-game import is running: its analysis job (priority 10) should run before the queued import analyses (priority 0). Check with ops/queue_stats.sql. Note the aging term in CLAIM_SQL that prevents starvation of import jobs.</t>
        </is>
      </c>
      <c r="G105" s="40" t="inlineStr">
        <is>
          <t>→ Code: ops/queue_stats.sql
docker compose exec -T db psql -U chesslab -d chesslab &lt; ops/queue_stats.sql</t>
        </is>
      </c>
      <c r="H105" s="40" t="inlineStr">
        <is>
          <t>BEFORE YOU START
git pull --rebase
SAVE YOUR WORK
git add -A
git status                     # nothing listed? then there is nothing to commit for this step
git commit -m "P7.09: Protect interactive work during imports"
git push                       # rejected? git pull --rebase, then git push again</t>
        </is>
      </c>
      <c r="I105" s="41" t="inlineStr">
        <is>
          <t>C80</t>
        </is>
      </c>
      <c r="J105" s="41" t="inlineStr">
        <is>
          <t>L27, L53</t>
        </is>
      </c>
      <c r="K105" s="15" t="inlineStr">
        <is>
          <t>Your played game is analysed within seconds despite the import.</t>
        </is>
      </c>
      <c r="L105" s="42" t="n">
        <v>0.5</v>
      </c>
      <c r="M105" s="43" t="inlineStr">
        <is>
          <t>Not started</t>
        </is>
      </c>
      <c r="N105" s="44" t="n"/>
      <c r="O105" s="43" t="n"/>
    </row>
    <row r="106" ht="142.6" customHeight="1">
      <c r="A106" s="15" t="inlineStr">
        <is>
          <t>P7.10</t>
        </is>
      </c>
      <c r="B106" s="15" t="inlineStr">
        <is>
          <t>P7</t>
        </is>
      </c>
      <c r="C106" s="39" t="inlineStr">
        <is>
          <t>Srikanth</t>
        </is>
      </c>
      <c r="D106" s="15" t="inlineStr">
        <is>
          <t>Deploy</t>
        </is>
      </c>
      <c r="E106" s="19" t="inlineStr">
        <is>
          <t>Commit, deploy and test on the live site</t>
        </is>
      </c>
      <c r="F106" s="15" t="inlineStr">
        <is>
          <t>Push to main, let Render redeploy api and worker, import a few of your games on the live site.</t>
        </is>
      </c>
      <c r="G106" s="40" t="n"/>
      <c r="H106" s="40" t="inlineStr">
        <is>
          <t>BEFORE YOU START
git pull --rebase
SAVE YOUR WORK
git add -A
git status                     # nothing listed? then there is nothing to commit for this step
git commit -m "P7.10: Commit, deploy and test on the live site"
git push                       # rejected? git pull --rebase, then git push again</t>
        </is>
      </c>
      <c r="I106" s="15" t="n"/>
      <c r="J106" s="41" t="inlineStr">
        <is>
          <t>L49</t>
        </is>
      </c>
      <c r="K106" s="15" t="inlineStr">
        <is>
          <t>Live import works.</t>
        </is>
      </c>
      <c r="L106" s="42" t="n">
        <v>0.5</v>
      </c>
      <c r="M106" s="43" t="inlineStr">
        <is>
          <t>Not started</t>
        </is>
      </c>
      <c r="N106" s="44" t="n"/>
      <c r="O106" s="43" t="n"/>
    </row>
    <row r="107" ht="30" customHeight="1">
      <c r="A107" s="36" t="n"/>
      <c r="B107" s="36" t="n"/>
      <c r="C107" s="36" t="n"/>
      <c r="D107" s="36" t="n"/>
      <c r="E107" s="37" t="inlineStr">
        <is>
          <t>P8  Tactical analysis: verified missed knight forks  (Core)</t>
        </is>
      </c>
      <c r="F107" s="38" t="inlineStr">
        <is>
          <t>Candidate generation, engine verification, evidence records, negative tests.</t>
        </is>
      </c>
      <c r="G107" s="36" t="n"/>
      <c r="H107" s="36" t="n"/>
      <c r="I107" s="36" t="n"/>
      <c r="J107" s="36" t="n"/>
      <c r="K107" s="36" t="n"/>
      <c r="L107" s="36" t="n"/>
      <c r="M107" s="36" t="n"/>
      <c r="N107" s="36" t="n"/>
      <c r="O107" s="36" t="n"/>
    </row>
    <row r="108" ht="41.8" customHeight="1">
      <c r="A108" s="15" t="inlineStr">
        <is>
          <t>P8.01</t>
        </is>
      </c>
      <c r="B108" s="15" t="inlineStr">
        <is>
          <t>P8</t>
        </is>
      </c>
      <c r="C108" s="39" t="inlineStr">
        <is>
          <t>Srikanth</t>
        </is>
      </c>
      <c r="D108" s="15" t="inlineStr">
        <is>
          <t>Learn</t>
        </is>
      </c>
      <c r="E108" s="19" t="inlineStr">
        <is>
          <t>Learn the chess ideas and the AI pattern behind the detector</t>
        </is>
      </c>
      <c r="F108" s="15" t="inlineStr">
        <is>
          <t>Study lessons L36, L37 and L38. Solve 20 knight-fork puzzles on lichess.org/training/fork to build intuition, and note 3 'fake forks' you see (knight just gets captured, defended targets, opponent has a check).</t>
        </is>
      </c>
      <c r="G108" s="40" t="n"/>
      <c r="H108" s="40" t="n"/>
      <c r="I108" s="15" t="n"/>
      <c r="J108" s="41" t="inlineStr">
        <is>
          <t>L36, L37, L38</t>
        </is>
      </c>
      <c r="K108" s="15" t="inlineStr">
        <is>
          <t>You can define 'worthwhile target' and 'verified benefit' precisely.</t>
        </is>
      </c>
      <c r="L108" s="42" t="n">
        <v>3</v>
      </c>
      <c r="M108" s="43" t="inlineStr">
        <is>
          <t>Not started</t>
        </is>
      </c>
      <c r="N108" s="44" t="n"/>
      <c r="O108" s="43" t="n"/>
    </row>
    <row r="109" ht="142.6" customHeight="1">
      <c r="A109" s="15" t="inlineStr">
        <is>
          <t>P8.02</t>
        </is>
      </c>
      <c r="B109" s="15" t="inlineStr">
        <is>
          <t>P8</t>
        </is>
      </c>
      <c r="C109" s="45" t="inlineStr">
        <is>
          <t>Siva prasad</t>
        </is>
      </c>
      <c r="D109" s="15" t="inlineStr">
        <is>
          <t>Doc</t>
        </is>
      </c>
      <c r="E109" s="19" t="inlineStr">
        <is>
          <t>Write the taxonomy before the code</t>
        </is>
      </c>
      <c r="F109" s="15" t="inlineStr">
        <is>
          <t>Create docs/taxonomy.md with: (1) knight_fork / missed_opportunity definition; (2) worthwhile targets (king, rook, queen, undefended minor; never pawns); (3) verified benefit (the engine line captures a forked non-king target and nets &gt;= 2 pawns, or forces mate); (4) 'missed' = candidate scores &gt;= 150 cp better than the played move, same POV and limits; (5) dedupe rule for consecutive turns; (6) explicit out-of-scope cases (allowed forks, other pieces' forks). Add 6 positive and 6 negative example FENs from your puzzles and games.</t>
        </is>
      </c>
      <c r="G109" s="40" t="n"/>
      <c r="H109" s="40" t="inlineStr">
        <is>
          <t>BEFORE YOU START
git pull --rebase
SAVE YOUR WORK
git add -A
git status                     # nothing listed? then there is nothing to commit for this step
git commit -m "P8.02: Write the taxonomy before the code"
git push                       # rejected? git pull --rebase, then git push again</t>
        </is>
      </c>
      <c r="I109" s="15" t="n"/>
      <c r="J109" s="41" t="inlineStr">
        <is>
          <t>L36, L39</t>
        </is>
      </c>
      <c r="K109" s="15" t="inlineStr">
        <is>
          <t>docs/taxonomy.md exists with 12 example positions.</t>
        </is>
      </c>
      <c r="L109" s="42" t="n">
        <v>1.5</v>
      </c>
      <c r="M109" s="43" t="inlineStr">
        <is>
          <t>Not started</t>
        </is>
      </c>
      <c r="N109" s="44" t="n"/>
      <c r="O109" s="43" t="n"/>
    </row>
    <row r="110" ht="130" customHeight="1">
      <c r="A110" s="15" t="inlineStr">
        <is>
          <t>P8.03</t>
        </is>
      </c>
      <c r="B110" s="15" t="inlineStr">
        <is>
          <t>P8</t>
        </is>
      </c>
      <c r="C110" s="39" t="inlineStr">
        <is>
          <t>Srikanth</t>
        </is>
      </c>
      <c r="D110" s="15" t="inlineStr">
        <is>
          <t>Build</t>
        </is>
      </c>
      <c r="E110" s="19" t="inlineStr">
        <is>
          <t>Material counting (app/analysis/material.py)</t>
        </is>
      </c>
      <c r="F110" s="15" t="inlineStr">
        <is>
          <t>Create material.py: VALUES (P1 N3 B3 R5 Q9 K0), material(board, color), balance(board, color). Remember: material is not the engine's centipawn score.</t>
        </is>
      </c>
      <c r="G110" s="40" t="inlineStr">
        <is>
          <t>→ Code: services/backend/app/analysis/material.py</t>
        </is>
      </c>
      <c r="H110" s="40" t="inlineStr">
        <is>
          <t>BEFORE YOU START
git pull --rebase
SAVE YOUR WORK
git add -A
git status                     # nothing listed? then there is nothing to commit for this step
git commit -m "P8.03: Material counting"
git push                       # rejected? git pull --rebase, then git push again</t>
        </is>
      </c>
      <c r="I110" s="41" t="inlineStr">
        <is>
          <t>C50</t>
        </is>
      </c>
      <c r="J110" s="41" t="inlineStr">
        <is>
          <t>L35, L36</t>
        </is>
      </c>
      <c r="K110" s="15" t="inlineStr">
        <is>
          <t>File created.</t>
        </is>
      </c>
      <c r="L110" s="42" t="n">
        <v>0.25</v>
      </c>
      <c r="M110" s="43" t="inlineStr">
        <is>
          <t>Not started</t>
        </is>
      </c>
      <c r="N110" s="44" t="n"/>
      <c r="O110" s="43" t="n"/>
    </row>
    <row r="111" ht="130" customHeight="1">
      <c r="A111" s="15" t="inlineStr">
        <is>
          <t>P8.04</t>
        </is>
      </c>
      <c r="B111" s="15" t="inlineStr">
        <is>
          <t>P8</t>
        </is>
      </c>
      <c r="C111" s="45" t="inlineStr">
        <is>
          <t>Siva prasad</t>
        </is>
      </c>
      <c r="D111" s="15" t="inlineStr">
        <is>
          <t>Build</t>
        </is>
      </c>
      <c r="E111" s="19" t="inlineStr">
        <is>
          <t>Candidate generation (app/analysis/forks.py)</t>
        </is>
      </c>
      <c r="F111" s="15" t="inlineStr">
        <is>
          <t>Create forks.py: is_worthwhile_target and knight_fork_candidates. Only legal knight moves are considered (python-chess already excludes pinned knights). Candidates are sorted by target value so a budget keeps the most promising ones.</t>
        </is>
      </c>
      <c r="G111" s="40" t="inlineStr">
        <is>
          <t>→ Code: services/backend/app/analysis/forks.py</t>
        </is>
      </c>
      <c r="H111" s="40" t="inlineStr">
        <is>
          <t>BEFORE YOU START
git pull --rebase
SAVE YOUR WORK
git add -A
git status                     # nothing listed? then there is nothing to commit for this step
git commit -m "P8.04: Candidate generation"
git push                       # rejected? git pull --rebase, then git push again</t>
        </is>
      </c>
      <c r="I111" s="41" t="inlineStr">
        <is>
          <t>C51</t>
        </is>
      </c>
      <c r="J111" s="41" t="inlineStr">
        <is>
          <t>L34, L38</t>
        </is>
      </c>
      <c r="K111" s="15" t="inlineStr">
        <is>
          <t>File created.</t>
        </is>
      </c>
      <c r="L111" s="42" t="n">
        <v>1</v>
      </c>
      <c r="M111" s="43" t="inlineStr">
        <is>
          <t>Not started</t>
        </is>
      </c>
      <c r="N111" s="44" t="n"/>
      <c r="O111" s="43" t="n"/>
    </row>
    <row r="112" ht="142.6" customHeight="1">
      <c r="A112" s="15" t="inlineStr">
        <is>
          <t>P8.05</t>
        </is>
      </c>
      <c r="B112" s="15" t="inlineStr">
        <is>
          <t>P8</t>
        </is>
      </c>
      <c r="C112" s="39" t="inlineStr">
        <is>
          <t>Srikanth</t>
        </is>
      </c>
      <c r="D112" s="15" t="inlineStr">
        <is>
          <t>Test</t>
        </is>
      </c>
      <c r="E112" s="19" t="inlineStr">
        <is>
          <t>Write positive and negative candidate tests</t>
        </is>
      </c>
      <c r="F112" s="15" t="inlineStr">
        <is>
          <t>Create tests/test_forks.py (Code sheet). Run the candidate tests: royal fork found; single target not a fork; defended bishops not targets; undefended bishops are; pinned knight cannot fork; same position without the pin forks.</t>
        </is>
      </c>
      <c r="G112" s="40" t="inlineStr">
        <is>
          <t>→ Code: services/backend/tests/test_forks.py
uv run pytest -q tests/test_forks.py</t>
        </is>
      </c>
      <c r="H112" s="40" t="inlineStr">
        <is>
          <t>BEFORE YOU START
git pull --rebase
SAVE YOUR WORK
git add -A
git status                     # nothing listed? then there is nothing to commit for this step
git commit -m "P8.05: Write positive and negative candidate tests"
git push                       # rejected? git pull --rebase, then git push again</t>
        </is>
      </c>
      <c r="I112" s="41" t="inlineStr">
        <is>
          <t>C54</t>
        </is>
      </c>
      <c r="J112" s="41" t="inlineStr">
        <is>
          <t>L23</t>
        </is>
      </c>
      <c r="K112" s="15" t="inlineStr">
        <is>
          <t>Candidate tests pass (verified).</t>
        </is>
      </c>
      <c r="L112" s="42" t="n">
        <v>0.75</v>
      </c>
      <c r="M112" s="43" t="inlineStr">
        <is>
          <t>Not started</t>
        </is>
      </c>
      <c r="N112" s="44" t="n"/>
      <c r="O112" s="43" t="n"/>
    </row>
    <row r="113" ht="130" customHeight="1">
      <c r="A113" s="15" t="inlineStr">
        <is>
          <t>P8.06</t>
        </is>
      </c>
      <c r="B113" s="15" t="inlineStr">
        <is>
          <t>P8</t>
        </is>
      </c>
      <c r="C113" s="45" t="inlineStr">
        <is>
          <t>Siva prasad</t>
        </is>
      </c>
      <c r="D113" s="15" t="inlineStr">
        <is>
          <t>Build</t>
        </is>
      </c>
      <c r="E113" s="19" t="inlineStr">
        <is>
          <t>Verification (app/analysis/verify.py)</t>
        </is>
      </c>
      <c r="F113" s="15" t="inlineStr">
        <is>
          <t>Create verify.py: line_benefit replays the engine's PV (rejects illegal lines), checks that one of OUR moves captures a forked non-king target, computes material gain (and subtracts an obvious pending recapture at the end of the line). verify_fork requires (captured target AND gain &gt;= 2) OR forced mate, AND a gap &gt;= 150 cp versus the played move.</t>
        </is>
      </c>
      <c r="G113" s="40" t="inlineStr">
        <is>
          <t>→ Code: services/backend/app/analysis/verify.py</t>
        </is>
      </c>
      <c r="H113" s="40" t="inlineStr">
        <is>
          <t>BEFORE YOU START
git pull --rebase
SAVE YOUR WORK
git add -A
git status                     # nothing listed? then there is nothing to commit for this step
git commit -m "P8.06: Verification"
git push                       # rejected? git pull --rebase, then git push again</t>
        </is>
      </c>
      <c r="I113" s="41" t="inlineStr">
        <is>
          <t>C52</t>
        </is>
      </c>
      <c r="J113" s="41" t="inlineStr">
        <is>
          <t>L35, L38</t>
        </is>
      </c>
      <c r="K113" s="15" t="inlineStr">
        <is>
          <t>File created; thresholds documented in taxonomy.md.</t>
        </is>
      </c>
      <c r="L113" s="42" t="n">
        <v>1.5</v>
      </c>
      <c r="M113" s="43" t="inlineStr">
        <is>
          <t>Not started</t>
        </is>
      </c>
      <c r="N113" s="44" t="n"/>
      <c r="O113" s="43" t="n"/>
    </row>
    <row r="114" ht="142.6" customHeight="1">
      <c r="A114" s="15" t="inlineStr">
        <is>
          <t>P8.07</t>
        </is>
      </c>
      <c r="B114" s="15" t="inlineStr">
        <is>
          <t>P8</t>
        </is>
      </c>
      <c r="C114" s="39" t="inlineStr">
        <is>
          <t>Srikanth</t>
        </is>
      </c>
      <c r="D114" s="15" t="inlineStr">
        <is>
          <t>Test</t>
        </is>
      </c>
      <c r="E114" s="19" t="inlineStr">
        <is>
          <t>Test verification with a fake evaluator</t>
        </is>
      </c>
      <c r="F114" s="15" t="inlineStr">
        <is>
          <t>Run the verification tests in test_forks.py: the fork that wins the rook is verified (gain 5, gap 500); a capturable forking knight is rejected; an equally good actual move is not a mistake; an illegal engine line is rejected. FakeEvaluator returns scripted MoveEvals, so no engine is needed.</t>
        </is>
      </c>
      <c r="G114" s="40" t="inlineStr">
        <is>
          <t>uv run pytest -q tests/test_forks.py</t>
        </is>
      </c>
      <c r="H114" s="40" t="inlineStr">
        <is>
          <t>BEFORE YOU START
git pull --rebase
SAVE YOUR WORK
git add -A
git status                     # nothing listed? then there is nothing to commit for this step
git commit -m "P8.07: Test verification with a fake evaluator"
git push                       # rejected? git pull --rebase, then git push again</t>
        </is>
      </c>
      <c r="I114" s="15" t="n"/>
      <c r="J114" s="41" t="inlineStr">
        <is>
          <t>L23</t>
        </is>
      </c>
      <c r="K114" s="15" t="inlineStr">
        <is>
          <t>All 12 fork tests pass (verified).</t>
        </is>
      </c>
      <c r="L114" s="42" t="n">
        <v>0.5</v>
      </c>
      <c r="M114" s="43" t="inlineStr">
        <is>
          <t>Not started</t>
        </is>
      </c>
      <c r="N114" s="44" t="n"/>
      <c r="O114" s="43" t="n"/>
    </row>
    <row r="115" ht="130" customHeight="1">
      <c r="A115" s="15" t="inlineStr">
        <is>
          <t>P8.08</t>
        </is>
      </c>
      <c r="B115" s="15" t="inlineStr">
        <is>
          <t>P8</t>
        </is>
      </c>
      <c r="C115" s="45" t="inlineStr">
        <is>
          <t>Siva prasad</t>
        </is>
      </c>
      <c r="D115" s="15" t="inlineStr">
        <is>
          <t>Build</t>
        </is>
      </c>
      <c r="E115" s="19" t="inlineStr">
        <is>
          <t>The game pipeline (app/analysis/pipeline.py)</t>
        </is>
      </c>
      <c r="F115" s="15" t="inlineStr">
        <is>
          <t>Create pipeline.py: walk the game; on each of the player's turns generate candidates (excluding the move actually played), evaluate the played move once, verify up to 3 candidates, keep the best, dedupe the same fork on consecutive turns, convert to an evidence record (SAN line, targets, scores, limits, versions) and stop cleanly if should_continue() says no (cancellation). PIPELINE_VERSION = 'forks-v1'.</t>
        </is>
      </c>
      <c r="G115" s="40" t="inlineStr">
        <is>
          <t>→ Code: services/backend/app/analysis/pipeline.py</t>
        </is>
      </c>
      <c r="H115" s="40" t="inlineStr">
        <is>
          <t>BEFORE YOU START
git pull --rebase
SAVE YOUR WORK
git add -A
git status                     # nothing listed? then there is nothing to commit for this step
git commit -m "P8.08: The game pipeline"
git push                       # rejected? git pull --rebase, then git push again</t>
        </is>
      </c>
      <c r="I115" s="41" t="inlineStr">
        <is>
          <t>C53</t>
        </is>
      </c>
      <c r="J115" s="41" t="inlineStr">
        <is>
          <t>L38, L39</t>
        </is>
      </c>
      <c r="K115" s="15" t="inlineStr">
        <is>
          <t>test_pipeline_* tests pass.</t>
        </is>
      </c>
      <c r="L115" s="42" t="n">
        <v>1.5</v>
      </c>
      <c r="M115" s="43" t="inlineStr">
        <is>
          <t>Not started</t>
        </is>
      </c>
      <c r="N115" s="44" t="n"/>
      <c r="O115" s="43" t="n"/>
    </row>
    <row r="116" ht="142.6" customHeight="1">
      <c r="A116" s="15" t="inlineStr">
        <is>
          <t>P8.09</t>
        </is>
      </c>
      <c r="B116" s="15" t="inlineStr">
        <is>
          <t>P8</t>
        </is>
      </c>
      <c r="C116" s="45" t="inlineStr">
        <is>
          <t>Siva prasad</t>
        </is>
      </c>
      <c r="D116" s="15" t="inlineStr">
        <is>
          <t>Test</t>
        </is>
      </c>
      <c r="E116" s="19" t="inlineStr">
        <is>
          <t>Smoke-test with real Stockfish (inside the Docker image)</t>
        </is>
      </c>
      <c r="F116" s="15" t="inlineStr">
        <is>
          <t>Write a scratch script that runs analyze_game with StockfishEvaluator on the position r3k3/ppp5/8/3N4/8/8/PPP5/4K3 w - - 0 1 with moves e1e2 e8d8.
LESSON learned while preparing this plan: with the bare position r3k3/8/8/3N4/8/8/8/4K3 (no pawns) Stockfish scores the fork about 0, because knight vs nothing is a dead draw, so correctly nothing is reported. With pawns the fork scores +5 vs -3 and is found. In Git Bash, docker commands that contain container paths need the MSYS_NO_PATHCONV=1 prefix shown.</t>
        </is>
      </c>
      <c r="G116" s="40" t="inlineStr">
        <is>
          <t>MSYS_NO_PATHCONV=1 docker compose run --rm worker python -c "from app.analysis.engine import StockfishEvaluator; from app.analysis.pipeline import analyze_game; ev=StockfishEvaluator('/usr/games/stockfish',1,32,14,0.5); r=analyze_game('r3k3/ppp5/8/3N4/8/8/PPP5/4K3 w - - 0 1',['e1e2','e8d8'],'white',ev); print(r.findings[0]['explanation']); ev.close()"</t>
        </is>
      </c>
      <c r="H116" s="40" t="inlineStr">
        <is>
          <t>BEFORE YOU START
git pull --rebase
SAVE YOUR WORK
git add -A
git status                     # nothing listed? then there is nothing to commit for this step
git commit -m "P8.09: Smoke-test with real Stockfish"
git push                       # rejected? git pull --rebase, then git push again</t>
        </is>
      </c>
      <c r="I116" s="15" t="n"/>
      <c r="J116" s="41" t="inlineStr">
        <is>
          <t>L35</t>
        </is>
      </c>
      <c r="K116" s="15" t="inlineStr">
        <is>
          <t>Prints an explanation mentioning Nxc7+ and the rook on a8.</t>
        </is>
      </c>
      <c r="L116" s="42" t="n">
        <v>0.5</v>
      </c>
      <c r="M116" s="43" t="inlineStr">
        <is>
          <t>Not started</t>
        </is>
      </c>
      <c r="N116" s="44" t="n"/>
      <c r="O116" s="43" t="n"/>
    </row>
    <row r="117" ht="142.6" customHeight="1">
      <c r="A117" s="15" t="inlineStr">
        <is>
          <t>P8.10</t>
        </is>
      </c>
      <c r="B117" s="15" t="inlineStr">
        <is>
          <t>P8</t>
        </is>
      </c>
      <c r="C117" s="39" t="inlineStr">
        <is>
          <t>Srikanth</t>
        </is>
      </c>
      <c r="D117" s="15" t="inlineStr">
        <is>
          <t>Build</t>
        </is>
      </c>
      <c r="E117" s="19" t="inlineStr">
        <is>
          <t>Persist evidence in the analyze_game handler</t>
        </is>
      </c>
      <c r="F117" s="15" t="inlineStr">
        <is>
          <t>Re-read handle_analyze_game: it gets or creates the AnalysisRun for (game, pipeline_version), skips if already done (idempotent), runs the pipeline OUTSIDE any transaction with throttled heartbeats, then in one short transaction deletes old evidence for that run, inserts the new records and marks the run succeeded or partial with engine name, limits and coverage counts.</t>
        </is>
      </c>
      <c r="G117" s="40" t="inlineStr">
        <is>
          <t>→ Code: services/backend/app/jobs/handlers.py (handle_analyze_game)</t>
        </is>
      </c>
      <c r="H117" s="40" t="inlineStr">
        <is>
          <t>BEFORE YOU START
git pull --rebase
SAVE YOUR WORK
git add -A
git status                     # nothing listed? then there is nothing to commit for this step
git commit -m "P8.10: Persist evidence in the analyze_game handler"
git push                       # rejected? git pull --rebase, then git push again</t>
        </is>
      </c>
      <c r="I117" s="41" t="inlineStr">
        <is>
          <t>C43</t>
        </is>
      </c>
      <c r="J117" s="41" t="inlineStr">
        <is>
          <t>L16, L29, L39</t>
        </is>
      </c>
      <c r="K117" s="15" t="inlineStr">
        <is>
          <t>Saved games produce analysis_runs rows with positions_analyzed = positions_total.</t>
        </is>
      </c>
      <c r="L117" s="42" t="n">
        <v>0.75</v>
      </c>
      <c r="M117" s="43" t="inlineStr">
        <is>
          <t>Not started</t>
        </is>
      </c>
      <c r="N117" s="44" t="n"/>
      <c r="O117" s="43" t="n"/>
    </row>
    <row r="118" ht="130" customHeight="1">
      <c r="A118" s="15" t="inlineStr">
        <is>
          <t>P8.11</t>
        </is>
      </c>
      <c r="B118" s="15" t="inlineStr">
        <is>
          <t>P8</t>
        </is>
      </c>
      <c r="C118" s="45" t="inlineStr">
        <is>
          <t>Siva prasad</t>
        </is>
      </c>
      <c r="D118" s="15" t="inlineStr">
        <is>
          <t>Test</t>
        </is>
      </c>
      <c r="E118" s="19" t="inlineStr">
        <is>
          <t>Measure analysis time</t>
        </is>
      </c>
      <c r="F118" s="15" t="inlineStr">
        <is>
          <t>Import 20 of your Lichess games locally and read the worker durations. Verified on a desktop: 0.12-2.3 s per game for 5 blitz games; 3.7 s for a 14-ply opening with many candidates. Write your numbers in docs/OPERATIONS.md.</t>
        </is>
      </c>
      <c r="G118" s="40" t="inlineStr">
        <is>
          <t>docker compose logs worker | grep analyze_game</t>
        </is>
      </c>
      <c r="H118" s="40" t="inlineStr">
        <is>
          <t>BEFORE YOU START
git pull --rebase
SAVE YOUR WORK
git add -A
git status                     # nothing listed? then there is nothing to commit for this step
git commit -m "P8.11: Measure analysis time"
git push                       # rejected? git pull --rebase, then git push again</t>
        </is>
      </c>
      <c r="I118" s="15" t="n"/>
      <c r="J118" s="41" t="inlineStr">
        <is>
          <t>L53</t>
        </is>
      </c>
      <c r="K118" s="15" t="inlineStr">
        <is>
          <t>p50/p95 analysis time recorded.</t>
        </is>
      </c>
      <c r="L118" s="42" t="n">
        <v>0.5</v>
      </c>
      <c r="M118" s="43" t="inlineStr">
        <is>
          <t>Not started</t>
        </is>
      </c>
      <c r="N118" s="44" t="n"/>
      <c r="O118" s="43" t="n"/>
    </row>
    <row r="119" ht="130" customHeight="1">
      <c r="A119" s="15" t="inlineStr">
        <is>
          <t>P8.12</t>
        </is>
      </c>
      <c r="B119" s="15" t="inlineStr">
        <is>
          <t>P8</t>
        </is>
      </c>
      <c r="C119" s="39" t="inlineStr">
        <is>
          <t>Srikanth</t>
        </is>
      </c>
      <c r="D119" s="15" t="inlineStr">
        <is>
          <t>Test</t>
        </is>
      </c>
      <c r="E119" s="19" t="inlineStr">
        <is>
          <t>Review 10 findings by hand</t>
        </is>
      </c>
      <c r="F119" s="15" t="inlineStr">
        <is>
          <t>Open each finding's fen_before on lichess.org/analysis, check the candidate really wins material and the played move really was worse. Any false positive -&gt; add a failing test reproducing it, fix the rule or threshold, bump PIPELINE_VERSION to forks-v2 if behaviour changes.</t>
        </is>
      </c>
      <c r="G119" s="40" t="n"/>
      <c r="H119" s="40" t="inlineStr">
        <is>
          <t>BEFORE YOU START
git pull --rebase
SAVE YOUR WORK
git add -A
git status                     # nothing listed? then there is nothing to commit for this step
git commit -m "P8.12: Review 10 findings by hand"
git push                       # rejected? git pull --rebase, then git push again</t>
        </is>
      </c>
      <c r="I119" s="15" t="n"/>
      <c r="J119" s="41" t="inlineStr">
        <is>
          <t>L44</t>
        </is>
      </c>
      <c r="K119" s="15" t="inlineStr">
        <is>
          <t>Every reviewed finding is correct or has a test + fix.</t>
        </is>
      </c>
      <c r="L119" s="42" t="n">
        <v>1.5</v>
      </c>
      <c r="M119" s="43" t="inlineStr">
        <is>
          <t>Not started</t>
        </is>
      </c>
      <c r="N119" s="44" t="n"/>
      <c r="O119" s="43" t="n"/>
    </row>
    <row r="120" ht="30" customHeight="1">
      <c r="A120" s="36" t="n"/>
      <c r="B120" s="36" t="n"/>
      <c r="C120" s="36" t="n"/>
      <c r="D120" s="36" t="n"/>
      <c r="E120" s="37" t="inlineStr">
        <is>
          <t>P9  Explanations, review screen and public demo  (Core)</t>
        </is>
      </c>
      <c r="F120" s="38" t="inlineStr">
        <is>
          <t>Deterministic templates, replayable evidence, precomputed demo.</t>
        </is>
      </c>
      <c r="G120" s="36" t="n"/>
      <c r="H120" s="36" t="n"/>
      <c r="I120" s="36" t="n"/>
      <c r="J120" s="36" t="n"/>
      <c r="K120" s="36" t="n"/>
      <c r="L120" s="36" t="n"/>
      <c r="M120" s="36" t="n"/>
      <c r="N120" s="36" t="n"/>
      <c r="O120" s="36" t="n"/>
    </row>
    <row r="121" ht="29.2" customHeight="1">
      <c r="A121" s="15" t="inlineStr">
        <is>
          <t>P9.01</t>
        </is>
      </c>
      <c r="B121" s="15" t="inlineStr">
        <is>
          <t>P9</t>
        </is>
      </c>
      <c r="C121" s="39" t="inlineStr">
        <is>
          <t>Srikanth</t>
        </is>
      </c>
      <c r="D121" s="15" t="inlineStr">
        <is>
          <t>Learn</t>
        </is>
      </c>
      <c r="E121" s="19" t="inlineStr">
        <is>
          <t>Learn evidence-first explanations</t>
        </is>
      </c>
      <c r="F121" s="15" t="inlineStr">
        <is>
          <t>Study lessons L39 and L40.</t>
        </is>
      </c>
      <c r="G121" s="40" t="n"/>
      <c r="H121" s="40" t="n"/>
      <c r="I121" s="15" t="n"/>
      <c r="J121" s="41" t="inlineStr">
        <is>
          <t>L39, L40</t>
        </is>
      </c>
      <c r="K121" s="15" t="inlineStr">
        <is>
          <t>You can list the evidence fields an explanation needs.</t>
        </is>
      </c>
      <c r="L121" s="42" t="n">
        <v>0.75</v>
      </c>
      <c r="M121" s="43" t="inlineStr">
        <is>
          <t>Not started</t>
        </is>
      </c>
      <c r="N121" s="44" t="n"/>
      <c r="O121" s="43" t="n"/>
    </row>
    <row r="122" ht="130" customHeight="1">
      <c r="A122" s="15" t="inlineStr">
        <is>
          <t>P9.02</t>
        </is>
      </c>
      <c r="B122" s="15" t="inlineStr">
        <is>
          <t>P9</t>
        </is>
      </c>
      <c r="C122" s="39" t="inlineStr">
        <is>
          <t>Srikanth</t>
        </is>
      </c>
      <c r="D122" s="15" t="inlineStr">
        <is>
          <t>Build</t>
        </is>
      </c>
      <c r="E122" s="19" t="inlineStr">
        <is>
          <t>Deterministic templates (app/explain/templates.py)</t>
        </is>
      </c>
      <c r="F122" s="15" t="inlineStr">
        <is>
          <t>Create templates.py: move_label, move_phrase ('move 18 (White)'), join_targets, gain_text, explain_fork. Every slot comes from verified evidence; the last sentence states the search depth and that it is strong evidence, not proof. EXPLANATION_VERSION = 'fork-template-v1'.</t>
        </is>
      </c>
      <c r="G122" s="40" t="inlineStr">
        <is>
          <t>→ Code: services/backend/app/explain/templates.py</t>
        </is>
      </c>
      <c r="H122" s="40" t="inlineStr">
        <is>
          <t>BEFORE YOU START
git pull --rebase
SAVE YOUR WORK
git add -A
git status                     # nothing listed? then there is nothing to commit for this step
git commit -m "P9.02: Deterministic templates"
git push                       # rejected? git pull --rebase, then git push again</t>
        </is>
      </c>
      <c r="I122" s="41" t="inlineStr">
        <is>
          <t>C55</t>
        </is>
      </c>
      <c r="J122" s="41" t="inlineStr">
        <is>
          <t>L40</t>
        </is>
      </c>
      <c r="K122" s="15" t="inlineStr">
        <is>
          <t>Template unit tests pass (move labels, pipeline explanation contains Nc7+ and 'rook on a8').</t>
        </is>
      </c>
      <c r="L122" s="42" t="n">
        <v>0.75</v>
      </c>
      <c r="M122" s="43" t="inlineStr">
        <is>
          <t>Not started</t>
        </is>
      </c>
      <c r="N122" s="44" t="n"/>
      <c r="O122" s="43" t="n"/>
    </row>
    <row r="123" ht="130" customHeight="1">
      <c r="A123" s="15" t="inlineStr">
        <is>
          <t>P9.03</t>
        </is>
      </c>
      <c r="B123" s="15" t="inlineStr">
        <is>
          <t>P9</t>
        </is>
      </c>
      <c r="C123" s="39" t="inlineStr">
        <is>
          <t>Srikanth</t>
        </is>
      </c>
      <c r="D123" s="15" t="inlineStr">
        <is>
          <t>Build</t>
        </is>
      </c>
      <c r="E123" s="19" t="inlineStr">
        <is>
          <t>Review API (app/api/review.py)</t>
        </is>
      </c>
      <c r="F123" s="15" t="inlineStr">
        <is>
          <t>Create review.py: GET /v1/games/{id}/review (owner only) returns PGN, player colour, analysis state, engine, limits, coverage (analysed/total) and findings; GET /v1/demo/review serves a precomputed JSON file publicly.</t>
        </is>
      </c>
      <c r="G123" s="40" t="inlineStr">
        <is>
          <t>→ Code: services/backend/app/api/review.py</t>
        </is>
      </c>
      <c r="H123" s="40" t="inlineStr">
        <is>
          <t>BEFORE YOU START
git pull --rebase
SAVE YOUR WORK
git add -A
git status                     # nothing listed? then there is nothing to commit for this step
git commit -m "P9.03: Review API"
git push                       # rejected? git pull --rebase, then git push again</t>
        </is>
      </c>
      <c r="I123" s="41" t="inlineStr">
        <is>
          <t>C56</t>
        </is>
      </c>
      <c r="J123" s="41" t="inlineStr">
        <is>
          <t>L12, L20</t>
        </is>
      </c>
      <c r="K123" s="15" t="inlineStr">
        <is>
          <t>Router included; /docs shows both endpoints.</t>
        </is>
      </c>
      <c r="L123" s="42" t="n">
        <v>0.75</v>
      </c>
      <c r="M123" s="43" t="inlineStr">
        <is>
          <t>Not started</t>
        </is>
      </c>
      <c r="N123" s="44" t="n"/>
      <c r="O123" s="43" t="n"/>
    </row>
    <row r="124" ht="142.6" customHeight="1">
      <c r="A124" s="15" t="inlineStr">
        <is>
          <t>P9.04</t>
        </is>
      </c>
      <c r="B124" s="15" t="inlineStr">
        <is>
          <t>P9</t>
        </is>
      </c>
      <c r="C124" s="45" t="inlineStr">
        <is>
          <t>Siva prasad</t>
        </is>
      </c>
      <c r="D124" s="15" t="inlineStr">
        <is>
          <t>Build</t>
        </is>
      </c>
      <c r="E124" s="19" t="inlineStr">
        <is>
          <t>Review UI: ReviewView, ReviewPage</t>
        </is>
      </c>
      <c r="F124" s="15" t="inlineStr">
        <is>
          <t>Create src/components/ReviewView.tsx (board with red arrow = your move, green arrow = missed fork; coverage line; findings list; explanation; step through the stored line; move list with flagged plies; 'Practice this idea') and src/pages/ReviewPage.tsx (polls until analysis is final; friendly 'you can leave this page' message).</t>
        </is>
      </c>
      <c r="G124" s="40" t="inlineStr">
        <is>
          <t>→ Code: apps/web/src/components/ReviewView.tsx
→ Code: apps/web/src/pages/ReviewPage.tsx</t>
        </is>
      </c>
      <c r="H124" s="40" t="inlineStr">
        <is>
          <t>BEFORE YOU START
git pull --rebase
SAVE YOUR WORK
git add -A
git status                     # nothing listed? then there is nothing to commit for this step
git commit -m "P9.04: Review UI: ReviewView, ReviewPage"
git push                       # rejected? git pull --rebase, then git push again</t>
        </is>
      </c>
      <c r="I124" s="41" t="inlineStr">
        <is>
          <t>C57, C58</t>
        </is>
      </c>
      <c r="J124" s="41" t="inlineStr">
        <is>
          <t>L06, L31</t>
        </is>
      </c>
      <c r="K124" s="15" t="inlineStr">
        <is>
          <t>Reviewing a game with a finding shows arrows and the line can be stepped through.</t>
        </is>
      </c>
      <c r="L124" s="42" t="n">
        <v>3.5</v>
      </c>
      <c r="M124" s="43" t="inlineStr">
        <is>
          <t>Not started</t>
        </is>
      </c>
      <c r="N124" s="44" t="n"/>
      <c r="O124" s="43" t="n"/>
    </row>
    <row r="125" ht="130" customHeight="1">
      <c r="A125" s="15" t="inlineStr">
        <is>
          <t>P9.05</t>
        </is>
      </c>
      <c r="B125" s="15" t="inlineStr">
        <is>
          <t>P9</t>
        </is>
      </c>
      <c r="C125" s="39" t="inlineStr">
        <is>
          <t>Srikanth</t>
        </is>
      </c>
      <c r="D125" s="15" t="inlineStr">
        <is>
          <t>Build</t>
        </is>
      </c>
      <c r="E125" s="19" t="inlineStr">
        <is>
          <t>Generate the public demo</t>
        </is>
      </c>
      <c r="F125" s="15" t="inlineStr">
        <is>
          <t>1. Pick a sample game that contains a verified missed fork. Option used while preparing this plan: low-strength Stockfish self-play produced one in 29 games (White missed 18.Nf7 forking the queen on e5 and rook on h8).
2. Save it as services/backend/data/sample_game.pgn (label it as a sample).
3. Generate data/demo_review.json with make_demo.py inside the worker image and commit the JSON.</t>
        </is>
      </c>
      <c r="G125" s="40" t="inlineStr">
        <is>
          <t>→ Code: services/backend/app/make_demo.py
MSYS_NO_PATHCONV=1 docker compose run --rm -v "$(pwd -W)/services/backend/data:/app/data" worker python -m app.make_demo data/sample_game.pgn white data/demo_review.json</t>
        </is>
      </c>
      <c r="H125" s="40" t="inlineStr">
        <is>
          <t>BEFORE YOU START
git pull --rebase
SAVE YOUR WORK
git add -A
git status                     # nothing listed? then there is nothing to commit for this step
git commit -m "P9.05: Generate the public demo"
git push                       # rejected? git pull --rebase, then git push again</t>
        </is>
      </c>
      <c r="I125" s="41" t="inlineStr">
        <is>
          <t>C60</t>
        </is>
      </c>
      <c r="J125" s="41" t="inlineStr">
        <is>
          <t>L39</t>
        </is>
      </c>
      <c r="K125" s="15" t="inlineStr">
        <is>
          <t>demo_review.json exists with at least one finding; /demo renders it with the 'Sample game' banner.</t>
        </is>
      </c>
      <c r="L125" s="42" t="n">
        <v>1</v>
      </c>
      <c r="M125" s="43" t="inlineStr">
        <is>
          <t>Not started</t>
        </is>
      </c>
      <c r="N125" s="44" t="n"/>
      <c r="O125" s="43" t="n"/>
    </row>
    <row r="126" ht="130" customHeight="1">
      <c r="A126" s="15" t="inlineStr">
        <is>
          <t>P9.06</t>
        </is>
      </c>
      <c r="B126" s="15" t="inlineStr">
        <is>
          <t>P9</t>
        </is>
      </c>
      <c r="C126" s="45" t="inlineStr">
        <is>
          <t>Siva prasad</t>
        </is>
      </c>
      <c r="D126" s="15" t="inlineStr">
        <is>
          <t>Build</t>
        </is>
      </c>
      <c r="E126" s="19" t="inlineStr">
        <is>
          <t>Demo page</t>
        </is>
      </c>
      <c r="F126" s="15" t="inlineStr">
        <is>
          <t>Create src/pages/DemoPage.tsx: calls the public endpoint without a token and shows a clear 'sample, not your games' banner.</t>
        </is>
      </c>
      <c r="G126" s="40" t="inlineStr">
        <is>
          <t>→ Code: apps/web/src/pages/DemoPage.tsx</t>
        </is>
      </c>
      <c r="H126" s="40" t="inlineStr">
        <is>
          <t>BEFORE YOU START
git pull --rebase
SAVE YOUR WORK
git add -A
git status                     # nothing listed? then there is nothing to commit for this step
git commit -m "P9.06: Demo page"
git push                       # rejected? git pull --rebase, then git push again</t>
        </is>
      </c>
      <c r="I126" s="41" t="inlineStr">
        <is>
          <t>C59</t>
        </is>
      </c>
      <c r="J126" s="41" t="inlineStr">
        <is>
          <t>L51</t>
        </is>
      </c>
      <c r="K126" s="15" t="inlineStr">
        <is>
          <t>Demo works in a fresh incognito window and when Lichess is unreachable.</t>
        </is>
      </c>
      <c r="L126" s="42" t="n">
        <v>0.5</v>
      </c>
      <c r="M126" s="43" t="inlineStr">
        <is>
          <t>Not started</t>
        </is>
      </c>
      <c r="N126" s="44" t="n"/>
      <c r="O126" s="43" t="n"/>
    </row>
    <row r="127" ht="130" customHeight="1">
      <c r="A127" s="15" t="inlineStr">
        <is>
          <t>P9.07</t>
        </is>
      </c>
      <c r="B127" s="15" t="inlineStr">
        <is>
          <t>P9</t>
        </is>
      </c>
      <c r="C127" s="39" t="inlineStr">
        <is>
          <t>Srikanth</t>
        </is>
      </c>
      <c r="D127" s="15" t="inlineStr">
        <is>
          <t>Deploy</t>
        </is>
      </c>
      <c r="E127" s="19" t="inlineStr">
        <is>
          <t>Commit, deploy, verify live</t>
        </is>
      </c>
      <c r="F127" s="15" t="inlineStr">
        <is>
          <t>Push to main; check the live /demo and a live review of one of your games.</t>
        </is>
      </c>
      <c r="G127" s="40" t="n"/>
      <c r="H127" s="40" t="inlineStr">
        <is>
          <t>BEFORE YOU START
git pull --rebase
SAVE YOUR WORK
git add -A
git status                     # nothing listed? then there is nothing to commit for this step
git commit -m "P9.07: Commit, deploy, verify live"
git push                       # rejected? git pull --rebase, then git push again</t>
        </is>
      </c>
      <c r="I127" s="15" t="n"/>
      <c r="J127" s="41" t="inlineStr">
        <is>
          <t>L49</t>
        </is>
      </c>
      <c r="K127" s="15" t="inlineStr">
        <is>
          <t>Live review and demo work.</t>
        </is>
      </c>
      <c r="L127" s="42" t="n">
        <v>0.5</v>
      </c>
      <c r="M127" s="43" t="inlineStr">
        <is>
          <t>Not started</t>
        </is>
      </c>
      <c r="N127" s="44" t="n"/>
      <c r="O127" s="43" t="n"/>
    </row>
    <row r="128" ht="30" customHeight="1">
      <c r="A128" s="36" t="n"/>
      <c r="B128" s="36" t="n"/>
      <c r="C128" s="36" t="n"/>
      <c r="D128" s="36" t="n"/>
      <c r="E128" s="37" t="inlineStr">
        <is>
          <t>P10  Puzzle dataset and targeted practice  (Core)</t>
        </is>
      </c>
      <c r="F128" s="38" t="inlineStr">
        <is>
          <t>Lichess subset with provenance, server-side grading, hints, attempts.   ►  Checkpoint B: play/import -&gt; review -&gt; new exercise -&gt; graded attempt, live</t>
        </is>
      </c>
      <c r="G128" s="36" t="n"/>
      <c r="H128" s="36" t="n"/>
      <c r="I128" s="36" t="n"/>
      <c r="J128" s="36" t="n"/>
      <c r="K128" s="36" t="n"/>
      <c r="L128" s="36" t="n"/>
      <c r="M128" s="36" t="n"/>
      <c r="N128" s="36" t="n"/>
      <c r="O128" s="36" t="n"/>
    </row>
    <row r="129" ht="29.2" customHeight="1">
      <c r="A129" s="15" t="inlineStr">
        <is>
          <t>P10.01</t>
        </is>
      </c>
      <c r="B129" s="15" t="inlineStr">
        <is>
          <t>P10</t>
        </is>
      </c>
      <c r="C129" s="45" t="inlineStr">
        <is>
          <t>Siva prasad</t>
        </is>
      </c>
      <c r="D129" s="15" t="inlineStr">
        <is>
          <t>Learn</t>
        </is>
      </c>
      <c r="E129" s="19" t="inlineStr">
        <is>
          <t>Learn about the puzzle dataset</t>
        </is>
      </c>
      <c r="F129" s="15" t="inlineStr">
        <is>
          <t>Study lesson L41. Open database.lichess.org/#puzzles and read the column descriptions, especially the setup move.</t>
        </is>
      </c>
      <c r="G129" s="40" t="n"/>
      <c r="H129" s="40" t="n"/>
      <c r="I129" s="15" t="n"/>
      <c r="J129" s="41" t="inlineStr">
        <is>
          <t>L41</t>
        </is>
      </c>
      <c r="K129" s="15" t="inlineStr">
        <is>
          <t>You can explain why the solver starts at Moves[1].</t>
        </is>
      </c>
      <c r="L129" s="42" t="n">
        <v>0.75</v>
      </c>
      <c r="M129" s="43" t="inlineStr">
        <is>
          <t>Not started</t>
        </is>
      </c>
      <c r="N129" s="44" t="n"/>
      <c r="O129" s="43" t="n"/>
    </row>
    <row r="130" ht="130" customHeight="1">
      <c r="A130" s="15" t="inlineStr">
        <is>
          <t>P10.02</t>
        </is>
      </c>
      <c r="B130" s="15" t="inlineStr">
        <is>
          <t>P10</t>
        </is>
      </c>
      <c r="C130" s="39" t="inlineStr">
        <is>
          <t>Srikanth</t>
        </is>
      </c>
      <c r="D130" s="15" t="inlineStr">
        <is>
          <t>Setup</t>
        </is>
      </c>
      <c r="E130" s="19" t="inlineStr">
        <is>
          <t>Download the puzzle export (outside Git)</t>
        </is>
      </c>
      <c r="F130" s="15" t="inlineStr">
        <is>
          <t>Download lichess_db_puzzle.csv.zst (about 300 MB) into a folder that is NOT in the repo (for example D:\data\lichess). Never commit it (the .gitignore excludes *.csv.zst).</t>
        </is>
      </c>
      <c r="G130" s="40" t="inlineStr">
        <is>
          <t>mkdir -p /d/data/lichess
curl -L -o /d/data/lichess/lichess_db_puzzle.csv.zst https://database.lichess.org/lichess_db_puzzle.csv.zst
ls -lh /d/data/lichess</t>
        </is>
      </c>
      <c r="H130" s="40" t="inlineStr">
        <is>
          <t>BEFORE YOU START
git pull --rebase
SAVE YOUR WORK
git add -A
git status                     # nothing listed? then there is nothing to commit for this step
git commit -m "P10.02: Download the puzzle export"
git push                       # rejected? git pull --rebase, then git push again</t>
        </is>
      </c>
      <c r="I130" s="15" t="n"/>
      <c r="J130" s="41" t="inlineStr">
        <is>
          <t>L41</t>
        </is>
      </c>
      <c r="K130" s="15" t="inlineStr">
        <is>
          <t>The file exists outside the repository.</t>
        </is>
      </c>
      <c r="L130" s="42" t="n">
        <v>0.25</v>
      </c>
      <c r="M130" s="43" t="inlineStr">
        <is>
          <t>Not started</t>
        </is>
      </c>
      <c r="N130" s="44" t="n"/>
      <c r="O130" s="43" t="n"/>
    </row>
    <row r="131" ht="142.6" customHeight="1">
      <c r="A131" s="15" t="inlineStr">
        <is>
          <t>P10.03</t>
        </is>
      </c>
      <c r="B131" s="15" t="inlineStr">
        <is>
          <t>P10</t>
        </is>
      </c>
      <c r="C131" s="39" t="inlineStr">
        <is>
          <t>Srikanth</t>
        </is>
      </c>
      <c r="D131" s="15" t="inlineStr">
        <is>
          <t>Build</t>
        </is>
      </c>
      <c r="E131" s="19" t="inlineStr">
        <is>
          <t>Build the subset with provenance</t>
        </is>
      </c>
      <c r="F131" s="15" t="inlineStr">
        <is>
          <t>Run evaluation/prepare_puzzles.py: it streams the zstd file, filters by plays/deviation/popularity, validates every move, maps themes to concepts (fork + knight first move -&gt; knight_fork), samples a uniform number per 200-point rating band, assigns pools by hash (10% eval, 10% assessment, 80% practice), and writes data/puzzles_subset.csv plus a manifest with a sha256 checksum. Expect several minutes for the full file.</t>
        </is>
      </c>
      <c r="G131" s="40" t="inlineStr">
        <is>
          <t>→ Code: evaluation/prepare_puzzles.py
cd services/backend
uv run python ../../evaluation/prepare_puzzles.py --input D:/data/lichess/lichess_db_puzzle.csv.zst --out ../../data/puzzles_subset.csv --per-concept 2000</t>
        </is>
      </c>
      <c r="H131" s="40" t="inlineStr">
        <is>
          <t>BEFORE YOU START
git pull --rebase
SAVE YOUR WORK
git add -A
git status                     # nothing listed? then there is nothing to commit for this step
git commit -m "P10.03: Build the subset with provenance"
git push                       # rejected? git pull --rebase, then git push again</t>
        </is>
      </c>
      <c r="I131" s="41" t="inlineStr">
        <is>
          <t>C61</t>
        </is>
      </c>
      <c r="J131" s="41" t="inlineStr">
        <is>
          <t>L41</t>
        </is>
      </c>
      <c r="K131" s="15" t="inlineStr">
        <is>
          <t>data/puzzles_subset.csv (a few thousand rows) and data/manifests/&lt;version&gt;.json committed.</t>
        </is>
      </c>
      <c r="L131" s="42" t="n">
        <v>1</v>
      </c>
      <c r="M131" s="43" t="inlineStr">
        <is>
          <t>Not started</t>
        </is>
      </c>
      <c r="N131" s="44" t="n"/>
      <c r="O131" s="43" t="n"/>
    </row>
    <row r="132" ht="130" customHeight="1">
      <c r="A132" s="15" t="inlineStr">
        <is>
          <t>P10.04</t>
        </is>
      </c>
      <c r="B132" s="15" t="inlineStr">
        <is>
          <t>P10</t>
        </is>
      </c>
      <c r="C132" s="45" t="inlineStr">
        <is>
          <t>Siva prasad</t>
        </is>
      </c>
      <c r="D132" s="15" t="inlineStr">
        <is>
          <t>Build</t>
        </is>
      </c>
      <c r="E132" s="19" t="inlineStr">
        <is>
          <t>Seed puzzles idempotently</t>
        </is>
      </c>
      <c r="F132" s="15" t="inlineStr">
        <is>
          <t>Create app/seed.py and load the subset. Run it twice: the second run must insert 0 rows (verified: 'inserted 1' then 'inserted 0' on a test file).</t>
        </is>
      </c>
      <c r="G132" s="40" t="inlineStr">
        <is>
          <t>→ Code: services/backend/app/seed.py
uv run python -m app.seed puzzles ../../data/puzzles_subset.csv
uv run python -m app.seed puzzles ../../data/puzzles_subset.csv</t>
        </is>
      </c>
      <c r="H132" s="40" t="inlineStr">
        <is>
          <t>BEFORE YOU START
git pull --rebase
SAVE YOUR WORK
git add -A
git status                     # nothing listed? then there is nothing to commit for this step
git commit -m "P10.04: Seed puzzles idempotently"
git push                       # rejected? git pull --rebase, then git push again</t>
        </is>
      </c>
      <c r="I132" s="41" t="inlineStr">
        <is>
          <t>C62</t>
        </is>
      </c>
      <c r="J132" s="41" t="inlineStr">
        <is>
          <t>L29, L41</t>
        </is>
      </c>
      <c r="K132" s="15" t="inlineStr">
        <is>
          <t>Second run prints 'inserted 0 new puzzles'.</t>
        </is>
      </c>
      <c r="L132" s="42" t="n">
        <v>0.5</v>
      </c>
      <c r="M132" s="43" t="inlineStr">
        <is>
          <t>Not started</t>
        </is>
      </c>
      <c r="N132" s="44" t="n"/>
      <c r="O132" s="43" t="n"/>
    </row>
    <row r="133" ht="130" customHeight="1">
      <c r="A133" s="15" t="inlineStr">
        <is>
          <t>P10.05</t>
        </is>
      </c>
      <c r="B133" s="15" t="inlineStr">
        <is>
          <t>P10</t>
        </is>
      </c>
      <c r="C133" s="39" t="inlineStr">
        <is>
          <t>Srikanth</t>
        </is>
      </c>
      <c r="D133" s="15" t="inlineStr">
        <is>
          <t>Build</t>
        </is>
      </c>
      <c r="E133" s="19" t="inlineStr">
        <is>
          <t>Server-side grading (app/practice/grading.py)</t>
        </is>
      </c>
      <c r="F133" s="15" t="inlineStr">
        <is>
          <t>Create grading.py: grade_move replays the solution up to the current index, rejects illegal moves, accepts ANY checkmate, advances on the expected move and auto-plays the opponent's reply; hint_for gives three levels (concept -&gt; which piece -&gt; the move).</t>
        </is>
      </c>
      <c r="G133" s="40" t="inlineStr">
        <is>
          <t>→ Code: services/backend/app/practice/grading.py
→ Code: services/backend/tests/test_grading.py
uv run pytest -q tests/test_grading.py</t>
        </is>
      </c>
      <c r="H133" s="40" t="inlineStr">
        <is>
          <t>BEFORE YOU START
git pull --rebase
SAVE YOUR WORK
git add -A
git status                     # nothing listed? then there is nothing to commit for this step
git commit -m "P10.05: Server-side grading"
git push                       # rejected? git pull --rebase, then git push again</t>
        </is>
      </c>
      <c r="I133" s="41" t="inlineStr">
        <is>
          <t>C63, C64</t>
        </is>
      </c>
      <c r="J133" s="41" t="inlineStr">
        <is>
          <t>L33, L34</t>
        </is>
      </c>
      <c r="K133" s="15" t="inlineStr">
        <is>
          <t>6 grading tests pass (verified).</t>
        </is>
      </c>
      <c r="L133" s="42" t="n">
        <v>1</v>
      </c>
      <c r="M133" s="43" t="inlineStr">
        <is>
          <t>Not started</t>
        </is>
      </c>
      <c r="N133" s="44" t="n"/>
      <c r="O133" s="43" t="n"/>
    </row>
    <row r="134" ht="130" customHeight="1">
      <c r="A134" s="15" t="inlineStr">
        <is>
          <t>P10.06</t>
        </is>
      </c>
      <c r="B134" s="15" t="inlineStr">
        <is>
          <t>P10</t>
        </is>
      </c>
      <c r="C134" s="45" t="inlineStr">
        <is>
          <t>Siva prasad</t>
        </is>
      </c>
      <c r="D134" s="15" t="inlineStr">
        <is>
          <t>Build</t>
        </is>
      </c>
      <c r="E134" s="19" t="inlineStr">
        <is>
          <t>Practice API (app/api/practice.py)</t>
        </is>
      </c>
      <c r="F134" s="15" t="inlineStr">
        <is>
          <t>Create practice.py: POST /v1/practice/sessions (choose a puzzle; never include the solution), GET a session, POST moves (grade, record a PracticeEvent, finish once), POST hint (persisted), POST give-up. A finished session returns 409 for further moves so ratings can't be inflated.</t>
        </is>
      </c>
      <c r="G134" s="40" t="inlineStr">
        <is>
          <t>→ Code: services/backend/app/api/practice.py</t>
        </is>
      </c>
      <c r="H134" s="40" t="inlineStr">
        <is>
          <t>BEFORE YOU START
git pull --rebase
SAVE YOUR WORK
git add -A
git status                     # nothing listed? then there is nothing to commit for this step
git commit -m "P10.06: Practice API"
git push                       # rejected? git pull --rebase, then git push again</t>
        </is>
      </c>
      <c r="I134" s="41" t="inlineStr">
        <is>
          <t>C65</t>
        </is>
      </c>
      <c r="J134" s="41" t="inlineStr">
        <is>
          <t>L12, L29, L30</t>
        </is>
      </c>
      <c r="K134" s="15" t="inlineStr">
        <is>
          <t>test_practice_flow_updates_rating_once passes.</t>
        </is>
      </c>
      <c r="L134" s="42" t="n">
        <v>1.5</v>
      </c>
      <c r="M134" s="43" t="inlineStr">
        <is>
          <t>Not started</t>
        </is>
      </c>
      <c r="N134" s="44" t="n"/>
      <c r="O134" s="43" t="n"/>
    </row>
    <row r="135" ht="130" customHeight="1">
      <c r="A135" s="15" t="inlineStr">
        <is>
          <t>P10.07</t>
        </is>
      </c>
      <c r="B135" s="15" t="inlineStr">
        <is>
          <t>P10</t>
        </is>
      </c>
      <c r="C135" s="39" t="inlineStr">
        <is>
          <t>Srikanth</t>
        </is>
      </c>
      <c r="D135" s="15" t="inlineStr">
        <is>
          <t>Build</t>
        </is>
      </c>
      <c r="E135" s="19" t="inlineStr">
        <is>
          <t>Practice page</t>
        </is>
      </c>
      <c r="F135" s="15" t="inlineStr">
        <is>
          <t>Create src/pages/PracticePage.tsx. The wrapper gives each session its own key (fresh state per exercise). It loads or starts a session, submits moves, shows outcomes, hints and 'Show solution', and a 'Next exercise' button.</t>
        </is>
      </c>
      <c r="G135" s="40" t="inlineStr">
        <is>
          <t>→ Code: apps/web/src/pages/PracticePage.tsx</t>
        </is>
      </c>
      <c r="H135" s="40" t="inlineStr">
        <is>
          <t>BEFORE YOU START
git pull --rebase
SAVE YOUR WORK
git add -A
git status                     # nothing listed? then there is nothing to commit for this step
git commit -m "P10.07: Practice page"
git push                       # rejected? git pull --rebase, then git push again</t>
        </is>
      </c>
      <c r="I135" s="41" t="inlineStr">
        <is>
          <t>C66</t>
        </is>
      </c>
      <c r="J135" s="41" t="inlineStr">
        <is>
          <t>L06</t>
        </is>
      </c>
      <c r="K135" s="15" t="inlineStr">
        <is>
          <t>You can solve a puzzle and get the next one.</t>
        </is>
      </c>
      <c r="L135" s="42" t="n">
        <v>1.5</v>
      </c>
      <c r="M135" s="43" t="inlineStr">
        <is>
          <t>Not started</t>
        </is>
      </c>
      <c r="N135" s="44" t="n"/>
      <c r="O135" s="43" t="n"/>
    </row>
    <row r="136" ht="142.6" customHeight="1">
      <c r="A136" s="15" t="inlineStr">
        <is>
          <t>P10.08</t>
        </is>
      </c>
      <c r="B136" s="15" t="inlineStr">
        <is>
          <t>P10</t>
        </is>
      </c>
      <c r="C136" s="45" t="inlineStr">
        <is>
          <t>Siva prasad</t>
        </is>
      </c>
      <c r="D136" s="15" t="inlineStr">
        <is>
          <t>Test</t>
        </is>
      </c>
      <c r="E136" s="19" t="inlineStr">
        <is>
          <t>Connect 'Practice this idea' from a review finding</t>
        </is>
      </c>
      <c r="F136" s="15" t="inlineStr">
        <is>
          <t>ReviewView posts {evidence_id} to /v1/practice/sessions and navigates to the session. Check that the puzzle is a DIFFERENT position from the finding.</t>
        </is>
      </c>
      <c r="G136" s="40" t="n"/>
      <c r="H136" s="40" t="inlineStr">
        <is>
          <t>BEFORE YOU START
git pull --rebase
SAVE YOUR WORK
git add -A
git status                     # nothing listed? then there is nothing to commit for this step
git commit -m "P10.08: Connect 'Practice this idea' from a review finding"
git push                       # rejected? git pull --rebase, then git push again</t>
        </is>
      </c>
      <c r="I136" s="15" t="n"/>
      <c r="J136" s="41" t="inlineStr">
        <is>
          <t>L43</t>
        </is>
      </c>
      <c r="K136" s="15" t="inlineStr">
        <is>
          <t>From a finding you reach a new knight-fork exercise.</t>
        </is>
      </c>
      <c r="L136" s="42" t="n">
        <v>0.5</v>
      </c>
      <c r="M136" s="43" t="inlineStr">
        <is>
          <t>Not started</t>
        </is>
      </c>
      <c r="N136" s="44" t="n"/>
      <c r="O136" s="43" t="n"/>
    </row>
    <row r="137" ht="142.6" customHeight="1">
      <c r="A137" s="15" t="inlineStr">
        <is>
          <t>P10.09</t>
        </is>
      </c>
      <c r="B137" s="15" t="inlineStr">
        <is>
          <t>P10</t>
        </is>
      </c>
      <c r="C137" s="39" t="inlineStr">
        <is>
          <t>Srikanth</t>
        </is>
      </c>
      <c r="D137" s="15" t="inlineStr">
        <is>
          <t>Test</t>
        </is>
      </c>
      <c r="E137" s="19" t="inlineStr">
        <is>
          <t>Fix the race condition you will hit (and understand it)</t>
        </is>
      </c>
      <c r="F137" s="15" t="inlineStr">
        <is>
          <t>Read lesson L30. In development, React StrictMode runs the PracticePage effect twice, sending two simultaneous 'start session' requests. The naive get-or-create of concept_ratings then fails with a UniqueViolation (HTTP 500). This exact bug appeared during verification. The Code sheet's selector.concept_rating already uses INSERT ... ON CONFLICT DO NOTHING + SELECT (and a row lock when updating). Add the regression test test_simultaneous_practice_starts_do_not_crash.</t>
        </is>
      </c>
      <c r="G137" s="40" t="inlineStr">
        <is>
          <t>uv run pytest -q -k simultaneous</t>
        </is>
      </c>
      <c r="H137" s="40" t="inlineStr">
        <is>
          <t>BEFORE YOU START
git pull --rebase
SAVE YOUR WORK
git add -A
git status                     # nothing listed? then there is nothing to commit for this step
git commit -m "P10.09: Fix the race condition you will hit"
git push                       # rejected? git pull --rebase, then git push again</t>
        </is>
      </c>
      <c r="I137" s="15" t="n"/>
      <c r="J137" s="41" t="inlineStr">
        <is>
          <t>L30</t>
        </is>
      </c>
      <c r="K137" s="15" t="inlineStr">
        <is>
          <t>Regression test passes; API logs show no 500 when opening /practice.</t>
        </is>
      </c>
      <c r="L137" s="42" t="n">
        <v>0.75</v>
      </c>
      <c r="M137" s="43" t="inlineStr">
        <is>
          <t>Not started</t>
        </is>
      </c>
      <c r="N137" s="44" t="n"/>
      <c r="O137" s="43" t="n"/>
    </row>
    <row r="138" ht="142.6" customHeight="1">
      <c r="A138" s="15" t="inlineStr">
        <is>
          <t>P10.10</t>
        </is>
      </c>
      <c r="B138" s="15" t="inlineStr">
        <is>
          <t>P10</t>
        </is>
      </c>
      <c r="C138" s="45" t="inlineStr">
        <is>
          <t>Siva prasad</t>
        </is>
      </c>
      <c r="D138" s="15" t="inlineStr">
        <is>
          <t>Test</t>
        </is>
      </c>
      <c r="E138" s="19" t="inlineStr">
        <is>
          <t>Checkpoint B: end-to-end on the live site</t>
        </is>
      </c>
      <c r="F138" s="15" t="inlineStr">
        <is>
          <t>Live: play (or import) -&gt; review -&gt; 'Practice this idea' -&gt; solve or fail -&gt; next. Record a 60-second screen capture now (ScreenToGif). Add e2e/fullstack.spec.ts and run it locally against Compose (verified: 2 passed).</t>
        </is>
      </c>
      <c r="G138" s="40" t="inlineStr">
        <is>
          <t>→ Code: apps/web/e2e/fullstack.spec.ts
npx playwright test e2e/fullstack.spec.ts</t>
        </is>
      </c>
      <c r="H138" s="40" t="inlineStr">
        <is>
          <t>BEFORE YOU START
git pull --rebase
SAVE YOUR WORK
git add -A
git status                     # nothing listed? then there is nothing to commit for this step
git commit -m "P10.10: Checkpoint B: end-to-end on the live site"
git push                       # rejected? git pull --rebase, then git push again</t>
        </is>
      </c>
      <c r="I138" s="41" t="inlineStr">
        <is>
          <t>C67</t>
        </is>
      </c>
      <c r="J138" s="41" t="inlineStr">
        <is>
          <t>L24</t>
        </is>
      </c>
      <c r="K138" s="15" t="inlineStr">
        <is>
          <t>Checkpoint B reached and recorded.</t>
        </is>
      </c>
      <c r="L138" s="42" t="n">
        <v>1</v>
      </c>
      <c r="M138" s="43" t="inlineStr">
        <is>
          <t>Not started</t>
        </is>
      </c>
      <c r="N138" s="44" t="n"/>
      <c r="O138" s="43" t="n"/>
    </row>
    <row r="139" ht="30" customHeight="1">
      <c r="A139" s="36" t="n"/>
      <c r="B139" s="36" t="n"/>
      <c r="C139" s="36" t="n"/>
      <c r="D139" s="36" t="n"/>
      <c r="E139" s="37" t="inlineStr">
        <is>
          <t>P11  Personalisation and honest progress  (Core)</t>
        </is>
      </c>
      <c r="F139" s="38" t="inlineStr">
        <is>
          <t>Per-concept Elo, adaptive selection, saved predictions, progress page.</t>
        </is>
      </c>
      <c r="G139" s="36" t="n"/>
      <c r="H139" s="36" t="n"/>
      <c r="I139" s="36" t="n"/>
      <c r="J139" s="36" t="n"/>
      <c r="K139" s="36" t="n"/>
      <c r="L139" s="36" t="n"/>
      <c r="M139" s="36" t="n"/>
      <c r="N139" s="36" t="n"/>
      <c r="O139" s="36" t="n"/>
    </row>
    <row r="140" ht="29.2" customHeight="1">
      <c r="A140" s="15" t="inlineStr">
        <is>
          <t>P11.01</t>
        </is>
      </c>
      <c r="B140" s="15" t="inlineStr">
        <is>
          <t>P11</t>
        </is>
      </c>
      <c r="C140" s="39" t="inlineStr">
        <is>
          <t>Srikanth</t>
        </is>
      </c>
      <c r="D140" s="15" t="inlineStr">
        <is>
          <t>Learn</t>
        </is>
      </c>
      <c r="E140" s="19" t="inlineStr">
        <is>
          <t>Learn Elo and adaptive practice</t>
        </is>
      </c>
      <c r="F140" s="15" t="inlineStr">
        <is>
          <t>Study lessons L42 and L43. Compute by hand: P(solve) for 1500 vs 1700, and the update after a success.</t>
        </is>
      </c>
      <c r="G140" s="40" t="n"/>
      <c r="H140" s="40" t="n"/>
      <c r="I140" s="15" t="n"/>
      <c r="J140" s="41" t="inlineStr">
        <is>
          <t>L42, L43</t>
        </is>
      </c>
      <c r="K140" s="15" t="inlineStr">
        <is>
          <t>Your hand calculations match elo.py's tests.</t>
        </is>
      </c>
      <c r="L140" s="42" t="n">
        <v>1</v>
      </c>
      <c r="M140" s="43" t="inlineStr">
        <is>
          <t>Not started</t>
        </is>
      </c>
      <c r="N140" s="44" t="n"/>
      <c r="O140" s="43" t="n"/>
    </row>
    <row r="141" ht="130" customHeight="1">
      <c r="A141" s="15" t="inlineStr">
        <is>
          <t>P11.02</t>
        </is>
      </c>
      <c r="B141" s="15" t="inlineStr">
        <is>
          <t>P11</t>
        </is>
      </c>
      <c r="C141" s="45" t="inlineStr">
        <is>
          <t>Siva prasad</t>
        </is>
      </c>
      <c r="D141" s="15" t="inlineStr">
        <is>
          <t>Build</t>
        </is>
      </c>
      <c r="E141" s="19" t="inlineStr">
        <is>
          <t>Elo learner model (app/learning/elo.py)</t>
        </is>
      </c>
      <c r="F141" s="15" t="inlineStr">
        <is>
          <t>Create elo.py: expected_score, k_factor (40 while provisional, then 20), updated_rating, target_puzzle_rating (inverse), is_provisional. Run its tests in test_learning_and_pgn.py.</t>
        </is>
      </c>
      <c r="G141" s="40" t="inlineStr">
        <is>
          <t>→ Code: services/backend/app/learning/elo.py
uv run pytest -q -k "rating or ratings or score"</t>
        </is>
      </c>
      <c r="H141" s="40" t="inlineStr">
        <is>
          <t>BEFORE YOU START
git pull --rebase
SAVE YOUR WORK
git add -A
git status                     # nothing listed? then there is nothing to commit for this step
git commit -m "P11.02: Elo learner model"
git push                       # rejected? git pull --rebase, then git push again</t>
        </is>
      </c>
      <c r="I141" s="41" t="inlineStr">
        <is>
          <t>C68</t>
        </is>
      </c>
      <c r="J141" s="41" t="inlineStr">
        <is>
          <t>L42</t>
        </is>
      </c>
      <c r="K141" s="15" t="inlineStr">
        <is>
          <t>Elo tests pass (verified).</t>
        </is>
      </c>
      <c r="L141" s="42" t="n">
        <v>0.5</v>
      </c>
      <c r="M141" s="43" t="inlineStr">
        <is>
          <t>Not started</t>
        </is>
      </c>
      <c r="N141" s="44" t="n"/>
      <c r="O141" s="43" t="n"/>
    </row>
    <row r="142" ht="130" customHeight="1">
      <c r="A142" s="15" t="inlineStr">
        <is>
          <t>P11.03</t>
        </is>
      </c>
      <c r="B142" s="15" t="inlineStr">
        <is>
          <t>P11</t>
        </is>
      </c>
      <c r="C142" s="39" t="inlineStr">
        <is>
          <t>Srikanth</t>
        </is>
      </c>
      <c r="D142" s="15" t="inlineStr">
        <is>
          <t>Build</t>
        </is>
      </c>
      <c r="E142" s="19" t="inlineStr">
        <is>
          <t>Selector (app/learning/selector.py)</t>
        </is>
      </c>
      <c r="F142" s="15" t="inlineStr">
        <is>
          <t>Create selector.py: race-safe concept_rating get-or-create; choose() aims at P(solve) = 0.7 (15% exploration at 0.5), widens the rating window until it finds an unseen puzzle in the right pool, and returns the predicted probability and a logged reason.</t>
        </is>
      </c>
      <c r="G142" s="40" t="inlineStr">
        <is>
          <t>→ Code: services/backend/app/learning/selector.py</t>
        </is>
      </c>
      <c r="H142" s="40" t="inlineStr">
        <is>
          <t>BEFORE YOU START
git pull --rebase
SAVE YOUR WORK
git add -A
git status                     # nothing listed? then there is nothing to commit for this step
git commit -m "P11.03: Selector"
git push                       # rejected? git pull --rebase, then git push again</t>
        </is>
      </c>
      <c r="I142" s="41" t="inlineStr">
        <is>
          <t>C69</t>
        </is>
      </c>
      <c r="J142" s="41" t="inlineStr">
        <is>
          <t>L43, L30</t>
        </is>
      </c>
      <c r="K142" s="15" t="inlineStr">
        <is>
          <t>Sessions store rating_before, predicted_p, selection_reason, model_version.</t>
        </is>
      </c>
      <c r="L142" s="42" t="n">
        <v>1</v>
      </c>
      <c r="M142" s="43" t="inlineStr">
        <is>
          <t>Not started</t>
        </is>
      </c>
      <c r="N142" s="44" t="n"/>
      <c r="O142" s="43" t="n"/>
    </row>
    <row r="143" ht="130" customHeight="1">
      <c r="A143" s="15" t="inlineStr">
        <is>
          <t>P11.04</t>
        </is>
      </c>
      <c r="B143" s="15" t="inlineStr">
        <is>
          <t>P11</t>
        </is>
      </c>
      <c r="C143" s="45" t="inlineStr">
        <is>
          <t>Siva prasad</t>
        </is>
      </c>
      <c r="D143" s="15" t="inlineStr">
        <is>
          <t>Build</t>
        </is>
      </c>
      <c r="E143" s="19" t="inlineStr">
        <is>
          <t>Assessment mode</t>
        </is>
      </c>
      <c r="F143" s="15" t="inlineStr">
        <is>
          <t>Use mode='assessment' (theme hidden, assessment pool). Add a small 'Take a blind test (5 puzzles)' button on the Progress page that starts assessment sessions.</t>
        </is>
      </c>
      <c r="G143" s="40" t="n"/>
      <c r="H143" s="40" t="inlineStr">
        <is>
          <t>BEFORE YOU START
git pull --rebase
SAVE YOUR WORK
git add -A
git status                     # nothing listed? then there is nothing to commit for this step
git commit -m "P11.04: Assessment mode"
git push                       # rejected? git pull --rebase, then git push again</t>
        </is>
      </c>
      <c r="I143" s="15" t="n"/>
      <c r="J143" s="41" t="inlineStr">
        <is>
          <t>L43, L47</t>
        </is>
      </c>
      <c r="K143" s="15" t="inlineStr">
        <is>
          <t>Assessment sessions never reveal the concept name.</t>
        </is>
      </c>
      <c r="L143" s="42" t="n">
        <v>1</v>
      </c>
      <c r="M143" s="43" t="inlineStr">
        <is>
          <t>Not started</t>
        </is>
      </c>
      <c r="N143" s="44" t="n"/>
      <c r="O143" s="43" t="n"/>
    </row>
    <row r="144" ht="130" customHeight="1">
      <c r="A144" s="15" t="inlineStr">
        <is>
          <t>P11.05</t>
        </is>
      </c>
      <c r="B144" s="15" t="inlineStr">
        <is>
          <t>P11</t>
        </is>
      </c>
      <c r="C144" s="45" t="inlineStr">
        <is>
          <t>Siva prasad</t>
        </is>
      </c>
      <c r="D144" s="15" t="inlineStr">
        <is>
          <t>Build</t>
        </is>
      </c>
      <c r="E144" s="19" t="inlineStr">
        <is>
          <t>Progress API and page</t>
        </is>
      </c>
      <c r="F144" s="15" t="inlineStr">
        <is>
          <t>Create app/api/progress.py and src/pages/ProgressPage.tsx: rating (provisional flag), attempts, first-try-unassisted rate with small-sample warnings, mean difficulty, and separately: missed forks per 10 analysed real games. The note explains the scale is local and provisional.</t>
        </is>
      </c>
      <c r="G144" s="40" t="inlineStr">
        <is>
          <t>→ Code: services/backend/app/api/progress.py
→ Code: apps/web/src/pages/ProgressPage.tsx</t>
        </is>
      </c>
      <c r="H144" s="40" t="inlineStr">
        <is>
          <t>BEFORE YOU START
git pull --rebase
SAVE YOUR WORK
git add -A
git status                     # nothing listed? then there is nothing to commit for this step
git commit -m "P11.05: Progress API and page"
git push                       # rejected? git pull --rebase, then git push again</t>
        </is>
      </c>
      <c r="I144" s="41" t="inlineStr">
        <is>
          <t>C70, C71</t>
        </is>
      </c>
      <c r="J144" s="41" t="inlineStr">
        <is>
          <t>L42, L47</t>
        </is>
      </c>
      <c r="K144" s="15" t="inlineStr">
        <is>
          <t>Progress page shows practice, assessment and real-game numbers separately.</t>
        </is>
      </c>
      <c r="L144" s="42" t="n">
        <v>1.5</v>
      </c>
      <c r="M144" s="43" t="inlineStr">
        <is>
          <t>Not started</t>
        </is>
      </c>
      <c r="N144" s="44" t="n"/>
      <c r="O144" s="43" t="n"/>
    </row>
    <row r="145" ht="142.6" customHeight="1">
      <c r="A145" s="15" t="inlineStr">
        <is>
          <t>P11.06</t>
        </is>
      </c>
      <c r="B145" s="15" t="inlineStr">
        <is>
          <t>P11</t>
        </is>
      </c>
      <c r="C145" s="39" t="inlineStr">
        <is>
          <t>Srikanth</t>
        </is>
      </c>
      <c r="D145" s="15" t="inlineStr">
        <is>
          <t>Test</t>
        </is>
      </c>
      <c r="E145" s="19" t="inlineStr">
        <is>
          <t>Check one-update-per-attempt and calibration logging</t>
        </is>
      </c>
      <c r="F145" s="15" t="inlineStr">
        <is>
          <t>Solve a puzzle, resubmit the final move (409), refresh: rating_attempts increased by exactly 1. In psql confirm predicted_p was saved at session start (before the outcome).</t>
        </is>
      </c>
      <c r="G145" s="40" t="inlineStr">
        <is>
          <t>docker compose exec db psql -U chesslab -d chesslab -c "SELECT predicted_p, first_try_success, rating_applied FROM practice_sessions ORDER BY started_at DESC LIMIT 5;"</t>
        </is>
      </c>
      <c r="H145" s="40" t="inlineStr">
        <is>
          <t>BEFORE YOU START
git pull --rebase
SAVE YOUR WORK
git add -A
git status                     # nothing listed? then there is nothing to commit for this step
git commit -m "P11.06: Check one-update-per-attempt and calibration logging"
git push                       # rejected? git pull --rebase, then git push again</t>
        </is>
      </c>
      <c r="I145" s="15" t="n"/>
      <c r="J145" s="41" t="inlineStr">
        <is>
          <t>L42, L46</t>
        </is>
      </c>
      <c r="K145" s="15" t="inlineStr">
        <is>
          <t>Exactly one rating update per finished session.</t>
        </is>
      </c>
      <c r="L145" s="42" t="n">
        <v>0.5</v>
      </c>
      <c r="M145" s="43" t="inlineStr">
        <is>
          <t>Not started</t>
        </is>
      </c>
      <c r="N145" s="44" t="n"/>
      <c r="O145" s="43" t="n"/>
    </row>
    <row r="146" ht="30" customHeight="1">
      <c r="A146" s="36" t="n"/>
      <c r="B146" s="36" t="n"/>
      <c r="C146" s="36" t="n"/>
      <c r="D146" s="36" t="n"/>
      <c r="E146" s="37" t="inlineStr">
        <is>
          <t>P12  Evaluation of the detector  (Core)</t>
        </is>
      </c>
      <c r="F146" s="38" t="inlineStr">
        <is>
          <t>Independent labels, precision/recall with intervals, puzzle agreement, report.</t>
        </is>
      </c>
      <c r="G146" s="36" t="n"/>
      <c r="H146" s="36" t="n"/>
      <c r="I146" s="36" t="n"/>
      <c r="J146" s="36" t="n"/>
      <c r="K146" s="36" t="n"/>
      <c r="L146" s="36" t="n"/>
      <c r="M146" s="36" t="n"/>
      <c r="N146" s="36" t="n"/>
      <c r="O146" s="36" t="n"/>
    </row>
    <row r="147" ht="29.2" customHeight="1">
      <c r="A147" s="15" t="inlineStr">
        <is>
          <t>P12.01</t>
        </is>
      </c>
      <c r="B147" s="15" t="inlineStr">
        <is>
          <t>P12</t>
        </is>
      </c>
      <c r="C147" s="45" t="inlineStr">
        <is>
          <t>Siva prasad</t>
        </is>
      </c>
      <c r="D147" s="15" t="inlineStr">
        <is>
          <t>Learn</t>
        </is>
      </c>
      <c r="E147" s="19" t="inlineStr">
        <is>
          <t>Learn evaluation methodology</t>
        </is>
      </c>
      <c r="F147" s="15" t="inlineStr">
        <is>
          <t>Study lessons L44, L45 and L46.</t>
        </is>
      </c>
      <c r="G147" s="40" t="n"/>
      <c r="H147" s="40" t="n"/>
      <c r="I147" s="15" t="n"/>
      <c r="J147" s="41" t="inlineStr">
        <is>
          <t>L44, L45, L46</t>
        </is>
      </c>
      <c r="K147" s="15" t="inlineStr">
        <is>
          <t>You can explain precision vs recall and why thresholds must be frozen.</t>
        </is>
      </c>
      <c r="L147" s="42" t="n">
        <v>3</v>
      </c>
      <c r="M147" s="43" t="inlineStr">
        <is>
          <t>Not started</t>
        </is>
      </c>
      <c r="N147" s="44" t="n"/>
      <c r="O147" s="43" t="n"/>
    </row>
    <row r="148" ht="142.6" customHeight="1">
      <c r="A148" s="15" t="inlineStr">
        <is>
          <t>P12.02</t>
        </is>
      </c>
      <c r="B148" s="15" t="inlineStr">
        <is>
          <t>P12</t>
        </is>
      </c>
      <c r="C148" s="45" t="inlineStr">
        <is>
          <t>Siva prasad</t>
        </is>
      </c>
      <c r="D148" s="15" t="inlineStr">
        <is>
          <t>Doc</t>
        </is>
      </c>
      <c r="E148" s="19" t="inlineStr">
        <is>
          <t>Write the evaluation specification</t>
        </is>
      </c>
      <c r="F148" s="15" t="inlineStr">
        <is>
          <t>Create evaluation/SPEC.md: task definitions (A: missed knight fork at a player turn in real games, independent labels; B: knight-fork theme agreement on the held-out Lichess eval pool), thresholds frozen (MISS_THRESHOLD_CP=150, MIN_MATERIAL_GAIN=2, LINE_PLIES=10, depth 14 / 0.5 s), pipeline version, sample plan, labelling rules, reviewer plan.</t>
        </is>
      </c>
      <c r="G148" s="40" t="n"/>
      <c r="H148" s="40" t="inlineStr">
        <is>
          <t>BEFORE YOU START
git pull --rebase
SAVE YOUR WORK
git add -A
git status                     # nothing listed? then there is nothing to commit for this step
git commit -m "P12.02: Write the evaluation specification"
git push                       # rejected? git pull --rebase, then git push again</t>
        </is>
      </c>
      <c r="I148" s="15" t="n"/>
      <c r="J148" s="41" t="inlineStr">
        <is>
          <t>L44, L45</t>
        </is>
      </c>
      <c r="K148" s="15" t="inlineStr">
        <is>
          <t>SPEC.md committed BEFORE running the final evaluation.</t>
        </is>
      </c>
      <c r="L148" s="42" t="n">
        <v>1</v>
      </c>
      <c r="M148" s="43" t="inlineStr">
        <is>
          <t>Not started</t>
        </is>
      </c>
      <c r="N148" s="44" t="n"/>
      <c r="O148" s="43" t="n"/>
    </row>
    <row r="149" ht="142.6" customHeight="1">
      <c r="A149" s="15" t="inlineStr">
        <is>
          <t>P12.03</t>
        </is>
      </c>
      <c r="B149" s="15" t="inlineStr">
        <is>
          <t>P12</t>
        </is>
      </c>
      <c r="C149" s="39" t="inlineStr">
        <is>
          <t>Srikanth</t>
        </is>
      </c>
      <c r="D149" s="15" t="inlineStr">
        <is>
          <t>Test</t>
        </is>
      </c>
      <c r="E149" s="19" t="inlineStr">
        <is>
          <t>Build the real-game labelling set</t>
        </is>
      </c>
      <c r="F149" s="15" t="inlineStr">
        <is>
          <t>1. From imported games (use several players; split by game), sample about 150-300 player turns: mostly random ordinary turns plus all detector positives plus hard negatives (pinned attackers, sacrifices, capturable knights, equal alternatives).
2. Export to evaluation/labels/real_positions_v1.csv using the template columns (start_fen, history_uci, actual_uci, player_color...).
3. Label label_missed_knight_fork WITHOUT looking at the detector output (use lichess.org/analysis). Note your reasoning in notes.
4. If possible, ask a chess friend to label 50 of them (second_reviewer_label); compute agreement and discuss disagreements.</t>
        </is>
      </c>
      <c r="G149" s="40" t="inlineStr">
        <is>
          <t>→ Code: evaluation/labels/real_positions_TEMPLATE.csv</t>
        </is>
      </c>
      <c r="H149" s="40" t="inlineStr">
        <is>
          <t>BEFORE YOU START
git pull --rebase
SAVE YOUR WORK
git add -A
git status                     # nothing listed? then there is nothing to commit for this step
git commit -m "P12.03: Build the real-game labelling set"
git push                       # rejected? git pull --rebase, then git push again</t>
        </is>
      </c>
      <c r="I149" s="41" t="inlineStr">
        <is>
          <t>C77</t>
        </is>
      </c>
      <c r="J149" s="41" t="inlineStr">
        <is>
          <t>L44, L45</t>
        </is>
      </c>
      <c r="K149" s="15" t="inlineStr">
        <is>
          <t>At least 150 labelled positions; reviewer limitations written in SPEC.md.</t>
        </is>
      </c>
      <c r="L149" s="42" t="n">
        <v>12</v>
      </c>
      <c r="M149" s="43" t="inlineStr">
        <is>
          <t>Not started</t>
        </is>
      </c>
      <c r="N149" s="44" t="n"/>
      <c r="O149" s="43" t="n"/>
    </row>
    <row r="150" ht="130" customHeight="1">
      <c r="A150" s="15" t="inlineStr">
        <is>
          <t>P12.04</t>
        </is>
      </c>
      <c r="B150" s="15" t="inlineStr">
        <is>
          <t>P12</t>
        </is>
      </c>
      <c r="C150" s="45" t="inlineStr">
        <is>
          <t>Siva prasad</t>
        </is>
      </c>
      <c r="D150" s="15" t="inlineStr">
        <is>
          <t>Build</t>
        </is>
      </c>
      <c r="E150" s="19" t="inlineStr">
        <is>
          <t>Metrics module with tests</t>
        </is>
      </c>
      <c r="F150" s="15" t="inlineStr">
        <is>
          <t>Create evaluation/metrics.py (Confusion, Wilson interval, Brier, log loss, calibration bins) and evaluation/test_metrics.py. Run the tests.</t>
        </is>
      </c>
      <c r="G150" s="40" t="inlineStr">
        <is>
          <t>→ Code: evaluation/metrics.py
→ Code: evaluation/test_metrics.py
cd evaluation &amp;&amp; uv run --project ../services/backend pytest -q test_metrics.py</t>
        </is>
      </c>
      <c r="H150" s="40" t="inlineStr">
        <is>
          <t>BEFORE YOU START
git pull --rebase
SAVE YOUR WORK
git add -A
git status                     # nothing listed? then there is nothing to commit for this step
git commit -m "P12.04: Metrics module with tests"
git push                       # rejected? git pull --rebase, then git push again</t>
        </is>
      </c>
      <c r="I150" s="41" t="inlineStr">
        <is>
          <t>C74, C75</t>
        </is>
      </c>
      <c r="J150" s="41" t="inlineStr">
        <is>
          <t>L44, L46</t>
        </is>
      </c>
      <c r="K150" s="15" t="inlineStr">
        <is>
          <t>3 metric tests pass (verified).</t>
        </is>
      </c>
      <c r="L150" s="42" t="n">
        <v>0.75</v>
      </c>
      <c r="M150" s="43" t="inlineStr">
        <is>
          <t>Not started</t>
        </is>
      </c>
      <c r="N150" s="44" t="n"/>
      <c r="O150" s="43" t="n"/>
    </row>
    <row r="151" ht="142.6" customHeight="1">
      <c r="A151" s="15" t="inlineStr">
        <is>
          <t>P12.05</t>
        </is>
      </c>
      <c r="B151" s="15" t="inlineStr">
        <is>
          <t>P12</t>
        </is>
      </c>
      <c r="C151" s="45" t="inlineStr">
        <is>
          <t>Siva prasad</t>
        </is>
      </c>
      <c r="D151" s="15" t="inlineStr">
        <is>
          <t>Test</t>
        </is>
      </c>
      <c r="E151" s="19" t="inlineStr">
        <is>
          <t>Run the evaluation and save versioned reports</t>
        </is>
      </c>
      <c r="F151" s="15" t="inlineStr">
        <is>
          <t>Run run_eval.py in both modes with the worker image (Stockfish needed). It writes JSON reports into evaluation/reports/ with counts, precision/recall, Wilson intervals, thresholds, engine and date, plus the list of errors to study.</t>
        </is>
      </c>
      <c r="G151" s="40" t="inlineStr">
        <is>
          <t>→ Code: evaluation/run_eval.py
MSYS_NO_PATHCONV=1 docker compose run --rm -v "$(pwd -W)/evaluation:/evaluation" -v "$(pwd -W)/data:/data" worker python /evaluation/run_eval.py real-games /evaluation/labels/real_positions_v1.csv
MSYS_NO_PATHCONV=1 docker compose run --rm -v "$(pwd -W)/evaluation:/evaluation" -v "$(pwd -W)/data:/data" worker python /evaluation/run_eval.py puzzles /data/puzzles_subset.csv</t>
        </is>
      </c>
      <c r="H151" s="40" t="inlineStr">
        <is>
          <t>BEFORE YOU START
git pull --rebase
SAVE YOUR WORK
git add -A
git status                     # nothing listed? then there is nothing to commit for this step
git commit -m "P12.05: Run the evaluation and save versioned reports"
git push                       # rejected? git pull --rebase, then git push again</t>
        </is>
      </c>
      <c r="I151" s="41" t="inlineStr">
        <is>
          <t>C76</t>
        </is>
      </c>
      <c r="J151" s="41" t="inlineStr">
        <is>
          <t>L44, L45</t>
        </is>
      </c>
      <c r="K151" s="15" t="inlineStr">
        <is>
          <t>Two report JSON files committed.</t>
        </is>
      </c>
      <c r="L151" s="42" t="n">
        <v>1.5</v>
      </c>
      <c r="M151" s="43" t="inlineStr">
        <is>
          <t>Not started</t>
        </is>
      </c>
      <c r="N151" s="44" t="n"/>
      <c r="O151" s="43" t="n"/>
    </row>
    <row r="152" ht="142.6" customHeight="1">
      <c r="A152" s="15" t="inlineStr">
        <is>
          <t>P12.06</t>
        </is>
      </c>
      <c r="B152" s="15" t="inlineStr">
        <is>
          <t>P12</t>
        </is>
      </c>
      <c r="C152" s="45" t="inlineStr">
        <is>
          <t>Siva prasad</t>
        </is>
      </c>
      <c r="D152" s="15" t="inlineStr">
        <is>
          <t>Doc</t>
        </is>
      </c>
      <c r="E152" s="19" t="inlineStr">
        <is>
          <t>Study the errors and write the results page</t>
        </is>
      </c>
      <c r="F152" s="15" t="inlineStr">
        <is>
          <t>For each false positive and false negative, decide: detector bug, threshold choice, or label mistake. Fixing logic means a NEW pipeline version and a NEW test set evaluation later (never re-tune on the same set). Write evaluation/RESULTS.md and fill the Methodology page numbers (precision with CI, recall with CI, n, theme agreement, limitations, failure examples).</t>
        </is>
      </c>
      <c r="G152" s="40" t="inlineStr">
        <is>
          <t>→ Code: apps/web/src/pages/MethodologyPage.tsx</t>
        </is>
      </c>
      <c r="H152" s="40" t="inlineStr">
        <is>
          <t>BEFORE YOU START
git pull --rebase
SAVE YOUR WORK
git add -A
git status                     # nothing listed? then there is nothing to commit for this step
git commit -m "P12.06: Study the errors and write the results page"
git push                       # rejected? git pull --rebase, then git push again</t>
        </is>
      </c>
      <c r="I152" s="41" t="inlineStr">
        <is>
          <t>C81</t>
        </is>
      </c>
      <c r="J152" s="41" t="inlineStr">
        <is>
          <t>L44, L47</t>
        </is>
      </c>
      <c r="K152" s="15" t="inlineStr">
        <is>
          <t>RESULTS.md with real numbers only; Methodology page updated.</t>
        </is>
      </c>
      <c r="L152" s="42" t="n">
        <v>4</v>
      </c>
      <c r="M152" s="43" t="inlineStr">
        <is>
          <t>Not started</t>
        </is>
      </c>
      <c r="N152" s="44" t="n"/>
      <c r="O152" s="43" t="n"/>
    </row>
    <row r="153" ht="30" customHeight="1">
      <c r="A153" s="36" t="n"/>
      <c r="B153" s="36" t="n"/>
      <c r="C153" s="36" t="n"/>
      <c r="D153" s="36" t="n"/>
      <c r="E153" s="37" t="inlineStr">
        <is>
          <t>P13  Hardening: security, privacy, operations  (Core)</t>
        </is>
      </c>
      <c r="F153" s="38" t="inlineStr">
        <is>
          <t>Limits, CSP, retention, backups/restore, logs, capacity measurement.</t>
        </is>
      </c>
      <c r="G153" s="36" t="n"/>
      <c r="H153" s="36" t="n"/>
      <c r="I153" s="36" t="n"/>
      <c r="J153" s="36" t="n"/>
      <c r="K153" s="36" t="n"/>
      <c r="L153" s="36" t="n"/>
      <c r="M153" s="36" t="n"/>
      <c r="N153" s="36" t="n"/>
      <c r="O153" s="36" t="n"/>
    </row>
    <row r="154" ht="142.6" customHeight="1">
      <c r="A154" s="15" t="inlineStr">
        <is>
          <t>P13.01</t>
        </is>
      </c>
      <c r="B154" s="15" t="inlineStr">
        <is>
          <t>P13</t>
        </is>
      </c>
      <c r="C154" s="39" t="inlineStr">
        <is>
          <t>Srikanth</t>
        </is>
      </c>
      <c r="D154" s="15" t="inlineStr">
        <is>
          <t>Test</t>
        </is>
      </c>
      <c r="E154" s="19" t="inlineStr">
        <is>
          <t>Security review against the checklist</t>
        </is>
      </c>
      <c r="F154" s="15" t="inlineStr">
        <is>
          <t>Study lesson L50, then verify each item and tick it on the Checklists sheet: ownership (second guest gets 404), upload &gt; 2 MB -&gt; 413, username with symbols -&gt; 422, more than one active import -&gt; 429, 11 session creations in a minute -&gt; 429, no tracebacks in responses, no secrets in logs, containers run as non-root (docker compose exec api whoami -&gt; appuser).</t>
        </is>
      </c>
      <c r="G154" s="40" t="n"/>
      <c r="H154" s="40" t="inlineStr">
        <is>
          <t>BEFORE YOU START
git pull --rebase
SAVE YOUR WORK
git add -A
git status                     # nothing listed? then there is nothing to commit for this step
git commit -m "P13.01: Security review against the checklist"
git push                       # rejected? git pull --rebase, then git push again</t>
        </is>
      </c>
      <c r="I154" s="15" t="n"/>
      <c r="J154" s="41" t="inlineStr">
        <is>
          <t>L50, L20</t>
        </is>
      </c>
      <c r="K154" s="15" t="inlineStr">
        <is>
          <t>Every security checklist row ticked or turned into an issue.</t>
        </is>
      </c>
      <c r="L154" s="42" t="n">
        <v>2</v>
      </c>
      <c r="M154" s="43" t="inlineStr">
        <is>
          <t>Not started</t>
        </is>
      </c>
      <c r="N154" s="44" t="n"/>
      <c r="O154" s="43" t="n"/>
    </row>
    <row r="155" ht="142.6" customHeight="1">
      <c r="A155" s="15" t="inlineStr">
        <is>
          <t>P13.02</t>
        </is>
      </c>
      <c r="B155" s="15" t="inlineStr">
        <is>
          <t>P13</t>
        </is>
      </c>
      <c r="C155" s="39" t="inlineStr">
        <is>
          <t>Srikanth</t>
        </is>
      </c>
      <c r="D155" s="15" t="inlineStr">
        <is>
          <t>Deploy</t>
        </is>
      </c>
      <c r="E155" s="19" t="inlineStr">
        <is>
          <t>Content-Security-Policy and headers</t>
        </is>
      </c>
      <c r="F155" s="15" t="inlineStr">
        <is>
          <t>Edit apps/web/vercel.json: put your exact API origin in connect-src. Deploy and check the response headers in DevTools; check the console for CSP violations (Stockfish needs 'wasm-unsafe-eval' and worker-src 'self').</t>
        </is>
      </c>
      <c r="G155" s="40" t="inlineStr">
        <is>
          <t>→ Code: apps/web/vercel.json</t>
        </is>
      </c>
      <c r="H155" s="40" t="inlineStr">
        <is>
          <t>BEFORE YOU START
git pull --rebase
SAVE YOUR WORK
git add -A
git status                     # nothing listed? then there is nothing to commit for this step
git commit -m "P13.02: Content-Security-Policy and headers"
git push                       # rejected? git pull --rebase, then git push again</t>
        </is>
      </c>
      <c r="I155" s="41" t="inlineStr">
        <is>
          <t>C36</t>
        </is>
      </c>
      <c r="J155" s="41" t="inlineStr">
        <is>
          <t>L50</t>
        </is>
      </c>
      <c r="K155" s="15" t="inlineStr">
        <is>
          <t>No CSP violations; headers visible.</t>
        </is>
      </c>
      <c r="L155" s="42" t="n">
        <v>0.5</v>
      </c>
      <c r="M155" s="43" t="inlineStr">
        <is>
          <t>Not started</t>
        </is>
      </c>
      <c r="N155" s="44" t="n"/>
      <c r="O155" s="43" t="n"/>
    </row>
    <row r="156" ht="130" customHeight="1">
      <c r="A156" s="15" t="inlineStr">
        <is>
          <t>P13.03</t>
        </is>
      </c>
      <c r="B156" s="15" t="inlineStr">
        <is>
          <t>P13</t>
        </is>
      </c>
      <c r="C156" s="39" t="inlineStr">
        <is>
          <t>Srikanth</t>
        </is>
      </c>
      <c r="D156" s="15" t="inlineStr">
        <is>
          <t>Build</t>
        </is>
      </c>
      <c r="E156" s="19" t="inlineStr">
        <is>
          <t>Retention and deletion</t>
        </is>
      </c>
      <c r="F156" s="15" t="inlineStr">
        <is>
          <t>Add app/cleanup.py (the worker runs it hourly) and test 'Delete my data' end to end (test_delete_my_data): token stops working, rows are gone, queued jobs are cancelled.</t>
        </is>
      </c>
      <c r="G156" s="40" t="inlineStr">
        <is>
          <t>→ Code: services/backend/app/cleanup.py
→ Code: services/backend/app/api/me.py
uv run python -m app.cleanup</t>
        </is>
      </c>
      <c r="H156" s="40" t="inlineStr">
        <is>
          <t>BEFORE YOU START
git pull --rebase
SAVE YOUR WORK
git add -A
git status                     # nothing listed? then there is nothing to commit for this step
git commit -m "P13.03: Retention and deletion"
git push                       # rejected? git pull --rebase, then git push again</t>
        </is>
      </c>
      <c r="I156" s="41" t="inlineStr">
        <is>
          <t>C79, C78</t>
        </is>
      </c>
      <c r="J156" s="41" t="inlineStr">
        <is>
          <t>L51</t>
        </is>
      </c>
      <c r="K156" s="15" t="inlineStr">
        <is>
          <t>Cleanup prints a summary; deletion test passes.</t>
        </is>
      </c>
      <c r="L156" s="42" t="n">
        <v>0.75</v>
      </c>
      <c r="M156" s="43" t="inlineStr">
        <is>
          <t>Not started</t>
        </is>
      </c>
      <c r="N156" s="44" t="n"/>
      <c r="O156" s="43" t="n"/>
    </row>
    <row r="157" ht="142.6" customHeight="1">
      <c r="A157" s="15" t="inlineStr">
        <is>
          <t>P13.04</t>
        </is>
      </c>
      <c r="B157" s="15" t="inlineStr">
        <is>
          <t>P13</t>
        </is>
      </c>
      <c r="C157" s="45" t="inlineStr">
        <is>
          <t>Siva prasad</t>
        </is>
      </c>
      <c r="D157" s="15" t="inlineStr">
        <is>
          <t>Deploy</t>
        </is>
      </c>
      <c r="E157" s="19" t="inlineStr">
        <is>
          <t>Backups and a restore drill</t>
        </is>
      </c>
      <c r="F157" s="15" t="inlineStr">
        <is>
          <t>On Render, confirm your Postgres plan's backup/point-in-time options. Perform ONE restore into a new disposable database (or download a backup and restore locally with pg_restore into a scratch container), compare row counts with production, then delete the scratch database. Write the exact steps in OPERATIONS.md.</t>
        </is>
      </c>
      <c r="G157" s="40" t="inlineStr">
        <is>
          <t>docker run --rm -d --name restore-test -e POSTGRES_PASSWORD=x -p 5439:5432 postgres:16
# pg_restore -h localhost -p 5439 -U postgres -d postgres --no-owner backup.dump</t>
        </is>
      </c>
      <c r="H157" s="40" t="inlineStr">
        <is>
          <t>BEFORE YOU START
git pull --rebase
SAVE YOUR WORK
git add -A
git status                     # nothing listed? then there is nothing to commit for this step
git commit -m "P13.04: Backups and a restore drill"
git push                       # rejected? git pull --rebase, then git push again</t>
        </is>
      </c>
      <c r="I157" s="15" t="n"/>
      <c r="J157" s="41" t="inlineStr">
        <is>
          <t>L52</t>
        </is>
      </c>
      <c r="K157" s="15" t="inlineStr">
        <is>
          <t>OPERATIONS.md has a dated, tested restore procedure.</t>
        </is>
      </c>
      <c r="L157" s="42" t="n">
        <v>1.5</v>
      </c>
      <c r="M157" s="43" t="inlineStr">
        <is>
          <t>Not started</t>
        </is>
      </c>
      <c r="N157" s="44" t="n"/>
      <c r="O157" s="43" t="n"/>
    </row>
    <row r="158" ht="142.6" customHeight="1">
      <c r="A158" s="15" t="inlineStr">
        <is>
          <t>P13.05</t>
        </is>
      </c>
      <c r="B158" s="15" t="inlineStr">
        <is>
          <t>P13</t>
        </is>
      </c>
      <c r="C158" s="39" t="inlineStr">
        <is>
          <t>Srikanth</t>
        </is>
      </c>
      <c r="D158" s="15" t="inlineStr">
        <is>
          <t>Test</t>
        </is>
      </c>
      <c r="E158" s="19" t="inlineStr">
        <is>
          <t>Logging and queue monitoring</t>
        </is>
      </c>
      <c r="F158" s="15" t="inlineStr">
        <is>
          <t>Study lesson L52. Confirm logs never contain tokens or DATABASE_URL (search Render logs for 'Bearer' and 'postgres'). Add ops/queue_stats.sql to your routine: run it after a big import.</t>
        </is>
      </c>
      <c r="G158" s="40" t="inlineStr">
        <is>
          <t>→ Code: ops/queue_stats.sql</t>
        </is>
      </c>
      <c r="H158" s="40" t="inlineStr">
        <is>
          <t>BEFORE YOU START
git pull --rebase
SAVE YOUR WORK
git add -A
git status                     # nothing listed? then there is nothing to commit for this step
git commit -m "P13.05: Logging and queue monitoring"
git push                       # rejected? git pull --rebase, then git push again</t>
        </is>
      </c>
      <c r="I158" s="41" t="inlineStr">
        <is>
          <t>C80</t>
        </is>
      </c>
      <c r="J158" s="41" t="inlineStr">
        <is>
          <t>L52</t>
        </is>
      </c>
      <c r="K158" s="15" t="inlineStr">
        <is>
          <t>No secrets in logs; queue stats documented.</t>
        </is>
      </c>
      <c r="L158" s="42" t="n">
        <v>0.75</v>
      </c>
      <c r="M158" s="43" t="inlineStr">
        <is>
          <t>Not started</t>
        </is>
      </c>
      <c r="N158" s="44" t="n"/>
      <c r="O158" s="43" t="n"/>
    </row>
    <row r="159" ht="142.6" customHeight="1">
      <c r="A159" s="15" t="inlineStr">
        <is>
          <t>P13.06</t>
        </is>
      </c>
      <c r="B159" s="15" t="inlineStr">
        <is>
          <t>P13</t>
        </is>
      </c>
      <c r="C159" s="45" t="inlineStr">
        <is>
          <t>Siva prasad</t>
        </is>
      </c>
      <c r="D159" s="15" t="inlineStr">
        <is>
          <t>Test</t>
        </is>
      </c>
      <c r="E159" s="19" t="inlineStr">
        <is>
          <t>Capacity measurement on the deployed plan</t>
        </is>
      </c>
      <c r="F159" s="15" t="inlineStr">
        <is>
          <t>Study lesson L53. On the live site: measure engine reply time per strength in the browser (DevTools Performance or console timestamps), analysis p50/p95 per game from worker logs, worker memory in Render metrics during a 100-game import while you play and save another game. Record in OPERATIONS.md.</t>
        </is>
      </c>
      <c r="G159" s="40" t="n"/>
      <c r="H159" s="40" t="inlineStr">
        <is>
          <t>BEFORE YOU START
git pull --rebase
SAVE YOUR WORK
git add -A
git status                     # nothing listed? then there is nothing to commit for this step
git commit -m "P13.06: Capacity measurement on the deployed plan"
git push                       # rejected? git pull --rebase, then git push again</t>
        </is>
      </c>
      <c r="I159" s="15" t="n"/>
      <c r="J159" s="41" t="inlineStr">
        <is>
          <t>L53</t>
        </is>
      </c>
      <c r="K159" s="15" t="inlineStr">
        <is>
          <t>Measured numbers recorded with date and plan.</t>
        </is>
      </c>
      <c r="L159" s="42" t="n">
        <v>1.5</v>
      </c>
      <c r="M159" s="43" t="inlineStr">
        <is>
          <t>Not started</t>
        </is>
      </c>
      <c r="N159" s="44" t="n"/>
      <c r="O159" s="43" t="n"/>
    </row>
    <row r="160" ht="130" customHeight="1">
      <c r="A160" s="15" t="inlineStr">
        <is>
          <t>P13.07</t>
        </is>
      </c>
      <c r="B160" s="15" t="inlineStr">
        <is>
          <t>P13</t>
        </is>
      </c>
      <c r="C160" s="45" t="inlineStr">
        <is>
          <t>Siva prasad</t>
        </is>
      </c>
      <c r="D160" s="15" t="inlineStr">
        <is>
          <t>Test</t>
        </is>
      </c>
      <c r="E160" s="19" t="inlineStr">
        <is>
          <t>Failure drills</t>
        </is>
      </c>
      <c r="F160" s="15" t="inlineStr">
        <is>
          <t>Simulate: (1) Stockfish missing (set STOCKFISH_PATH=/nope on a local worker) -&gt; jobs go to retry_wait with ENGINE_UNAVAILABLE; (2) Lichess unreachable (disconnect network) -&gt; import retries, demo still works; (3) worker restart mid-import -&gt; resumes without duplicates.</t>
        </is>
      </c>
      <c r="G160" s="40" t="n"/>
      <c r="H160" s="40" t="inlineStr">
        <is>
          <t>BEFORE YOU START
git pull --rebase
SAVE YOUR WORK
git add -A
git status                     # nothing listed? then there is nothing to commit for this step
git commit -m "P13.07: Failure drills"
git push                       # rejected? git pull --rebase, then git push again</t>
        </is>
      </c>
      <c r="I160" s="15" t="n"/>
      <c r="J160" s="41" t="inlineStr">
        <is>
          <t>L29, L52</t>
        </is>
      </c>
      <c r="K160" s="15" t="inlineStr">
        <is>
          <t>All three behave as designed; notes in OPERATIONS.md.</t>
        </is>
      </c>
      <c r="L160" s="42" t="n">
        <v>1</v>
      </c>
      <c r="M160" s="43" t="inlineStr">
        <is>
          <t>Not started</t>
        </is>
      </c>
      <c r="N160" s="44" t="n"/>
      <c r="O160" s="43" t="n"/>
    </row>
    <row r="161" ht="30" customHeight="1">
      <c r="A161" s="36" t="n"/>
      <c r="B161" s="36" t="n"/>
      <c r="C161" s="36" t="n"/>
      <c r="D161" s="36" t="n"/>
      <c r="E161" s="37" t="inlineStr">
        <is>
          <t>P14  Polish, documentation and portfolio package  (Core)</t>
        </is>
      </c>
      <c r="F161" s="38" t="inlineStr">
        <is>
          <t>Accessibility, methodology, README, demo video, case study, v1.0 release.   ►  Release 1.0: everything above live, measured and documented</t>
        </is>
      </c>
      <c r="G161" s="36" t="n"/>
      <c r="H161" s="36" t="n"/>
      <c r="I161" s="36" t="n"/>
      <c r="J161" s="36" t="n"/>
      <c r="K161" s="36" t="n"/>
      <c r="L161" s="36" t="n"/>
      <c r="M161" s="36" t="n"/>
      <c r="N161" s="36" t="n"/>
      <c r="O161" s="36" t="n"/>
    </row>
    <row r="162" ht="130" customHeight="1">
      <c r="A162" s="15" t="inlineStr">
        <is>
          <t>P14.01</t>
        </is>
      </c>
      <c r="B162" s="15" t="inlineStr">
        <is>
          <t>P14</t>
        </is>
      </c>
      <c r="C162" s="45" t="inlineStr">
        <is>
          <t>Siva prasad</t>
        </is>
      </c>
      <c r="D162" s="15" t="inlineStr">
        <is>
          <t>Test</t>
        </is>
      </c>
      <c r="E162" s="19" t="inlineStr">
        <is>
          <t>Accessibility pass</t>
        </is>
      </c>
      <c r="F162" s="15" t="inlineStr">
        <is>
          <t>Study lesson L54. Keyboard-only: start a game and use every button and the promotion dialog with Tab/Enter. react-chessboard 4 has limited keyboard support for moving pieces: test it and document the limitation honestly. Check contrast with WebAIM. Run Lighthouse accessibility audit in Chrome DevTools and fix issues.</t>
        </is>
      </c>
      <c r="G162" s="40" t="n"/>
      <c r="H162" s="40" t="inlineStr">
        <is>
          <t>BEFORE YOU START
git pull --rebase
SAVE YOUR WORK
git add -A
git status                     # nothing listed? then there is nothing to commit for this step
git commit -m "P14.01: Accessibility pass"
git push                       # rejected? git pull --rebase, then git push again</t>
        </is>
      </c>
      <c r="I162" s="15" t="n"/>
      <c r="J162" s="41" t="inlineStr">
        <is>
          <t>L54</t>
        </is>
      </c>
      <c r="K162" s="15" t="inlineStr">
        <is>
          <t>Lighthouse accessibility &gt;= 90; known board limitations documented.</t>
        </is>
      </c>
      <c r="L162" s="42" t="n">
        <v>1.5</v>
      </c>
      <c r="M162" s="43" t="inlineStr">
        <is>
          <t>Not started</t>
        </is>
      </c>
      <c r="N162" s="44" t="n"/>
      <c r="O162" s="43" t="n"/>
    </row>
    <row r="163" ht="142.6" customHeight="1">
      <c r="A163" s="15" t="inlineStr">
        <is>
          <t>P14.02</t>
        </is>
      </c>
      <c r="B163" s="15" t="inlineStr">
        <is>
          <t>P14</t>
        </is>
      </c>
      <c r="C163" s="39" t="inlineStr">
        <is>
          <t>Srikanth</t>
        </is>
      </c>
      <c r="D163" s="15" t="inlineStr">
        <is>
          <t>Test</t>
        </is>
      </c>
      <c r="E163" s="19" t="inlineStr">
        <is>
          <t>Empty, loading and error states</t>
        </is>
      </c>
      <c r="F163" s="15" t="inlineStr">
        <is>
          <t>Walk every page with: no games yet, slow network (DevTools throttling 'Slow 3G'), API down (stop it), offline (DevTools offline). Each must show a helpful message and a next action.</t>
        </is>
      </c>
      <c r="G163" s="40" t="n"/>
      <c r="H163" s="40" t="inlineStr">
        <is>
          <t>BEFORE YOU START
git pull --rebase
SAVE YOUR WORK
git add -A
git status                     # nothing listed? then there is nothing to commit for this step
git commit -m "P14.02: Empty, loading and error states"
git push                       # rejected? git pull --rebase, then git push again</t>
        </is>
      </c>
      <c r="I163" s="15" t="n"/>
      <c r="J163" s="41" t="inlineStr">
        <is>
          <t>L31, L22</t>
        </is>
      </c>
      <c r="K163" s="15" t="inlineStr">
        <is>
          <t>No blank screens or raw errors in any state.</t>
        </is>
      </c>
      <c r="L163" s="42" t="n">
        <v>1</v>
      </c>
      <c r="M163" s="43" t="inlineStr">
        <is>
          <t>Not started</t>
        </is>
      </c>
      <c r="N163" s="44" t="n"/>
      <c r="O163" s="43" t="n"/>
    </row>
    <row r="164" ht="142.6" customHeight="1">
      <c r="A164" s="15" t="inlineStr">
        <is>
          <t>P14.03</t>
        </is>
      </c>
      <c r="B164" s="15" t="inlineStr">
        <is>
          <t>P14</t>
        </is>
      </c>
      <c r="C164" s="45" t="inlineStr">
        <is>
          <t>Siva prasad</t>
        </is>
      </c>
      <c r="D164" s="15" t="inlineStr">
        <is>
          <t>Doc</t>
        </is>
      </c>
      <c r="E164" s="19" t="inlineStr">
        <is>
          <t>Methodology and third-party notices</t>
        </is>
      </c>
      <c r="F164" s="15" t="inlineStr">
        <is>
          <t>Finish the Methodology page and THIRD_PARTY_NOTICES.md with exact versions (engine version from 'uci', stockfish npm version from package-lock, dataset version from the manifest).</t>
        </is>
      </c>
      <c r="G164" s="40" t="inlineStr">
        <is>
          <t>→ Code: apps/web/src/pages/MethodologyPage.tsx
→ Code: docs/THIRD_PARTY_NOTICES_TEMPLATE.md</t>
        </is>
      </c>
      <c r="H164" s="40" t="inlineStr">
        <is>
          <t>BEFORE YOU START
git pull --rebase
SAVE YOUR WORK
git add -A
git status                     # nothing listed? then there is nothing to commit for this step
git commit -m "P14.03: Methodology and third-party notices"
git push                       # rejected? git pull --rebase, then git push again</t>
        </is>
      </c>
      <c r="I164" s="41" t="inlineStr">
        <is>
          <t>C81, C83</t>
        </is>
      </c>
      <c r="J164" s="41" t="inlineStr">
        <is>
          <t>L55</t>
        </is>
      </c>
      <c r="K164" s="15" t="inlineStr">
        <is>
          <t>All bracketed placeholders replaced with real values.</t>
        </is>
      </c>
      <c r="L164" s="42" t="n">
        <v>1</v>
      </c>
      <c r="M164" s="43" t="inlineStr">
        <is>
          <t>Not started</t>
        </is>
      </c>
      <c r="N164" s="44" t="n"/>
      <c r="O164" s="43" t="n"/>
    </row>
    <row r="165" ht="130" customHeight="1">
      <c r="A165" s="15" t="inlineStr">
        <is>
          <t>P14.04</t>
        </is>
      </c>
      <c r="B165" s="15" t="inlineStr">
        <is>
          <t>P14</t>
        </is>
      </c>
      <c r="C165" s="39" t="inlineStr">
        <is>
          <t>Srikanth</t>
        </is>
      </c>
      <c r="D165" s="15" t="inlineStr">
        <is>
          <t>Build</t>
        </is>
      </c>
      <c r="E165" s="19" t="inlineStr">
        <is>
          <t>Remove the old static app (after parity)</t>
        </is>
      </c>
      <c r="F165" s="15" t="inlineStr">
        <is>
          <t>Once the new Play page covers everything you want from the old one (and the original engine runs in the new app), delete index.html, css/, js/ and img/ from the root in a dedicated commit. They remain available via the 'original-app' tag. Keep the chess-legacy.js copy in public/legacy-engine.</t>
        </is>
      </c>
      <c r="G165" s="40" t="inlineStr">
        <is>
          <t>git rm -r index.html css js img</t>
        </is>
      </c>
      <c r="H165" s="40" t="inlineStr">
        <is>
          <t>BEFORE YOU START
git pull --rebase
SAVE YOUR WORK
git add -A
git status                     # nothing listed? then there is nothing to commit for this step
git commit -m "P14.04: Remove the old static app"
git push                       # rejected? git pull --rebase, then git push again</t>
        </is>
      </c>
      <c r="I165" s="15" t="n"/>
      <c r="J165" s="41" t="inlineStr">
        <is>
          <t>L03</t>
        </is>
      </c>
      <c r="K165" s="15" t="inlineStr">
        <is>
          <t>Root contains only the monorepo; tag still shows the old app.</t>
        </is>
      </c>
      <c r="L165" s="42" t="n">
        <v>0.25</v>
      </c>
      <c r="M165" s="43" t="inlineStr">
        <is>
          <t>Not started</t>
        </is>
      </c>
      <c r="N165" s="44" t="n"/>
      <c r="O165" s="43" t="n"/>
    </row>
    <row r="166" ht="142.6" customHeight="1">
      <c r="A166" s="15" t="inlineStr">
        <is>
          <t>P14.05</t>
        </is>
      </c>
      <c r="B166" s="15" t="inlineStr">
        <is>
          <t>P14</t>
        </is>
      </c>
      <c r="C166" s="45" t="inlineStr">
        <is>
          <t>Siva prasad</t>
        </is>
      </c>
      <c r="D166" s="15" t="inlineStr">
        <is>
          <t>Doc</t>
        </is>
      </c>
      <c r="E166" s="19" t="inlineStr">
        <is>
          <t>Write architecture decision records</t>
        </is>
      </c>
      <c r="F166" s="15" t="inlineStr">
        <is>
          <t>Write 5 short ADRs in docs/decisions using the template: 0001 browser-side play with server re-validation; 0002 Postgres job queue with leases; 0003 evidence before prose; 0004 bounded engine budgets and coverage reporting; 0005 Elo baseline before complex models.</t>
        </is>
      </c>
      <c r="G166" s="40" t="inlineStr">
        <is>
          <t>→ Code: docs/decisions/0001-template.md</t>
        </is>
      </c>
      <c r="H166" s="40" t="inlineStr">
        <is>
          <t>BEFORE YOU START
git pull --rebase
SAVE YOUR WORK
git add -A
git status                     # nothing listed? then there is nothing to commit for this step
git commit -m "P14.05: Write architecture decision records"
git push                       # rejected? git pull --rebase, then git push again</t>
        </is>
      </c>
      <c r="I166" s="41" t="inlineStr">
        <is>
          <t>C85</t>
        </is>
      </c>
      <c r="J166" s="41" t="inlineStr">
        <is>
          <t>L58</t>
        </is>
      </c>
      <c r="K166" s="15" t="inlineStr">
        <is>
          <t>5 ADRs committed.</t>
        </is>
      </c>
      <c r="L166" s="42" t="n">
        <v>2</v>
      </c>
      <c r="M166" s="43" t="inlineStr">
        <is>
          <t>Not started</t>
        </is>
      </c>
      <c r="N166" s="44" t="n"/>
      <c r="O166" s="43" t="n"/>
    </row>
    <row r="167" ht="130" customHeight="1">
      <c r="A167" s="15" t="inlineStr">
        <is>
          <t>P14.06</t>
        </is>
      </c>
      <c r="B167" s="15" t="inlineStr">
        <is>
          <t>P14</t>
        </is>
      </c>
      <c r="C167" s="39" t="inlineStr">
        <is>
          <t>Srikanth</t>
        </is>
      </c>
      <c r="D167" s="15" t="inlineStr">
        <is>
          <t>Doc</t>
        </is>
      </c>
      <c r="E167" s="19" t="inlineStr">
        <is>
          <t>Write the README</t>
        </is>
      </c>
      <c r="F167" s="15" t="inlineStr">
        <is>
          <t>Replace the one-line README with the template: pitch, live link, demo GIF, screenshots, built-vs-integrated table, architecture, REAL results, local setup, limitations, licence.</t>
        </is>
      </c>
      <c r="G167" s="40" t="inlineStr">
        <is>
          <t>→ Code: docs/README_TEMPLATE.md</t>
        </is>
      </c>
      <c r="H167" s="40" t="inlineStr">
        <is>
          <t>BEFORE YOU START
git pull --rebase
SAVE YOUR WORK
git add -A
git status                     # nothing listed? then there is nothing to commit for this step
git commit -m "P14.06: Write the README"
git push                       # rejected? git pull --rebase, then git push again</t>
        </is>
      </c>
      <c r="I167" s="41" t="inlineStr">
        <is>
          <t>C82</t>
        </is>
      </c>
      <c r="J167" s="41" t="inlineStr">
        <is>
          <t>L58</t>
        </is>
      </c>
      <c r="K167" s="15" t="inlineStr">
        <is>
          <t>README reviewed by a friend who can explain your project after 60 seconds.</t>
        </is>
      </c>
      <c r="L167" s="42" t="n">
        <v>2</v>
      </c>
      <c r="M167" s="43" t="inlineStr">
        <is>
          <t>Not started</t>
        </is>
      </c>
      <c r="N167" s="44" t="n"/>
      <c r="O167" s="43" t="n"/>
    </row>
    <row r="168" ht="142.6" customHeight="1">
      <c r="A168" s="15" t="inlineStr">
        <is>
          <t>P14.07</t>
        </is>
      </c>
      <c r="B168" s="15" t="inlineStr">
        <is>
          <t>P14</t>
        </is>
      </c>
      <c r="C168" s="45" t="inlineStr">
        <is>
          <t>Siva prasad</t>
        </is>
      </c>
      <c r="D168" s="15" t="inlineStr">
        <is>
          <t>Doc</t>
        </is>
      </c>
      <c r="E168" s="19" t="inlineStr">
        <is>
          <t>Record the 60-90 second demo</t>
        </is>
      </c>
      <c r="F168" s="15" t="inlineStr">
        <is>
          <t>Script: home -&gt; play as Black (engine moves) -&gt; resign -&gt; review shows a missed fork with arrows and line -&gt; Practice this idea -&gt; solve with one hint -&gt; progress page -&gt; methodology numbers. Record with ScreenToGif or OBS; upload to YouTube (unlisted) or add a GIF to the README.</t>
        </is>
      </c>
      <c r="G168" s="40" t="n"/>
      <c r="H168" s="40" t="inlineStr">
        <is>
          <t>BEFORE YOU START
git pull --rebase
SAVE YOUR WORK
git add -A
git status                     # nothing listed? then there is nothing to commit for this step
git commit -m "P14.07: Record the 60-90 second demo"
git push                       # rejected? git pull --rebase, then git push again</t>
        </is>
      </c>
      <c r="I168" s="15" t="n"/>
      <c r="J168" s="41" t="inlineStr">
        <is>
          <t>L58</t>
        </is>
      </c>
      <c r="K168" s="15" t="inlineStr">
        <is>
          <t>Video linked in README.</t>
        </is>
      </c>
      <c r="L168" s="42" t="n">
        <v>1.5</v>
      </c>
      <c r="M168" s="43" t="inlineStr">
        <is>
          <t>Not started</t>
        </is>
      </c>
      <c r="N168" s="44" t="n"/>
      <c r="O168" s="43" t="n"/>
    </row>
    <row r="169" ht="142.6" customHeight="1">
      <c r="A169" s="15" t="inlineStr">
        <is>
          <t>P14.08</t>
        </is>
      </c>
      <c r="B169" s="15" t="inlineStr">
        <is>
          <t>P14</t>
        </is>
      </c>
      <c r="C169" s="39" t="inlineStr">
        <is>
          <t>Srikanth</t>
        </is>
      </c>
      <c r="D169" s="15" t="inlineStr">
        <is>
          <t>Doc</t>
        </is>
      </c>
      <c r="E169" s="19" t="inlineStr">
        <is>
          <t>Write the technical case study</t>
        </is>
      </c>
      <c r="F169" s="15" t="inlineStr">
        <is>
          <t>One page (docs/case-study.md): pick the StrictMode race condition, the knight-vs-rook endgame surprise, or a false positive you found in P8.12/P12.06. Structure: symptom -&gt; investigation -&gt; root cause -&gt; fix -&gt; test that prevents regression -&gt; what it taught you.</t>
        </is>
      </c>
      <c r="G169" s="40" t="n"/>
      <c r="H169" s="40" t="inlineStr">
        <is>
          <t>BEFORE YOU START
git pull --rebase
SAVE YOUR WORK
git add -A
git status                     # nothing listed? then there is nothing to commit for this step
git commit -m "P14.08: Write the technical case study"
git push                       # rejected? git pull --rebase, then git push again</t>
        </is>
      </c>
      <c r="I169" s="15" t="n"/>
      <c r="J169" s="41" t="inlineStr">
        <is>
          <t>L58, L30</t>
        </is>
      </c>
      <c r="K169" s="15" t="inlineStr">
        <is>
          <t>Case study committed and linked from README.</t>
        </is>
      </c>
      <c r="L169" s="42" t="n">
        <v>1.5</v>
      </c>
      <c r="M169" s="43" t="inlineStr">
        <is>
          <t>Not started</t>
        </is>
      </c>
      <c r="N169" s="44" t="n"/>
      <c r="O169" s="43" t="n"/>
    </row>
    <row r="170" ht="142.6" customHeight="1">
      <c r="A170" s="15" t="inlineStr">
        <is>
          <t>P14.09</t>
        </is>
      </c>
      <c r="B170" s="15" t="inlineStr">
        <is>
          <t>P14</t>
        </is>
      </c>
      <c r="C170" s="45" t="inlineStr">
        <is>
          <t>Siva prasad</t>
        </is>
      </c>
      <c r="D170" s="15" t="inlineStr">
        <is>
          <t>Deploy</t>
        </is>
      </c>
      <c r="E170" s="19" t="inlineStr">
        <is>
          <t>Final release checklist and v1.0 tag</t>
        </is>
      </c>
      <c r="F170" s="15" t="inlineStr">
        <is>
          <t>Go through the 'Release' and 'Deployment verification' lists on the Checklists sheet from an incognito browser on another device and network. Fix anything red. Then tag v1.0.0 and record the release (git revision, pipeline version, engine version, dataset version) in OPERATIONS.md.</t>
        </is>
      </c>
      <c r="G170" s="40" t="inlineStr">
        <is>
          <t>git tag v1.0.0 &amp;&amp; git push --tags</t>
        </is>
      </c>
      <c r="H170" s="40" t="inlineStr">
        <is>
          <t>BEFORE YOU START
git pull --rebase
SAVE YOUR WORK
git add -A
git status                     # nothing listed? then there is nothing to commit for this step
git commit -m "P14.09: Final release checklist and v1.0 tag"
git push                       # rejected? git pull --rebase, then git push again</t>
        </is>
      </c>
      <c r="I170" s="15" t="n"/>
      <c r="J170" s="41" t="inlineStr">
        <is>
          <t>L49</t>
        </is>
      </c>
      <c r="K170" s="15" t="inlineStr">
        <is>
          <t>All checklist rows ticked; v1.0.0 tagged.</t>
        </is>
      </c>
      <c r="L170" s="42" t="n">
        <v>2</v>
      </c>
      <c r="M170" s="43" t="inlineStr">
        <is>
          <t>Not started</t>
        </is>
      </c>
      <c r="N170" s="44" t="n"/>
      <c r="O170" s="43" t="n"/>
    </row>
    <row r="171" ht="41.8" customHeight="1">
      <c r="A171" s="15" t="inlineStr">
        <is>
          <t>P14.10</t>
        </is>
      </c>
      <c r="B171" s="15" t="inlineStr">
        <is>
          <t>P14</t>
        </is>
      </c>
      <c r="C171" s="39" t="inlineStr">
        <is>
          <t>Srikanth</t>
        </is>
      </c>
      <c r="D171" s="15" t="inlineStr">
        <is>
          <t>Learn</t>
        </is>
      </c>
      <c r="E171" s="19" t="inlineStr">
        <is>
          <t>Prepare for interviews</t>
        </is>
      </c>
      <c r="F171" s="15" t="inlineStr">
        <is>
          <t>Work through the Interview Prep sheet. Practise explaining SKIP LOCKED, the two-stage detector, the Elo update and your evaluation numbers out loud in under 2 minutes each. Add the resume bullet with your measured values.</t>
        </is>
      </c>
      <c r="G171" s="40" t="n"/>
      <c r="H171" s="40" t="n"/>
      <c r="I171" s="15" t="n"/>
      <c r="J171" s="41" t="inlineStr">
        <is>
          <t>L58</t>
        </is>
      </c>
      <c r="K171" s="15" t="inlineStr">
        <is>
          <t>You can answer every question on the Interview Prep sheet.</t>
        </is>
      </c>
      <c r="L171" s="42" t="n">
        <v>3</v>
      </c>
      <c r="M171" s="43" t="inlineStr">
        <is>
          <t>Not started</t>
        </is>
      </c>
      <c r="N171" s="44" t="n"/>
      <c r="O171" s="43" t="n"/>
    </row>
    <row r="172" ht="30" customHeight="1">
      <c r="A172" s="47" t="n"/>
      <c r="B172" s="47" t="n"/>
      <c r="C172" s="47" t="n"/>
      <c r="D172" s="47" t="n"/>
      <c r="E172" s="48" t="inlineStr">
        <is>
          <t>S1  Stretch: Chess.com importer  (Stretch)</t>
        </is>
      </c>
      <c r="F172" s="49" t="inlineStr">
        <is>
          <t>Second provider with monthly archives.</t>
        </is>
      </c>
      <c r="G172" s="47" t="n"/>
      <c r="H172" s="47" t="n"/>
      <c r="I172" s="47" t="n"/>
      <c r="J172" s="47" t="n"/>
      <c r="K172" s="47" t="n"/>
      <c r="L172" s="47" t="n"/>
      <c r="M172" s="47" t="n"/>
      <c r="N172" s="47" t="n"/>
      <c r="O172" s="47" t="n"/>
    </row>
    <row r="173" ht="130" customHeight="1">
      <c r="A173" s="15" t="inlineStr">
        <is>
          <t>S1.01</t>
        </is>
      </c>
      <c r="B173" s="15" t="inlineStr">
        <is>
          <t>S1</t>
        </is>
      </c>
      <c r="C173" s="39" t="inlineStr">
        <is>
          <t>Srikanth</t>
        </is>
      </c>
      <c r="D173" s="15" t="inlineStr">
        <is>
          <t>Build</t>
        </is>
      </c>
      <c r="E173" s="19" t="inlineStr">
        <is>
          <t>Chess.com importer module</t>
        </is>
      </c>
      <c r="F173" s="15" t="inlineStr">
        <is>
          <t>Create app/importers/chesscom.py: fetch the archives list, walk months newest first with a pause between requests, only follow api.chess.com URLs, stop at max_games; normalize() keeps rules == 'chess' and maps white/black usernames, uuid and end_time. Verified live: 3 recent games of a public account normalised correctly.</t>
        </is>
      </c>
      <c r="G173" s="40" t="inlineStr">
        <is>
          <t>→ Code: services/backend/app/importers/chesscom.py</t>
        </is>
      </c>
      <c r="H173" s="40" t="inlineStr">
        <is>
          <t>BEFORE YOU START
git pull --rebase
SAVE YOUR WORK
git add -A
git status                     # nothing listed? then there is nothing to commit for this step
git commit -m "S1.01: Chess.com importer module"
git push                       # rejected? git pull --rebase, then git push again</t>
        </is>
      </c>
      <c r="I173" s="41" t="inlineStr">
        <is>
          <t>C86</t>
        </is>
      </c>
      <c r="J173" s="41" t="inlineStr">
        <is>
          <t>L32</t>
        </is>
      </c>
      <c r="K173" s="15" t="inlineStr">
        <is>
          <t>Module created; live smoke test prints 3 game ids.</t>
        </is>
      </c>
      <c r="L173" s="42" t="n">
        <v>1</v>
      </c>
      <c r="M173" s="43" t="inlineStr">
        <is>
          <t>Not started</t>
        </is>
      </c>
      <c r="N173" s="44" t="n"/>
      <c r="O173" s="43" t="n"/>
    </row>
    <row r="174" ht="142.6" customHeight="1">
      <c r="A174" s="15" t="inlineStr">
        <is>
          <t>S1.02</t>
        </is>
      </c>
      <c r="B174" s="15" t="inlineStr">
        <is>
          <t>S1</t>
        </is>
      </c>
      <c r="C174" s="45" t="inlineStr">
        <is>
          <t>Siva prasad</t>
        </is>
      </c>
      <c r="D174" s="15" t="inlineStr">
        <is>
          <t>Build</t>
        </is>
      </c>
      <c r="E174" s="19" t="inlineStr">
        <is>
          <t>Handler, API and UI for Chess.com</t>
        </is>
      </c>
      <c r="F174" s="15" t="inlineStr">
        <is>
          <t>1. Add handle_import_chesscom to handlers.py by copying handle_import_lichess and swapping the module (or refactor both to share one function that takes the provider module).
2. Register it in HANDLERS as 'import_chesscom'.
3. In imports.py allow provider: Literal['lichess', 'chesscom'].
4. Add a provider selector to ImportPage.</t>
        </is>
      </c>
      <c r="G174" s="40" t="n"/>
      <c r="H174" s="40" t="inlineStr">
        <is>
          <t>BEFORE YOU START
git pull --rebase
SAVE YOUR WORK
git add -A
git status                     # nothing listed? then there is nothing to commit for this step
git commit -m "S1.02: Handler, API and UI for Chess.com"
git push                       # rejected? git pull --rebase, then git push again</t>
        </is>
      </c>
      <c r="I174" s="15" t="n"/>
      <c r="J174" s="41" t="inlineStr">
        <is>
          <t>L27, L32</t>
        </is>
      </c>
      <c r="K174" s="15" t="inlineStr">
        <is>
          <t>A Chess.com import runs end to end without duplicates on re-import.</t>
        </is>
      </c>
      <c r="L174" s="42" t="n">
        <v>2</v>
      </c>
      <c r="M174" s="43" t="inlineStr">
        <is>
          <t>Not started</t>
        </is>
      </c>
      <c r="N174" s="44" t="n"/>
      <c r="O174" s="43" t="n"/>
    </row>
    <row r="175" ht="130" customHeight="1">
      <c r="A175" s="15" t="inlineStr">
        <is>
          <t>S1.03</t>
        </is>
      </c>
      <c r="B175" s="15" t="inlineStr">
        <is>
          <t>S1</t>
        </is>
      </c>
      <c r="C175" s="39" t="inlineStr">
        <is>
          <t>Srikanth</t>
        </is>
      </c>
      <c r="D175" s="15" t="inlineStr">
        <is>
          <t>Test</t>
        </is>
      </c>
      <c r="E175" s="19" t="inlineStr">
        <is>
          <t>Fixtures and tests</t>
        </is>
      </c>
      <c r="F175" s="15" t="inlineStr">
        <is>
          <t>Save one archive list and one month JSON (trimmed) as fixtures; unit-test normalize() and the month walk with a mocked httpx transport (httpx.MockTransport).</t>
        </is>
      </c>
      <c r="G175" s="40" t="n"/>
      <c r="H175" s="40" t="inlineStr">
        <is>
          <t>BEFORE YOU START
git pull --rebase
SAVE YOUR WORK
git add -A
git status                     # nothing listed? then there is nothing to commit for this step
git commit -m "S1.03: Fixtures and tests"
git push                       # rejected? git pull --rebase, then git push again</t>
        </is>
      </c>
      <c r="I175" s="15" t="n"/>
      <c r="J175" s="41" t="inlineStr">
        <is>
          <t>L23</t>
        </is>
      </c>
      <c r="K175" s="15" t="inlineStr">
        <is>
          <t>Tests pass offline.</t>
        </is>
      </c>
      <c r="L175" s="42" t="n">
        <v>1</v>
      </c>
      <c r="M175" s="43" t="inlineStr">
        <is>
          <t>Not started</t>
        </is>
      </c>
      <c r="N175" s="44" t="n"/>
      <c r="O175" s="43" t="n"/>
    </row>
    <row r="176" ht="30" customHeight="1">
      <c r="A176" s="47" t="n"/>
      <c r="B176" s="47" t="n"/>
      <c r="C176" s="47" t="n"/>
      <c r="D176" s="47" t="n"/>
      <c r="E176" s="48" t="inlineStr">
        <is>
          <t>S2  Stretch: hanging-piece detector  (Stretch)</t>
        </is>
      </c>
      <c r="F176" s="49" t="inlineStr">
        <is>
          <t>Second concept with its own evidence type and tests.</t>
        </is>
      </c>
      <c r="G176" s="47" t="n"/>
      <c r="H176" s="47" t="n"/>
      <c r="I176" s="47" t="n"/>
      <c r="J176" s="47" t="n"/>
      <c r="K176" s="47" t="n"/>
      <c r="L176" s="47" t="n"/>
      <c r="M176" s="47" t="n"/>
      <c r="N176" s="47" t="n"/>
      <c r="O176" s="47" t="n"/>
    </row>
    <row r="177" ht="142.6" customHeight="1">
      <c r="A177" s="15" t="inlineStr">
        <is>
          <t>S2.01</t>
        </is>
      </c>
      <c r="B177" s="15" t="inlineStr">
        <is>
          <t>S2</t>
        </is>
      </c>
      <c r="C177" s="39" t="inlineStr">
        <is>
          <t>Srikanth</t>
        </is>
      </c>
      <c r="D177" s="15" t="inlineStr">
        <is>
          <t>Doc</t>
        </is>
      </c>
      <c r="E177" s="19" t="inlineStr">
        <is>
          <t>Define 'left a piece hanging' precisely</t>
        </is>
      </c>
      <c r="F177" s="15" t="inlineStr">
        <is>
          <t>Extend docs/taxonomy.md: two separate evidence types (left_piece_capturable vs missed_profitable_capture); a sacrifice the engine approves of is not a mistake; the punishment must be a capture of an undefended piece or by a cheaper attacker, and the loss (&gt;= 2 pawns) must survive the engine line; threshold 200 cp.</t>
        </is>
      </c>
      <c r="G177" s="40" t="n"/>
      <c r="H177" s="40" t="inlineStr">
        <is>
          <t>BEFORE YOU START
git pull --rebase
SAVE YOUR WORK
git add -A
git status                     # nothing listed? then there is nothing to commit for this step
git commit -m "S2.01: Define 'left a piece hanging' precisely"
git push                       # rejected? git pull --rebase, then git push again</t>
        </is>
      </c>
      <c r="I177" s="15" t="n"/>
      <c r="J177" s="41" t="inlineStr">
        <is>
          <t>L36</t>
        </is>
      </c>
      <c r="K177" s="15" t="inlineStr">
        <is>
          <t>Taxonomy updated with 6 positive and 6 negative examples.</t>
        </is>
      </c>
      <c r="L177" s="42" t="n">
        <v>1</v>
      </c>
      <c r="M177" s="43" t="inlineStr">
        <is>
          <t>Not started</t>
        </is>
      </c>
      <c r="N177" s="44" t="n"/>
      <c r="O177" s="43" t="n"/>
    </row>
    <row r="178" ht="142.6" customHeight="1">
      <c r="A178" s="15" t="inlineStr">
        <is>
          <t>S2.02</t>
        </is>
      </c>
      <c r="B178" s="15" t="inlineStr">
        <is>
          <t>S2</t>
        </is>
      </c>
      <c r="C178" s="39" t="inlineStr">
        <is>
          <t>Srikanth</t>
        </is>
      </c>
      <c r="D178" s="15" t="inlineStr">
        <is>
          <t>Build</t>
        </is>
      </c>
      <c r="E178" s="19" t="inlineStr">
        <is>
          <t>Hanging-piece module and tests</t>
        </is>
      </c>
      <c r="F178" s="15" t="inlineStr">
        <is>
          <t>Create app/analysis/hanging.py and the tests in tests/test_stretch.py (hanging queen found with loss 9; an equal queen trade is not a blunder). You will need the BEST move's evaluation too: add an eval_best(board) method to StockfishEvaluator using engine.analyse(board, limit) without root_moves.</t>
        </is>
      </c>
      <c r="G178" s="40" t="inlineStr">
        <is>
          <t>→ Code: services/backend/app/analysis/hanging.py
→ Code: services/backend/tests/test_stretch.py</t>
        </is>
      </c>
      <c r="H178" s="40" t="inlineStr">
        <is>
          <t>BEFORE YOU START
git pull --rebase
SAVE YOUR WORK
git add -A
git status                     # nothing listed? then there is nothing to commit for this step
git commit -m "S2.02: Hanging-piece module and tests"
git push                       # rejected? git pull --rebase, then git push again</t>
        </is>
      </c>
      <c r="I178" s="41" t="inlineStr">
        <is>
          <t>C87, C89</t>
        </is>
      </c>
      <c r="J178" s="41" t="inlineStr">
        <is>
          <t>L34, L38</t>
        </is>
      </c>
      <c r="K178" s="15" t="inlineStr">
        <is>
          <t>Hanging tests pass (verified).</t>
        </is>
      </c>
      <c r="L178" s="42" t="n">
        <v>2</v>
      </c>
      <c r="M178" s="43" t="inlineStr">
        <is>
          <t>Not started</t>
        </is>
      </c>
      <c r="N178" s="44" t="n"/>
      <c r="O178" s="43" t="n"/>
    </row>
    <row r="179" ht="142.6" customHeight="1">
      <c r="A179" s="15" t="inlineStr">
        <is>
          <t>S2.03</t>
        </is>
      </c>
      <c r="B179" s="15" t="inlineStr">
        <is>
          <t>S2</t>
        </is>
      </c>
      <c r="C179" s="45" t="inlineStr">
        <is>
          <t>Siva prasad</t>
        </is>
      </c>
      <c r="D179" s="15" t="inlineStr">
        <is>
          <t>Build</t>
        </is>
      </c>
      <c r="E179" s="19" t="inlineStr">
        <is>
          <t>Integrate into the pipeline, explanations and practice</t>
        </is>
      </c>
      <c r="F179" s="15" t="inlineStr">
        <is>
          <t>Add the concept to the pipeline (new PIPELINE_VERSION, e.g. 'forks-hanging-v1'), a template explain_hanging(), 'hanging_piece' in selector.CONCEPTS and the StartIn Literal, and seed hanging_piece puzzles (already produced by prepare_puzzles.py). Re-run the evaluation for the new concept separately.</t>
        </is>
      </c>
      <c r="G179" s="40" t="n"/>
      <c r="H179" s="40" t="inlineStr">
        <is>
          <t>BEFORE YOU START
git pull --rebase
SAVE YOUR WORK
git add -A
git status                     # nothing listed? then there is nothing to commit for this step
git commit -m "S2.03: Integrate into the pipeline, explanations and practice"
git push                       # rejected? git pull --rebase, then git push again</t>
        </is>
      </c>
      <c r="I179" s="15" t="n"/>
      <c r="J179" s="41" t="inlineStr">
        <is>
          <t>L39, L44</t>
        </is>
      </c>
      <c r="K179" s="15" t="inlineStr">
        <is>
          <t>Reviews show both concepts; evaluation report for hanging pieces exists.</t>
        </is>
      </c>
      <c r="L179" s="42" t="n">
        <v>4</v>
      </c>
      <c r="M179" s="43" t="inlineStr">
        <is>
          <t>Not started</t>
        </is>
      </c>
      <c r="N179" s="44" t="n"/>
      <c r="O179" s="43" t="n"/>
    </row>
    <row r="180" ht="30" customHeight="1">
      <c r="A180" s="47" t="n"/>
      <c r="B180" s="47" t="n"/>
      <c r="C180" s="47" t="n"/>
      <c r="D180" s="47" t="n"/>
      <c r="E180" s="48" t="inlineStr">
        <is>
          <t>S3  Stretch: LLM rewording with Claude  (Stretch)</t>
        </is>
      </c>
      <c r="F180" s="49" t="inlineStr">
        <is>
          <t>Optional, guarded, evaluated rewording of verified explanations.</t>
        </is>
      </c>
      <c r="G180" s="47" t="n"/>
      <c r="H180" s="47" t="n"/>
      <c r="I180" s="47" t="n"/>
      <c r="J180" s="47" t="n"/>
      <c r="K180" s="47" t="n"/>
      <c r="L180" s="47" t="n"/>
      <c r="M180" s="47" t="n"/>
      <c r="N180" s="47" t="n"/>
      <c r="O180" s="47" t="n"/>
    </row>
    <row r="181" ht="29.2" customHeight="1">
      <c r="A181" s="15" t="inlineStr">
        <is>
          <t>S3.01</t>
        </is>
      </c>
      <c r="B181" s="15" t="inlineStr">
        <is>
          <t>S3</t>
        </is>
      </c>
      <c r="C181" s="39" t="inlineStr">
        <is>
          <t>Srikanth</t>
        </is>
      </c>
      <c r="D181" s="15" t="inlineStr">
        <is>
          <t>Learn</t>
        </is>
      </c>
      <c r="E181" s="19" t="inlineStr">
        <is>
          <t>Learn safe LLM integration</t>
        </is>
      </c>
      <c r="F181" s="15" t="inlineStr">
        <is>
          <t>Study lesson L56. Read the Claude API docs' overview, the Python SDK README and the structured outputs page.</t>
        </is>
      </c>
      <c r="G181" s="40" t="n"/>
      <c r="H181" s="40" t="n"/>
      <c r="I181" s="15" t="n"/>
      <c r="J181" s="41" t="inlineStr">
        <is>
          <t>L56</t>
        </is>
      </c>
      <c r="K181" s="15" t="inlineStr">
        <is>
          <t>You can explain why the LLM is a writer, not a judge.</t>
        </is>
      </c>
      <c r="L181" s="42" t="n">
        <v>1.5</v>
      </c>
      <c r="M181" s="43" t="inlineStr">
        <is>
          <t>Not started</t>
        </is>
      </c>
      <c r="N181" s="44" t="n"/>
      <c r="O181" s="43" t="n"/>
    </row>
    <row r="182" ht="142.6" customHeight="1">
      <c r="A182" s="15" t="inlineStr">
        <is>
          <t>S3.02</t>
        </is>
      </c>
      <c r="B182" s="15" t="inlineStr">
        <is>
          <t>S3</t>
        </is>
      </c>
      <c r="C182" s="39" t="inlineStr">
        <is>
          <t>Srikanth</t>
        </is>
      </c>
      <c r="D182" s="15" t="inlineStr">
        <is>
          <t>Setup</t>
        </is>
      </c>
      <c r="E182" s="19" t="inlineStr">
        <is>
          <t>Get an API key and set a spending limit</t>
        </is>
      </c>
      <c r="F182" s="15" t="inlineStr">
        <is>
          <t>Create an Anthropic Console account, add billing, set a low monthly limit, create an API key. Store it ONLY as ANTHROPIC_API_KEY in your local .env (backend) and later in Render's worker secret settings. Never in the frontend.</t>
        </is>
      </c>
      <c r="G182" s="40" t="inlineStr">
        <is>
          <t>uv add anthropic</t>
        </is>
      </c>
      <c r="H182" s="40" t="inlineStr">
        <is>
          <t>BEFORE YOU START
git pull --rebase
SAVE YOUR WORK
git add -A
git status                     # nothing listed? then there is nothing to commit for this step
git commit -m "S3.02: Get an API key and set a spending limit"
git push                       # rejected? git pull --rebase, then git push again</t>
        </is>
      </c>
      <c r="I182" s="15" t="n"/>
      <c r="J182" s="41" t="inlineStr">
        <is>
          <t>L18, L56</t>
        </is>
      </c>
      <c r="K182" s="15" t="inlineStr">
        <is>
          <t>uv run python -c "import anthropic; anthropic.Anthropic()" runs without error.</t>
        </is>
      </c>
      <c r="L182" s="42" t="n">
        <v>0.5</v>
      </c>
      <c r="M182" s="43" t="inlineStr">
        <is>
          <t>Not started</t>
        </is>
      </c>
      <c r="N182" s="44" t="n"/>
      <c r="O182" s="43" t="n"/>
    </row>
    <row r="183" ht="142.6" customHeight="1">
      <c r="A183" s="15" t="inlineStr">
        <is>
          <t>S3.03</t>
        </is>
      </c>
      <c r="B183" s="15" t="inlineStr">
        <is>
          <t>S3</t>
        </is>
      </c>
      <c r="C183" s="39" t="inlineStr">
        <is>
          <t>Srikanth</t>
        </is>
      </c>
      <c r="D183" s="15" t="inlineStr">
        <is>
          <t>Build</t>
        </is>
      </c>
      <c r="E183" s="19" t="inlineStr">
        <is>
          <t>Rewording module with guards</t>
        </is>
      </c>
      <c r="F183" s="15" t="inlineStr">
        <is>
          <t>Create app/explain/llm.py: reword() sends only verified facts + the template, uses client.messages.parse(..., output_format=Reworded), times out after 10 s, falls back to the template on any API error, refusal, or unexpected stop_reason; passes_guard() rejects text containing moves or numbers that are not in the evidence. Default model in settings: claude-opus-5-5 (the most capable current Opus); a cheaper model such as claude-haiku-5-5 is your choice after measuring quality.</t>
        </is>
      </c>
      <c r="G183" s="40" t="inlineStr">
        <is>
          <t>→ Code: services/backend/app/explain/llm.py</t>
        </is>
      </c>
      <c r="H183" s="40" t="inlineStr">
        <is>
          <t>BEFORE YOU START
git pull --rebase
SAVE YOUR WORK
git add -A
git status                     # nothing listed? then there is nothing to commit for this step
git commit -m "S3.03: Rewording module with guards"
git push                       # rejected? git pull --rebase, then git push again</t>
        </is>
      </c>
      <c r="I183" s="41" t="inlineStr">
        <is>
          <t>C88</t>
        </is>
      </c>
      <c r="J183" s="41" t="inlineStr">
        <is>
          <t>L56</t>
        </is>
      </c>
      <c r="K183" s="15" t="inlineStr">
        <is>
          <t>Guard tests in test_stretch.py pass (verified).</t>
        </is>
      </c>
      <c r="L183" s="42" t="n">
        <v>1.5</v>
      </c>
      <c r="M183" s="43" t="inlineStr">
        <is>
          <t>Not started</t>
        </is>
      </c>
      <c r="N183" s="44" t="n"/>
      <c r="O183" s="43" t="n"/>
    </row>
    <row r="184" ht="142.6" customHeight="1">
      <c r="A184" s="15" t="inlineStr">
        <is>
          <t>S3.04</t>
        </is>
      </c>
      <c r="B184" s="15" t="inlineStr">
        <is>
          <t>S3</t>
        </is>
      </c>
      <c r="C184" s="45" t="inlineStr">
        <is>
          <t>Siva prasad</t>
        </is>
      </c>
      <c r="D184" s="15" t="inlineStr">
        <is>
          <t>Build</t>
        </is>
      </c>
      <c r="E184" s="19" t="inlineStr">
        <is>
          <t>Store rewordings, never block analysis</t>
        </is>
      </c>
      <c r="F184" s="15" t="inlineStr">
        <is>
          <t>Add a nullable column explanation_reworded to tactical_evidence (new Alembic migration). Fill it in a SEPARATE low-priority job kind 'reword_evidence' (so LLM latency never delays analysis), only when LLM_REWORDING_ENABLED=true. The review UI shows the reworded text with a 'show exact version' toggle.</t>
        </is>
      </c>
      <c r="G184" s="40" t="inlineStr">
        <is>
          <t>uv run alembic revision --autogenerate -m "add explanation_reworded"</t>
        </is>
      </c>
      <c r="H184" s="40" t="inlineStr">
        <is>
          <t>BEFORE YOU START
git pull --rebase
SAVE YOUR WORK
git add -A
git status                     # nothing listed? then there is nothing to commit for this step
git commit -m "S3.04: Store rewordings, never block analysis"
git push                       # rejected? git pull --rebase, then git push again</t>
        </is>
      </c>
      <c r="I184" s="15" t="n"/>
      <c r="J184" s="41" t="inlineStr">
        <is>
          <t>L17, L27</t>
        </is>
      </c>
      <c r="K184" s="15" t="inlineStr">
        <is>
          <t>Migration applied; feature off by default.</t>
        </is>
      </c>
      <c r="L184" s="42" t="n">
        <v>2</v>
      </c>
      <c r="M184" s="43" t="inlineStr">
        <is>
          <t>Not started</t>
        </is>
      </c>
      <c r="N184" s="44" t="n"/>
      <c r="O184" s="43" t="n"/>
    </row>
    <row r="185" ht="142.6" customHeight="1">
      <c r="A185" s="15" t="inlineStr">
        <is>
          <t>S3.05</t>
        </is>
      </c>
      <c r="B185" s="15" t="inlineStr">
        <is>
          <t>S3</t>
        </is>
      </c>
      <c r="C185" s="45" t="inlineStr">
        <is>
          <t>Siva prasad</t>
        </is>
      </c>
      <c r="D185" s="15" t="inlineStr">
        <is>
          <t>Test</t>
        </is>
      </c>
      <c r="E185" s="19" t="inlineStr">
        <is>
          <t>Evaluate the rewording before enabling it</t>
        </is>
      </c>
      <c r="F185" s="15" t="inlineStr">
        <is>
          <t>Take 30 findings. For each: template vs rewording. Score faithfulness (no new facts: yes/no) and readability (1-5) blind to which is which. Record cost per rewording (response.usage). Enable only if faithfulness is 100% on the sample and readability improves. Write the result in RESULTS.md either way.</t>
        </is>
      </c>
      <c r="G185" s="40" t="n"/>
      <c r="H185" s="40" t="inlineStr">
        <is>
          <t>BEFORE YOU START
git pull --rebase
SAVE YOUR WORK
git add -A
git status                     # nothing listed? then there is nothing to commit for this step
git commit -m "S3.05: Evaluate the rewording before enabling it"
git push                       # rejected? git pull --rebase, then git push again</t>
        </is>
      </c>
      <c r="I185" s="15" t="n"/>
      <c r="J185" s="41" t="inlineStr">
        <is>
          <t>L44, L56</t>
        </is>
      </c>
      <c r="K185" s="15" t="inlineStr">
        <is>
          <t>Decision recorded with numbers.</t>
        </is>
      </c>
      <c r="L185" s="42" t="n">
        <v>2</v>
      </c>
      <c r="M185" s="43" t="inlineStr">
        <is>
          <t>Not started</t>
        </is>
      </c>
      <c r="N185" s="44" t="n"/>
      <c r="O185" s="43" t="n"/>
    </row>
    <row r="186" ht="30" customHeight="1">
      <c r="A186" s="47" t="n"/>
      <c r="B186" s="47" t="n"/>
      <c r="C186" s="47" t="n"/>
      <c r="D186" s="47" t="n"/>
      <c r="E186" s="48" t="inlineStr">
        <is>
          <t>S4  Stretch: engine comparison  (Stretch)</t>
        </is>
      </c>
      <c r="F186" s="49" t="inlineStr">
        <is>
          <t>Original engine vs Stockfish on a fixed position set with a stronger reference.</t>
        </is>
      </c>
      <c r="G186" s="47" t="n"/>
      <c r="H186" s="47" t="n"/>
      <c r="I186" s="47" t="n"/>
      <c r="J186" s="47" t="n"/>
      <c r="K186" s="47" t="n"/>
      <c r="L186" s="47" t="n"/>
      <c r="M186" s="47" t="n"/>
      <c r="N186" s="47" t="n"/>
      <c r="O186" s="47" t="n"/>
    </row>
    <row r="187" ht="130" customHeight="1">
      <c r="A187" s="15" t="inlineStr">
        <is>
          <t>S4.01</t>
        </is>
      </c>
      <c r="B187" s="15" t="inlineStr">
        <is>
          <t>S4</t>
        </is>
      </c>
      <c r="C187" s="39" t="inlineStr">
        <is>
          <t>Srikanth</t>
        </is>
      </c>
      <c r="D187" s="15" t="inlineStr">
        <is>
          <t>Build</t>
        </is>
      </c>
      <c r="E187" s="19" t="inlineStr">
        <is>
          <t>Fixed benchmark positions</t>
        </is>
      </c>
      <c r="F187" s="15" t="inlineStr">
        <is>
          <t>Create evaluation/bench_positions.txt with 50-100 FENs (openings, middlegames, tactics, endgames). Version it.</t>
        </is>
      </c>
      <c r="G187" s="40" t="inlineStr">
        <is>
          <t>→ Code: evaluation/bench_positions.txt</t>
        </is>
      </c>
      <c r="H187" s="40" t="inlineStr">
        <is>
          <t>BEFORE YOU START
git pull --rebase
SAVE YOUR WORK
git add -A
git status                     # nothing listed? then there is nothing to commit for this step
git commit -m "S4.01: Fixed benchmark positions"
git push                       # rejected? git pull --rebase, then git push again</t>
        </is>
      </c>
      <c r="I187" s="41" t="inlineStr">
        <is>
          <t>C90</t>
        </is>
      </c>
      <c r="J187" s="41" t="inlineStr">
        <is>
          <t>L10</t>
        </is>
      </c>
      <c r="K187" s="15" t="inlineStr">
        <is>
          <t>Position file committed.</t>
        </is>
      </c>
      <c r="L187" s="42" t="n">
        <v>1</v>
      </c>
      <c r="M187" s="43" t="inlineStr">
        <is>
          <t>Not started</t>
        </is>
      </c>
      <c r="N187" s="44" t="n"/>
      <c r="O187" s="43" t="n"/>
    </row>
    <row r="188" ht="142.6" customHeight="1">
      <c r="A188" s="15" t="inlineStr">
        <is>
          <t>S4.02</t>
        </is>
      </c>
      <c r="B188" s="15" t="inlineStr">
        <is>
          <t>S4</t>
        </is>
      </c>
      <c r="C188" s="45" t="inlineStr">
        <is>
          <t>Siva prasad</t>
        </is>
      </c>
      <c r="D188" s="15" t="inlineStr">
        <is>
          <t>Test</t>
        </is>
      </c>
      <c r="E188" s="19" t="inlineStr">
        <is>
          <t>Run your original engine on the set (Node, no browser)</t>
        </is>
      </c>
      <c r="F188" s="15" t="inlineStr">
        <is>
          <t>legacy_bench.mjs loads the unchanged legacy files into an isolated Node context and records move, time and node count per position. Verified on 5 positions at depth 3: it found Nc7 fork and the back-rank mate Rb8, but needed up to 6.8 s on one middlegame position.</t>
        </is>
      </c>
      <c r="G188" s="40" t="inlineStr">
        <is>
          <t>→ Code: evaluation/legacy_bench.mjs
node evaluation/legacy_bench.mjs evaluation/bench_positions.txt 3 &gt; evaluation/reports/legacy_moves.json</t>
        </is>
      </c>
      <c r="H188" s="40" t="inlineStr">
        <is>
          <t>BEFORE YOU START
git pull --rebase
SAVE YOUR WORK
git add -A
git status                     # nothing listed? then there is nothing to commit for this step
git commit -m "S4.02: Run your original engine on the set"
git push                       # rejected? git pull --rebase, then git push again</t>
        </is>
      </c>
      <c r="I188" s="41" t="inlineStr">
        <is>
          <t>C91</t>
        </is>
      </c>
      <c r="J188" s="41" t="inlineStr">
        <is>
          <t>L10, L53</t>
        </is>
      </c>
      <c r="K188" s="15" t="inlineStr">
        <is>
          <t>legacy_moves.json created.</t>
        </is>
      </c>
      <c r="L188" s="42" t="n">
        <v>0.5</v>
      </c>
      <c r="M188" s="43" t="inlineStr">
        <is>
          <t>Not started</t>
        </is>
      </c>
      <c r="N188" s="44" t="n"/>
      <c r="O188" s="43" t="n"/>
    </row>
    <row r="189" ht="142.6" customHeight="1">
      <c r="A189" s="15" t="inlineStr">
        <is>
          <t>S4.03</t>
        </is>
      </c>
      <c r="B189" s="15" t="inlineStr">
        <is>
          <t>S4</t>
        </is>
      </c>
      <c r="C189" s="39" t="inlineStr">
        <is>
          <t>Srikanth</t>
        </is>
      </c>
      <c r="D189" s="15" t="inlineStr">
        <is>
          <t>Test</t>
        </is>
      </c>
      <c r="E189" s="19" t="inlineStr">
        <is>
          <t>Score both engines with a stronger reference</t>
        </is>
      </c>
      <c r="F189" s="15" t="inlineStr">
        <is>
          <t>score_bench.py evaluates each chosen move with Stockfish at depth 20 / 2 s and reports mean and median centipawn loss and blunders (&gt;= 300 cp) for your engine and for fast Stockfish. Report hardware and budgets. Do not compare node counts or claim Elo from this.</t>
        </is>
      </c>
      <c r="G189" s="40" t="inlineStr">
        <is>
          <t>→ Code: evaluation/score_bench.py
MSYS_NO_PATHCONV=1 docker compose run --rm -v "$(pwd -W)/evaluation:/evaluation" worker python /evaluation/score_bench.py /evaluation/reports/legacy_moves.json 0.5</t>
        </is>
      </c>
      <c r="H189" s="40" t="inlineStr">
        <is>
          <t>BEFORE YOU START
git pull --rebase
SAVE YOUR WORK
git add -A
git status                     # nothing listed? then there is nothing to commit for this step
git commit -m "S4.03: Score both engines with a stronger reference"
git push                       # rejected? git pull --rebase, then git push again</t>
        </is>
      </c>
      <c r="I189" s="41" t="inlineStr">
        <is>
          <t>C92</t>
        </is>
      </c>
      <c r="J189" s="41" t="inlineStr">
        <is>
          <t>L10, L35</t>
        </is>
      </c>
      <c r="K189" s="15" t="inlineStr">
        <is>
          <t>Results table in RESULTS.md with environment notes.</t>
        </is>
      </c>
      <c r="L189" s="42" t="n">
        <v>1</v>
      </c>
      <c r="M189" s="43" t="inlineStr">
        <is>
          <t>Not started</t>
        </is>
      </c>
      <c r="N189" s="44" t="n"/>
      <c r="O189" s="43" t="n"/>
    </row>
    <row r="190" ht="130" customHeight="1">
      <c r="A190" s="15" t="inlineStr">
        <is>
          <t>S4.04</t>
        </is>
      </c>
      <c r="B190" s="15" t="inlineStr">
        <is>
          <t>S4</t>
        </is>
      </c>
      <c r="C190" s="45" t="inlineStr">
        <is>
          <t>Siva prasad</t>
        </is>
      </c>
      <c r="D190" s="15" t="inlineStr">
        <is>
          <t>Doc</t>
        </is>
      </c>
      <c r="E190" s="19" t="inlineStr">
        <is>
          <t>Public 'engine story' page</t>
        </is>
      </c>
      <c r="F190" s="15" t="inlineStr">
        <is>
          <t>A short page (or Methodology section): what minimax and alpha-beta do, why your engine is slow and weaker (no quiescence, no transposition table, no iterative deepening, shallow fixed depth), what Stockfish adds, and what ChessLab adds around Stockfish. Credit Stockfish clearly.</t>
        </is>
      </c>
      <c r="G190" s="40" t="n"/>
      <c r="H190" s="40" t="inlineStr">
        <is>
          <t>BEFORE YOU START
git pull --rebase
SAVE YOUR WORK
git add -A
git status                     # nothing listed? then there is nothing to commit for this step
git commit -m "S4.04: Public 'engine story' page"
git push                       # rejected? git pull --rebase, then git push again</t>
        </is>
      </c>
      <c r="I190" s="15" t="n"/>
      <c r="J190" s="41" t="inlineStr">
        <is>
          <t>L10, L55</t>
        </is>
      </c>
      <c r="K190" s="15" t="inlineStr">
        <is>
          <t>Page linked from the footer.</t>
        </is>
      </c>
      <c r="L190" s="42" t="n">
        <v>1.5</v>
      </c>
      <c r="M190" s="43" t="inlineStr">
        <is>
          <t>Not started</t>
        </is>
      </c>
      <c r="N190" s="44" t="n"/>
      <c r="O190" s="43" t="n"/>
    </row>
    <row r="191" ht="30" customHeight="1">
      <c r="A191" s="47" t="n"/>
      <c r="B191" s="47" t="n"/>
      <c r="C191" s="47" t="n"/>
      <c r="D191" s="47" t="n"/>
      <c r="E191" s="48" t="inlineStr">
        <is>
          <t>S5  Stretch: small learning pilot  (Stretch)</t>
        </is>
      </c>
      <c r="F191" s="49" t="inlineStr">
        <is>
          <t>10-20 volunteers, blind pre/post tests, honest write-up.</t>
        </is>
      </c>
      <c r="G191" s="47" t="n"/>
      <c r="H191" s="47" t="n"/>
      <c r="I191" s="47" t="n"/>
      <c r="J191" s="47" t="n"/>
      <c r="K191" s="47" t="n"/>
      <c r="L191" s="47" t="n"/>
      <c r="M191" s="47" t="n"/>
      <c r="N191" s="47" t="n"/>
      <c r="O191" s="47" t="n"/>
    </row>
    <row r="192" ht="130" customHeight="1">
      <c r="A192" s="15" t="inlineStr">
        <is>
          <t>S5.01</t>
        </is>
      </c>
      <c r="B192" s="15" t="inlineStr">
        <is>
          <t>S5</t>
        </is>
      </c>
      <c r="C192" s="45" t="inlineStr">
        <is>
          <t>Siva prasad</t>
        </is>
      </c>
      <c r="D192" s="15" t="inlineStr">
        <is>
          <t>Doc</t>
        </is>
      </c>
      <c r="E192" s="19" t="inlineStr">
        <is>
          <t>Plan the pilot ethically</t>
        </is>
      </c>
      <c r="F192" s="15" t="inlineStr">
        <is>
          <t>Study lesson L47. Write the consent text (what you collect, why, how long, how to delete), recruitment message, and the schedule: blind pre-test (10 assessment puzzles), 3 weeks of practice, blind post-test (10 unseen, difficulty-matched), optional delayed test after 2 more weeks.</t>
        </is>
      </c>
      <c r="G192" s="40" t="n"/>
      <c r="H192" s="40" t="inlineStr">
        <is>
          <t>BEFORE YOU START
git pull --rebase
SAVE YOUR WORK
git add -A
git status                     # nothing listed? then there is nothing to commit for this step
git commit -m "S5.01: Plan the pilot ethically"
git push                       # rejected? git pull --rebase, then git push again</t>
        </is>
      </c>
      <c r="I192" s="15" t="n"/>
      <c r="J192" s="41" t="inlineStr">
        <is>
          <t>L47, L51</t>
        </is>
      </c>
      <c r="K192" s="15" t="inlineStr">
        <is>
          <t>docs/pilot-plan.md reviewed by a friend.</t>
        </is>
      </c>
      <c r="L192" s="42" t="n">
        <v>2</v>
      </c>
      <c r="M192" s="43" t="inlineStr">
        <is>
          <t>Not started</t>
        </is>
      </c>
      <c r="N192" s="44" t="n"/>
      <c r="O192" s="43" t="n"/>
    </row>
    <row r="193" ht="29.2" customHeight="1">
      <c r="A193" s="15" t="inlineStr">
        <is>
          <t>S5.02</t>
        </is>
      </c>
      <c r="B193" s="15" t="inlineStr">
        <is>
          <t>S5</t>
        </is>
      </c>
      <c r="C193" s="46" t="inlineStr">
        <is>
          <t>Both</t>
        </is>
      </c>
      <c r="D193" s="15" t="inlineStr">
        <is>
          <t>Test</t>
        </is>
      </c>
      <c r="E193" s="19" t="inlineStr">
        <is>
          <t>Run the pilot with 10-20 volunteers</t>
        </is>
      </c>
      <c r="F193" s="15" t="inlineStr">
        <is>
          <t>Share the live link, collect consent, monitor attrition weekly, answer questions, do not change the selection algorithm mid-pilot.</t>
        </is>
      </c>
      <c r="G193" s="40" t="n"/>
      <c r="H193" s="40" t="n"/>
      <c r="I193" s="15" t="n"/>
      <c r="J193" s="41" t="inlineStr">
        <is>
          <t>L47</t>
        </is>
      </c>
      <c r="K193" s="15" t="inlineStr">
        <is>
          <t>Data collected; attrition recorded.</t>
        </is>
      </c>
      <c r="L193" s="42" t="n">
        <v>10</v>
      </c>
      <c r="M193" s="43" t="inlineStr">
        <is>
          <t>Not started</t>
        </is>
      </c>
      <c r="N193" s="44" t="n"/>
      <c r="O193" s="43" t="n"/>
    </row>
    <row r="194" ht="142.6" customHeight="1">
      <c r="A194" s="15" t="inlineStr">
        <is>
          <t>S5.03</t>
        </is>
      </c>
      <c r="B194" s="15" t="inlineStr">
        <is>
          <t>S5</t>
        </is>
      </c>
      <c r="C194" s="39" t="inlineStr">
        <is>
          <t>Srikanth</t>
        </is>
      </c>
      <c r="D194" s="15" t="inlineStr">
        <is>
          <t>Doc</t>
        </is>
      </c>
      <c r="E194" s="19" t="inlineStr">
        <is>
          <t>Analyse and write up honestly</t>
        </is>
      </c>
      <c r="F194" s="15" t="inlineStr">
        <is>
          <t>Report participants, attrition, per-person pre/post scores, mean change with intervals, hints, exposure and qualitative feedback. No causal claims. Include what you would change.</t>
        </is>
      </c>
      <c r="G194" s="40" t="n"/>
      <c r="H194" s="40" t="inlineStr">
        <is>
          <t>BEFORE YOU START
git pull --rebase
SAVE YOUR WORK
git add -A
git status                     # nothing listed? then there is nothing to commit for this step
git commit -m "S5.03: Analyse and write up honestly"
git push                       # rejected? git pull --rebase, then git push again</t>
        </is>
      </c>
      <c r="I194" s="15" t="n"/>
      <c r="J194" s="41" t="inlineStr">
        <is>
          <t>L46, L47</t>
        </is>
      </c>
      <c r="K194" s="15" t="inlineStr">
        <is>
          <t>Pilot section in RESULTS.md.</t>
        </is>
      </c>
      <c r="L194" s="42" t="n">
        <v>3</v>
      </c>
      <c r="M194" s="43" t="inlineStr">
        <is>
          <t>Not started</t>
        </is>
      </c>
      <c r="N194" s="44" t="n"/>
      <c r="O194" s="43" t="n"/>
    </row>
    <row r="195" ht="30" customHeight="1">
      <c r="A195" s="47" t="n"/>
      <c r="B195" s="47" t="n"/>
      <c r="C195" s="47" t="n"/>
      <c r="D195" s="47" t="n"/>
      <c r="E195" s="48" t="inlineStr">
        <is>
          <t>S6  Stretch: logistic regression vs Elo  (Stretch)</t>
        </is>
      </c>
      <c r="F195" s="49" t="inlineStr">
        <is>
          <t>Chronological feature pipeline and offline comparison.</t>
        </is>
      </c>
      <c r="G195" s="47" t="n"/>
      <c r="H195" s="47" t="n"/>
      <c r="I195" s="47" t="n"/>
      <c r="J195" s="47" t="n"/>
      <c r="K195" s="47" t="n"/>
      <c r="L195" s="47" t="n"/>
      <c r="M195" s="47" t="n"/>
      <c r="N195" s="47" t="n"/>
      <c r="O195" s="47" t="n"/>
    </row>
    <row r="196" ht="142.6" customHeight="1">
      <c r="A196" s="15" t="inlineStr">
        <is>
          <t>S6.01</t>
        </is>
      </c>
      <c r="B196" s="15" t="inlineStr">
        <is>
          <t>S6</t>
        </is>
      </c>
      <c r="C196" s="39" t="inlineStr">
        <is>
          <t>Srikanth</t>
        </is>
      </c>
      <c r="D196" s="15" t="inlineStr">
        <is>
          <t>Build</t>
        </is>
      </c>
      <c r="E196" s="19" t="inlineStr">
        <is>
          <t>Export attempts and build pre-attempt features</t>
        </is>
      </c>
      <c r="F196" s="15" t="inlineStr">
        <is>
          <t>Use the SQL in compare_models.py's docstring to export attempts in time order. Check that every feature is known before the attempt.</t>
        </is>
      </c>
      <c r="G196" s="40" t="inlineStr">
        <is>
          <t>→ Code: evaluation/compare_models.py</t>
        </is>
      </c>
      <c r="H196" s="40" t="inlineStr">
        <is>
          <t>BEFORE YOU START
git pull --rebase
SAVE YOUR WORK
git add -A
git status                     # nothing listed? then there is nothing to commit for this step
git commit -m "S6.01: Export attempts and build pre-attempt features"
git push                       # rejected? git pull --rebase, then git push again</t>
        </is>
      </c>
      <c r="I196" s="41" t="inlineStr">
        <is>
          <t>C93</t>
        </is>
      </c>
      <c r="J196" s="41" t="inlineStr">
        <is>
          <t>L57, L45</t>
        </is>
      </c>
      <c r="K196" s="15" t="inlineStr">
        <is>
          <t>attempts.csv exported (not committed if it contains guest ids).</t>
        </is>
      </c>
      <c r="L196" s="42" t="n">
        <v>1</v>
      </c>
      <c r="M196" s="43" t="inlineStr">
        <is>
          <t>Not started</t>
        </is>
      </c>
      <c r="N196" s="44" t="n"/>
      <c r="O196" s="43" t="n"/>
    </row>
    <row r="197" ht="142.6" customHeight="1">
      <c r="A197" s="15" t="inlineStr">
        <is>
          <t>S6.02</t>
        </is>
      </c>
      <c r="B197" s="15" t="inlineStr">
        <is>
          <t>S6</t>
        </is>
      </c>
      <c r="C197" s="39" t="inlineStr">
        <is>
          <t>Srikanth</t>
        </is>
      </c>
      <c r="D197" s="15" t="inlineStr">
        <is>
          <t>Test</t>
        </is>
      </c>
      <c r="E197" s="19" t="inlineStr">
        <is>
          <t>Compare constant, Elo and logistic regression</t>
        </is>
      </c>
      <c r="F197" s="15" t="inlineStr">
        <is>
          <t>Install scikit-learn in a separate analysis environment (not the production image), run compare_models.py, read Brier, log loss and calibration bins, and the coefficients.</t>
        </is>
      </c>
      <c r="G197" s="40" t="inlineStr">
        <is>
          <t>uv run --with scikit-learn python evaluation/compare_models.py attempts.csv</t>
        </is>
      </c>
      <c r="H197" s="40" t="inlineStr">
        <is>
          <t>BEFORE YOU START
git pull --rebase
SAVE YOUR WORK
git add -A
git status                     # nothing listed? then there is nothing to commit for this step
git commit -m "S6.02: Compare constant, Elo and logistic regression"
git push                       # rejected? git pull --rebase, then git push again</t>
        </is>
      </c>
      <c r="I197" s="15" t="n"/>
      <c r="J197" s="41" t="inlineStr">
        <is>
          <t>L57, L46</t>
        </is>
      </c>
      <c r="K197" s="15" t="inlineStr">
        <is>
          <t>Comparison report saved; decision (keep Elo or switch) written in an ADR.</t>
        </is>
      </c>
      <c r="L197" s="42" t="n">
        <v>2</v>
      </c>
      <c r="M197" s="43" t="inlineStr">
        <is>
          <t>Not started</t>
        </is>
      </c>
      <c r="N197" s="44" t="n"/>
      <c r="O197" s="43" t="n"/>
    </row>
    <row r="198" ht="142.6" customHeight="1">
      <c r="A198" s="15" t="inlineStr">
        <is>
          <t>S6.03</t>
        </is>
      </c>
      <c r="B198" s="15" t="inlineStr">
        <is>
          <t>S6</t>
        </is>
      </c>
      <c r="C198" s="45" t="inlineStr">
        <is>
          <t>Siva prasad</t>
        </is>
      </c>
      <c r="D198" s="15" t="inlineStr">
        <is>
          <t>Test</t>
        </is>
      </c>
      <c r="E198" s="19" t="inlineStr">
        <is>
          <t>Optional: Bayesian Knowledge Tracing exploration</t>
        </is>
      </c>
      <c r="F198" s="15" t="inlineStr">
        <is>
          <t>Only if you have hundreds of sequential attempts per concept: fit a BKT model (pyBKT library) offline and compare on the same chronological split. Document parameter stability.</t>
        </is>
      </c>
      <c r="G198" s="40" t="n"/>
      <c r="H198" s="40" t="inlineStr">
        <is>
          <t>BEFORE YOU START
git pull --rebase
SAVE YOUR WORK
git add -A
git status                     # nothing listed? then there is nothing to commit for this step
git commit -m "S6.03: Optional: Bayesian Knowledge Tracing exploration"
git push                       # rejected? git pull --rebase, then git push again</t>
        </is>
      </c>
      <c r="I198" s="15" t="n"/>
      <c r="J198" s="41" t="inlineStr">
        <is>
          <t>L57</t>
        </is>
      </c>
      <c r="K198" s="15" t="inlineStr">
        <is>
          <t>Notebook or report in evaluation/.</t>
        </is>
      </c>
      <c r="L198" s="42" t="n">
        <v>4</v>
      </c>
      <c r="M198" s="43" t="inlineStr">
        <is>
          <t>Not started</t>
        </is>
      </c>
      <c r="N198" s="44" t="n"/>
      <c r="O198" s="43" t="n"/>
    </row>
    <row r="199" ht="30" customHeight="1">
      <c r="A199" s="47" t="n"/>
      <c r="B199" s="47" t="n"/>
      <c r="C199" s="47" t="n"/>
      <c r="D199" s="47" t="n"/>
      <c r="E199" s="48" t="inlineStr">
        <is>
          <t>S7  Stretch: production extras  (Stretch)</t>
        </is>
      </c>
      <c r="F199" s="49" t="inlineStr">
        <is>
          <t>Error tracking, separate workers, accounts that claim guest data.</t>
        </is>
      </c>
      <c r="G199" s="47" t="n"/>
      <c r="H199" s="47" t="n"/>
      <c r="I199" s="47" t="n"/>
      <c r="J199" s="47" t="n"/>
      <c r="K199" s="47" t="n"/>
      <c r="L199" s="47" t="n"/>
      <c r="M199" s="47" t="n"/>
      <c r="N199" s="47" t="n"/>
      <c r="O199" s="47" t="n"/>
    </row>
    <row r="200" ht="130" customHeight="1">
      <c r="A200" s="15" t="inlineStr">
        <is>
          <t>S7.01</t>
        </is>
      </c>
      <c r="B200" s="15" t="inlineStr">
        <is>
          <t>S7</t>
        </is>
      </c>
      <c r="C200" s="45" t="inlineStr">
        <is>
          <t>Siva prasad</t>
        </is>
      </c>
      <c r="D200" s="15" t="inlineStr">
        <is>
          <t>Build</t>
        </is>
      </c>
      <c r="E200" s="19" t="inlineStr">
        <is>
          <t>Error tracking</t>
        </is>
      </c>
      <c r="F200" s="15" t="inlineStr">
        <is>
          <t>Add Sentry (free tier) to the API and frontend with PII scrubbing; make sure Authorization headers are not sent.</t>
        </is>
      </c>
      <c r="G200" s="40" t="n"/>
      <c r="H200" s="40" t="inlineStr">
        <is>
          <t>BEFORE YOU START
git pull --rebase
SAVE YOUR WORK
git add -A
git status                     # nothing listed? then there is nothing to commit for this step
git commit -m "S7.01: Error tracking"
git push                       # rejected? git pull --rebase, then git push again</t>
        </is>
      </c>
      <c r="I200" s="15" t="n"/>
      <c r="J200" s="41" t="inlineStr">
        <is>
          <t>L52</t>
        </is>
      </c>
      <c r="K200" s="15" t="inlineStr">
        <is>
          <t>A test exception appears in Sentry without tokens.</t>
        </is>
      </c>
      <c r="L200" s="42" t="n">
        <v>1.5</v>
      </c>
      <c r="M200" s="43" t="inlineStr">
        <is>
          <t>Not started</t>
        </is>
      </c>
      <c r="N200" s="44" t="n"/>
      <c r="O200" s="43" t="n"/>
    </row>
    <row r="201" ht="142.6" customHeight="1">
      <c r="A201" s="15" t="inlineStr">
        <is>
          <t>S7.02</t>
        </is>
      </c>
      <c r="B201" s="15" t="inlineStr">
        <is>
          <t>S7</t>
        </is>
      </c>
      <c r="C201" s="45" t="inlineStr">
        <is>
          <t>Siva prasad</t>
        </is>
      </c>
      <c r="D201" s="15" t="inlineStr">
        <is>
          <t>Build</t>
        </is>
      </c>
      <c r="E201" s="19" t="inlineStr">
        <is>
          <t>Separate interactive and batch workers</t>
        </is>
      </c>
      <c r="F201" s="15" t="inlineStr">
        <is>
          <t>If measurements show imports delaying interactive analysis: run two worker services, one claiming only priority &gt;= 10 jobs (add a WHERE priority &gt;= :min_priority parameter to CLAIM_SQL via an env var).</t>
        </is>
      </c>
      <c r="G201" s="40" t="n"/>
      <c r="H201" s="40" t="inlineStr">
        <is>
          <t>BEFORE YOU START
git pull --rebase
SAVE YOUR WORK
git add -A
git status                     # nothing listed? then there is nothing to commit for this step
git commit -m "S7.02: Separate interactive and batch workers"
git push                       # rejected? git pull --rebase, then git push again</t>
        </is>
      </c>
      <c r="I201" s="15" t="n"/>
      <c r="J201" s="41" t="inlineStr">
        <is>
          <t>L28, L53</t>
        </is>
      </c>
      <c r="K201" s="15" t="inlineStr">
        <is>
          <t>Interactive p95 unaffected by a 200-game import.</t>
        </is>
      </c>
      <c r="L201" s="42" t="n">
        <v>2</v>
      </c>
      <c r="M201" s="43" t="inlineStr">
        <is>
          <t>Not started</t>
        </is>
      </c>
      <c r="N201" s="44" t="n"/>
      <c r="O201" s="43" t="n"/>
    </row>
    <row r="202" ht="142.6" customHeight="1">
      <c r="A202" s="15" t="inlineStr">
        <is>
          <t>S7.03</t>
        </is>
      </c>
      <c r="B202" s="15" t="inlineStr">
        <is>
          <t>S7</t>
        </is>
      </c>
      <c r="C202" s="39" t="inlineStr">
        <is>
          <t>Srikanth</t>
        </is>
      </c>
      <c r="D202" s="15" t="inlineStr">
        <is>
          <t>Build</t>
        </is>
      </c>
      <c r="E202" s="19" t="inlineStr">
        <is>
          <t>Accounts that claim guest data</t>
        </is>
      </c>
      <c r="F202" s="15" t="inlineStr">
        <is>
          <t>Add optional sign-in (for example GitHub OAuth) and an authenticated 'claim my guest data' migration that re-assigns owner_id from the guest to the account in one transaction.</t>
        </is>
      </c>
      <c r="G202" s="40" t="n"/>
      <c r="H202" s="40" t="inlineStr">
        <is>
          <t>BEFORE YOU START
git pull --rebase
SAVE YOUR WORK
git add -A
git status                     # nothing listed? then there is nothing to commit for this step
git commit -m "S7.03: Accounts that claim guest data"
git push                       # rejected? git pull --rebase, then git push again</t>
        </is>
      </c>
      <c r="I202" s="15" t="n"/>
      <c r="J202" s="41" t="inlineStr">
        <is>
          <t>L19, L20</t>
        </is>
      </c>
      <c r="K202" s="15" t="inlineStr">
        <is>
          <t>A guest can sign in on a second device and see their history.</t>
        </is>
      </c>
      <c r="L202" s="42" t="n">
        <v>6</v>
      </c>
      <c r="M202" s="43" t="inlineStr">
        <is>
          <t>Not started</t>
        </is>
      </c>
      <c r="N202" s="44" t="n"/>
      <c r="O202" s="43" t="n"/>
    </row>
  </sheetData>
  <autoFilter ref="A1:O202"/>
  <conditionalFormatting sqref="A2:O202">
    <cfRule type="expression" priority="1" dxfId="0">
      <formula>$M2="Done"</formula>
    </cfRule>
    <cfRule type="expression" priority="2" dxfId="1">
      <formula>$M2="In progress"</formula>
    </cfRule>
    <cfRule type="expression" priority="3" dxfId="2">
      <formula>$M2="Blocked"</formula>
    </cfRule>
    <cfRule type="expression" priority="4" dxfId="3">
      <formula>$M2="Skipped"</formula>
    </cfRule>
  </conditionalFormatting>
  <dataValidations count="2">
    <dataValidation sqref="M2:M202" showDropDown="0" showInputMessage="0" showErrorMessage="0" allowBlank="1" error="Choose a status from the list." prompt="Set your progress" type="list">
      <formula1>"Not started,In progress,Done,Skipped,Blocked"</formula1>
    </dataValidation>
    <dataValidation sqref="N2:N202" showDropDown="0" showInputMessage="0" showErrorMessage="0" allowBlank="1" error="Enter a date (yyyy-mm-dd)." type="date" operator="greaterThan">
      <formula1>DATE(2020,1,1)</formula1>
    </dataValidation>
  </dataValidations>
  <hyperlinks>
    <hyperlink ref="J3" location="'Lesson Notes'!A25" display="L02"/>
    <hyperlink ref="J4" location="'Lesson Notes'!A50" display="L03"/>
    <hyperlink ref="I5" location="'Code'!A3" display="C01"/>
    <hyperlink ref="J5" location="'Lesson Notes'!A50" display="L03"/>
    <hyperlink ref="J6" location="'Lesson Notes'!A50" display="L03"/>
    <hyperlink ref="J7" location="'Lesson Notes'!A50" display="L03"/>
    <hyperlink ref="J8" location="'Lesson Notes'!A25" display="L02, L03, L59"/>
    <hyperlink ref="J10" location="'Lesson Notes'!A744" display="L37"/>
    <hyperlink ref="J11" location="'Lesson Notes'!A3" display="L01"/>
    <hyperlink ref="J12" location="'Lesson Notes'!A50" display="L03"/>
    <hyperlink ref="J13" location="'Lesson Notes'!A25" display="L02"/>
    <hyperlink ref="J15" location="'Lesson Notes'!A72" display="L04"/>
    <hyperlink ref="J16" location="'Lesson Notes'!A72" display="L04, L11"/>
    <hyperlink ref="J17" location="'Lesson Notes'!A315" display="L15"/>
    <hyperlink ref="J18" location="'Lesson Notes'!A931" display="L48"/>
    <hyperlink ref="J19" location="'Lesson Notes'!A931" display="L48"/>
    <hyperlink ref="J20" location="'Lesson Notes'!A50" display="L03"/>
    <hyperlink ref="J22" location="'Lesson Notes'!A200" display="L10"/>
    <hyperlink ref="J23" location="'Lesson Notes'!A200" display="L10"/>
    <hyperlink ref="J24" location="'Lesson Notes'!A50" display="L03"/>
    <hyperlink ref="I25" location="'Code'!A5272" display="C83"/>
    <hyperlink ref="J25" location="'Lesson Notes'!A1064" display="L55"/>
    <hyperlink ref="J26" location="'Lesson Notes'!A476" display="L23"/>
    <hyperlink ref="J27" location="'Lesson Notes'!A50" display="L03"/>
    <hyperlink ref="J29" location="'Lesson Notes'!A224" display="L11"/>
    <hyperlink ref="I30" location="'Code'!A3" display="C01"/>
    <hyperlink ref="J30" location="'Lesson Notes'!A50" display="L03, L18"/>
    <hyperlink ref="I31" location="'Code'!A784" display="C16"/>
    <hyperlink ref="J31" location="'Lesson Notes'!A141" display="L07, L06"/>
    <hyperlink ref="J32" location="'Lesson Notes'!A72" display="L04"/>
    <hyperlink ref="I33" location="'Code'!A81" display="C03"/>
    <hyperlink ref="J33" location="'Lesson Notes'!A224" display="L11, L04"/>
    <hyperlink ref="I34" location="'Code'!A28" display="C02"/>
    <hyperlink ref="J34" location="'Lesson Notes'!A315" display="L15, L26"/>
    <hyperlink ref="J35" location="'Lesson Notes'!A291" display="L14"/>
    <hyperlink ref="J36" location="'Lesson Notes'!A50" display="L03"/>
    <hyperlink ref="J38" location="'Lesson Notes'!A245" display="L12, L13"/>
    <hyperlink ref="I39" location="'Code'!A138" display="C05, C04"/>
    <hyperlink ref="J39" location="'Lesson Notes'!A382" display="L18"/>
    <hyperlink ref="I40" location="'Code'!A201" display="C06"/>
    <hyperlink ref="J40" location="'Lesson Notes'!A336" display="L16"/>
    <hyperlink ref="J41" location="'Lesson Notes'!A336" display="L16"/>
    <hyperlink ref="I42" location="'Code'!A232" display="C07"/>
    <hyperlink ref="J42" location="'Lesson Notes'!A291" display="L14, L16"/>
    <hyperlink ref="I43" location="'Code'!A456" display="C08"/>
    <hyperlink ref="J43" location="'Lesson Notes'!A361" display="L17"/>
    <hyperlink ref="I44" location="'Code'!A473" display="C09"/>
    <hyperlink ref="J44" location="'Lesson Notes'!A458" display="L22"/>
    <hyperlink ref="I45" location="'Code'!A516" display="C10"/>
    <hyperlink ref="J45" location="'Lesson Notes'!A402" display="L19"/>
    <hyperlink ref="I46" location="'Code'!A567" display="C11"/>
    <hyperlink ref="J46" location="'Lesson Notes'!A978" display="L50"/>
    <hyperlink ref="I47" location="'Code'!A608" display="C12"/>
    <hyperlink ref="J47" location="'Lesson Notes'!A245" display="L12, L13"/>
    <hyperlink ref="I48" location="'Code'!A652" display="C13"/>
    <hyperlink ref="J48" location="'Lesson Notes'!A265" display="L13, L21"/>
    <hyperlink ref="J49" location="'Lesson Notes'!A402" display="L19, L22"/>
    <hyperlink ref="J50" location="'Lesson Notes'!A476" display="L23"/>
    <hyperlink ref="I51" location="'Code'!A700" display="C14"/>
    <hyperlink ref="J51" location="'Lesson Notes'!A476" display="L23"/>
    <hyperlink ref="I52" location="'Code'!A4761" display="C73"/>
    <hyperlink ref="J52" location="'Lesson Notes'!A476" display="L23"/>
    <hyperlink ref="J53" location="'Lesson Notes'!A50" display="L03"/>
    <hyperlink ref="J55" location="'Lesson Notes'!A93" display="L05, L06"/>
    <hyperlink ref="J56" location="'Lesson Notes'!A180" display="L09, L10"/>
    <hyperlink ref="I57" location="'Code'!A797" display="C17, C18, C19"/>
    <hyperlink ref="J57" location="'Lesson Notes'!A115" display="L06, L07"/>
    <hyperlink ref="I58" location="'Code'!A949" display="C20, C21, C15"/>
    <hyperlink ref="J58" location="'Lesson Notes'!A93" display="L05, L19"/>
    <hyperlink ref="I59" location="'Code'!A1155" display="C22, C23"/>
    <hyperlink ref="J59" location="'Lesson Notes'!A499" display="L24, L09"/>
    <hyperlink ref="J60" location="'Lesson Notes'!A160" display="L08"/>
    <hyperlink ref="J61" location="'Lesson Notes'!A160" display="L08, L55"/>
    <hyperlink ref="I62" location="'Code'!A1250" display="C24"/>
    <hyperlink ref="J62" location="'Lesson Notes'!A160" display="L08, L10"/>
    <hyperlink ref="I63" location="'Code'!A1336" display="C25, C26"/>
    <hyperlink ref="J63" location="'Lesson Notes'!A160" display="L08, L10"/>
    <hyperlink ref="I64" location="'Code'!A1394" display="C27"/>
    <hyperlink ref="J64" location="'Lesson Notes'!A115" display="L06, L08"/>
    <hyperlink ref="I65" location="'Code'!A1503" display="C28, C29"/>
    <hyperlink ref="J65" location="'Lesson Notes'!A1046" display="L54"/>
    <hyperlink ref="I66" location="'Code'!A1569" display="C30"/>
    <hyperlink ref="J66" location="'Lesson Notes'!A115" display="L06, L54"/>
    <hyperlink ref="J67" location="'Lesson Notes'!A180" display="L09"/>
    <hyperlink ref="I68" location="'Code'!A1737" display="C31, C32"/>
    <hyperlink ref="J68" location="'Lesson Notes'!A499" display="L24"/>
    <hyperlink ref="J69" location="'Lesson Notes'!A141" display="L07"/>
    <hyperlink ref="J71" location="'Lesson Notes'!A931" display="L48"/>
    <hyperlink ref="I72" location="'Code'!A1808" display="C34, C33"/>
    <hyperlink ref="J72" location="'Lesson Notes'!A519" display="L25"/>
    <hyperlink ref="J73" location="'Lesson Notes'!A539" display="L26"/>
    <hyperlink ref="J74" location="'Lesson Notes'!A50" display="L03"/>
    <hyperlink ref="I75" location="'Code'!A1881" display="C37"/>
    <hyperlink ref="J75" location="'Lesson Notes'!A958" display="L49"/>
    <hyperlink ref="J76" location="'Lesson Notes'!A931" display="L48"/>
    <hyperlink ref="I77" location="'Code'!A1819" display="C35"/>
    <hyperlink ref="J77" location="'Lesson Notes'!A931" display="L48, L17"/>
    <hyperlink ref="I78" location="'Code'!A1864" display="C36"/>
    <hyperlink ref="J78" location="'Lesson Notes'!A141" display="L07, L48, L50"/>
    <hyperlink ref="J79" location="'Lesson Notes'!A439" display="L21"/>
    <hyperlink ref="J80" location="'Lesson Notes'!A931" display="L48"/>
    <hyperlink ref="I81" location="'Code'!A5290" display="C84"/>
    <hyperlink ref="J81" location="'Lesson Notes'!A958" display="L49"/>
    <hyperlink ref="J83" location="'Lesson Notes'!A555" display="L27, L28, L29"/>
    <hyperlink ref="I84" location="'Code'!A1932" display="C38"/>
    <hyperlink ref="J84" location="'Lesson Notes'!A667" display="L33, L34"/>
    <hyperlink ref="I85" location="'Code'!A4697" display="C72"/>
    <hyperlink ref="J85" location="'Lesson Notes'!A476" display="L23"/>
    <hyperlink ref="I86" location="'Code'!A2035" display="C39"/>
    <hyperlink ref="J86" location="'Lesson Notes'!A573" display="L28, L29"/>
    <hyperlink ref="I87" location="'Code'!A2227" display="C40"/>
    <hyperlink ref="J87" location="'Lesson Notes'!A245" display="L12, L20, L29"/>
    <hyperlink ref="I88" location="'Code'!A2351" display="C41"/>
    <hyperlink ref="J88" location="'Lesson Notes'!A423" display="L20, L27"/>
    <hyperlink ref="J89" location="'Lesson Notes'!A476" display="L23, L28"/>
    <hyperlink ref="J90" location="'Lesson Notes'!A684" display="L34, L35"/>
    <hyperlink ref="I91" location="'Code'!A2401" display="C42"/>
    <hyperlink ref="J91" location="'Lesson Notes'!A684" display="L34, L35"/>
    <hyperlink ref="I92" location="'Code'!A2473" display="C43, C44"/>
    <hyperlink ref="J92" location="'Lesson Notes'!A555" display="L27, L29, L52"/>
    <hyperlink ref="J93" location="'Lesson Notes'!A539" display="L26, L52"/>
    <hyperlink ref="J94" location="'Lesson Notes'!A573" display="L28"/>
    <hyperlink ref="J95" location="'Lesson Notes'!A958" display="L49"/>
    <hyperlink ref="J97" location="'Lesson Notes'!A644" display="L32"/>
    <hyperlink ref="I98" location="'Code'!A2713" display="C45"/>
    <hyperlink ref="J98" location="'Lesson Notes'!A644" display="L32, L29"/>
    <hyperlink ref="J99" location="'Lesson Notes'!A644" display="L32"/>
    <hyperlink ref="J100" location="'Lesson Notes'!A476" display="L23, L32"/>
    <hyperlink ref="I101" location="'Code'!A2473" display="C43"/>
    <hyperlink ref="J101" location="'Lesson Notes'!A555" display="L27, L29"/>
    <hyperlink ref="I102" location="'Code'!A2792" display="C46"/>
    <hyperlink ref="J102" location="'Lesson Notes'!A245" display="L12, L33"/>
    <hyperlink ref="I103" location="'Code'!A2919" display="C47, C48, C49"/>
    <hyperlink ref="J103" location="'Lesson Notes'!A629" display="L31"/>
    <hyperlink ref="J104" location="'Lesson Notes'!A476" display="L23"/>
    <hyperlink ref="I105" location="'Code'!A5151" display="C80"/>
    <hyperlink ref="J105" location="'Lesson Notes'!A555" display="L27, L53"/>
    <hyperlink ref="J106" location="'Lesson Notes'!A958" display="L49"/>
    <hyperlink ref="J108" location="'Lesson Notes'!A725" display="L36, L37, L38"/>
    <hyperlink ref="J109" location="'Lesson Notes'!A725" display="L36, L39"/>
    <hyperlink ref="I110" location="'Code'!A3095" display="C50"/>
    <hyperlink ref="J110" location="'Lesson Notes'!A705" display="L35, L36"/>
    <hyperlink ref="I111" location="'Code'!A3119" display="C51"/>
    <hyperlink ref="J111" location="'Lesson Notes'!A684" display="L34, L38"/>
    <hyperlink ref="I112" location="'Code'!A3380" display="C54"/>
    <hyperlink ref="J112" location="'Lesson Notes'!A476" display="L23"/>
    <hyperlink ref="I113" location="'Code'!A3184" display="C52"/>
    <hyperlink ref="J113" location="'Lesson Notes'!A705" display="L35, L38"/>
    <hyperlink ref="J114" location="'Lesson Notes'!A476" display="L23"/>
    <hyperlink ref="I115" location="'Code'!A3268" display="C53"/>
    <hyperlink ref="J115" location="'Lesson Notes'!A762" display="L38, L39"/>
    <hyperlink ref="J116" location="'Lesson Notes'!A705" display="L35"/>
    <hyperlink ref="I117" location="'Code'!A2473" display="C43"/>
    <hyperlink ref="J117" location="'Lesson Notes'!A336" display="L16, L29, L39"/>
    <hyperlink ref="J118" location="'Lesson Notes'!A1031" display="L53"/>
    <hyperlink ref="J119" location="'Lesson Notes'!A866" display="L44"/>
    <hyperlink ref="J121" location="'Lesson Notes'!A778" display="L39, L40"/>
    <hyperlink ref="I122" location="'Code'!A3494" display="C55"/>
    <hyperlink ref="J122" location="'Lesson Notes'!A793" display="L40"/>
    <hyperlink ref="I123" location="'Code'!A3552" display="C56"/>
    <hyperlink ref="J123" location="'Lesson Notes'!A245" display="L12, L20"/>
    <hyperlink ref="I124" location="'Code'!A3635" display="C57, C58"/>
    <hyperlink ref="J124" location="'Lesson Notes'!A115" display="L06, L31"/>
    <hyperlink ref="I125" location="'Code'!A3801" display="C60"/>
    <hyperlink ref="J125" location="'Lesson Notes'!A778" display="L39"/>
    <hyperlink ref="I126" location="'Code'!A3772" display="C59"/>
    <hyperlink ref="J126" location="'Lesson Notes'!A999" display="L51"/>
    <hyperlink ref="J127" location="'Lesson Notes'!A958" display="L49"/>
    <hyperlink ref="J129" location="'Lesson Notes'!A807" display="L41"/>
    <hyperlink ref="J130" location="'Lesson Notes'!A807" display="L41"/>
    <hyperlink ref="I131" location="'Code'!A3840" display="C61"/>
    <hyperlink ref="J131" location="'Lesson Notes'!A807" display="L41"/>
    <hyperlink ref="I132" location="'Code'!A3978" display="C62"/>
    <hyperlink ref="J132" location="'Lesson Notes'!A594" display="L29, L41"/>
    <hyperlink ref="I133" location="'Code'!A4030" display="C63, C64"/>
    <hyperlink ref="J133" location="'Lesson Notes'!A667" display="L33, L34"/>
    <hyperlink ref="I134" location="'Code'!A4153" display="C65"/>
    <hyperlink ref="J134" location="'Lesson Notes'!A245" display="L12, L29, L30"/>
    <hyperlink ref="I135" location="'Code'!A4317" display="C66"/>
    <hyperlink ref="J135" location="'Lesson Notes'!A115" display="L06"/>
    <hyperlink ref="J136" location="'Lesson Notes'!A849" display="L43"/>
    <hyperlink ref="J137" location="'Lesson Notes'!A612" display="L30"/>
    <hyperlink ref="I138" location="'Code'!A4434" display="C67"/>
    <hyperlink ref="J138" location="'Lesson Notes'!A499" display="L24"/>
    <hyperlink ref="J140" location="'Lesson Notes'!A829" display="L42, L43"/>
    <hyperlink ref="I141" location="'Code'!A4468" display="C68"/>
    <hyperlink ref="J141" location="'Lesson Notes'!A829" display="L42"/>
    <hyperlink ref="I142" location="'Code'!A4503" display="C69"/>
    <hyperlink ref="J142" location="'Lesson Notes'!A849" display="L43, L30"/>
    <hyperlink ref="J143" location="'Lesson Notes'!A849" display="L43, L47"/>
    <hyperlink ref="I144" location="'Code'!A4563" display="C70, C71"/>
    <hyperlink ref="J144" location="'Lesson Notes'!A829" display="L42, L47"/>
    <hyperlink ref="J145" location="'Lesson Notes'!A829" display="L42, L46"/>
    <hyperlink ref="J147" location="'Lesson Notes'!A866" display="L44, L45, L46"/>
    <hyperlink ref="J148" location="'Lesson Notes'!A866" display="L44, L45"/>
    <hyperlink ref="I149" location="'Code'!A5084" display="C77"/>
    <hyperlink ref="J149" location="'Lesson Notes'!A866" display="L44, L45"/>
    <hyperlink ref="I150" location="'Code'!A4880" display="C74, C75"/>
    <hyperlink ref="J150" location="'Lesson Notes'!A866" display="L44, L46"/>
    <hyperlink ref="I151" location="'Code'!A4996" display="C76"/>
    <hyperlink ref="J151" location="'Lesson Notes'!A866" display="L44, L45"/>
    <hyperlink ref="I152" location="'Code'!A5179" display="C81"/>
    <hyperlink ref="J152" location="'Lesson Notes'!A866" display="L44, L47"/>
    <hyperlink ref="J154" location="'Lesson Notes'!A978" display="L50, L20"/>
    <hyperlink ref="I155" location="'Code'!A1864" display="C36"/>
    <hyperlink ref="J155" location="'Lesson Notes'!A978" display="L50"/>
    <hyperlink ref="I156" location="'Code'!A5113" display="C79, C78"/>
    <hyperlink ref="J156" location="'Lesson Notes'!A999" display="L51"/>
    <hyperlink ref="J157" location="'Lesson Notes'!A1015" display="L52"/>
    <hyperlink ref="I158" location="'Code'!A5151" display="C80"/>
    <hyperlink ref="J158" location="'Lesson Notes'!A1015" display="L52"/>
    <hyperlink ref="J159" location="'Lesson Notes'!A1031" display="L53"/>
    <hyperlink ref="J160" location="'Lesson Notes'!A594" display="L29, L52"/>
    <hyperlink ref="J162" location="'Lesson Notes'!A1046" display="L54"/>
    <hyperlink ref="J163" location="'Lesson Notes'!A629" display="L31, L22"/>
    <hyperlink ref="I164" location="'Code'!A5179" display="C81, C83"/>
    <hyperlink ref="J164" location="'Lesson Notes'!A1064" display="L55"/>
    <hyperlink ref="J165" location="'Lesson Notes'!A50" display="L03"/>
    <hyperlink ref="I166" location="'Code'!A5329" display="C85"/>
    <hyperlink ref="J166" location="'Lesson Notes'!A1123" display="L58"/>
    <hyperlink ref="I167" location="'Code'!A5223" display="C82"/>
    <hyperlink ref="J167" location="'Lesson Notes'!A1123" display="L58"/>
    <hyperlink ref="J168" location="'Lesson Notes'!A1123" display="L58"/>
    <hyperlink ref="J169" location="'Lesson Notes'!A1123" display="L58, L30"/>
    <hyperlink ref="J170" location="'Lesson Notes'!A958" display="L49"/>
    <hyperlink ref="J171" location="'Lesson Notes'!A1123" display="L58"/>
    <hyperlink ref="I173" location="'Code'!A5349" display="C86"/>
    <hyperlink ref="J173" location="'Lesson Notes'!A644" display="L32"/>
    <hyperlink ref="J174" location="'Lesson Notes'!A555" display="L27, L32"/>
    <hyperlink ref="J175" location="'Lesson Notes'!A476" display="L23"/>
    <hyperlink ref="J177" location="'Lesson Notes'!A725" display="L36"/>
    <hyperlink ref="I178" location="'Code'!A5418" display="C87, C89"/>
    <hyperlink ref="J178" location="'Lesson Notes'!A684" display="L34, L38"/>
    <hyperlink ref="J179" location="'Lesson Notes'!A778" display="L39, L44"/>
    <hyperlink ref="J181" location="'Lesson Notes'!A1081" display="L56"/>
    <hyperlink ref="J182" location="'Lesson Notes'!A382" display="L18, L56"/>
    <hyperlink ref="I183" location="'Code'!A5482" display="C88"/>
    <hyperlink ref="J183" location="'Lesson Notes'!A1081" display="L56"/>
    <hyperlink ref="J184" location="'Lesson Notes'!A361" display="L17, L27"/>
    <hyperlink ref="J185" location="'Lesson Notes'!A866" display="L44, L56"/>
    <hyperlink ref="I187" location="'Code'!A5608" display="C90"/>
    <hyperlink ref="J187" location="'Lesson Notes'!A200" display="L10"/>
    <hyperlink ref="I188" location="'Code'!A5617" display="C91"/>
    <hyperlink ref="J188" location="'Lesson Notes'!A200" display="L10, L53"/>
    <hyperlink ref="I189" location="'Code'!A5648" display="C92"/>
    <hyperlink ref="J189" location="'Lesson Notes'!A200" display="L10, L35"/>
    <hyperlink ref="J190" location="'Lesson Notes'!A200" display="L10, L55"/>
    <hyperlink ref="J192" location="'Lesson Notes'!A916" display="L47, L51"/>
    <hyperlink ref="J193" location="'Lesson Notes'!A916" display="L47"/>
    <hyperlink ref="J194" location="'Lesson Notes'!A901" display="L46, L47"/>
    <hyperlink ref="I196" location="'Code'!A5696" display="C93"/>
    <hyperlink ref="J196" location="'Lesson Notes'!A1106" display="L57, L45"/>
    <hyperlink ref="J197" location="'Lesson Notes'!A1106" display="L57, L46"/>
    <hyperlink ref="J198" location="'Lesson Notes'!A1106" display="L57"/>
    <hyperlink ref="J200" location="'Lesson Notes'!A1015" display="L52"/>
    <hyperlink ref="J201" location="'Lesson Notes'!A573" display="L28, L53"/>
    <hyperlink ref="J202" location="'Lesson Notes'!A402" display="L19, L20"/>
  </hyperlink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H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2" customWidth="1" min="2" max="2"/>
    <col width="13" customWidth="1" min="3" max="3"/>
    <col width="9" customWidth="1" min="4" max="4"/>
    <col width="22" customWidth="1" min="5" max="5"/>
    <col width="14" customWidth="1" min="6" max="6"/>
    <col width="10" customWidth="1" min="7" max="7"/>
    <col width="30" customWidth="1" min="8" max="8"/>
  </cols>
  <sheetData>
    <row r="1" ht="30" customHeight="1">
      <c r="A1" s="13" t="inlineStr">
        <is>
          <t>ID</t>
        </is>
      </c>
      <c r="B1" s="13" t="inlineStr">
        <is>
          <t>Lesson</t>
        </is>
      </c>
      <c r="C1" s="13" t="inlineStr">
        <is>
          <t>Level</t>
        </is>
      </c>
      <c r="D1" s="13" t="inlineStr">
        <is>
          <t>Minutes</t>
        </is>
      </c>
      <c r="E1" s="13" t="inlineStr">
        <is>
          <t>Used in phases</t>
        </is>
      </c>
      <c r="F1" s="13" t="inlineStr">
        <is>
          <t>Status (edit)</t>
        </is>
      </c>
      <c r="G1" s="13" t="inlineStr">
        <is>
          <t>Open</t>
        </is>
      </c>
      <c r="H1" s="13" t="inlineStr">
        <is>
          <t>My notes (edit)</t>
        </is>
      </c>
    </row>
    <row r="2">
      <c r="A2" s="15" t="inlineStr">
        <is>
          <t>L01</t>
        </is>
      </c>
      <c r="B2" s="15" t="inlineStr">
        <is>
          <t>How the web works: browsers, servers, HTTP and JSON</t>
        </is>
      </c>
      <c r="C2" s="15" t="inlineStr">
        <is>
          <t>Beginner</t>
        </is>
      </c>
      <c r="D2" s="15" t="n">
        <v>60</v>
      </c>
      <c r="E2" s="15" t="inlineStr">
        <is>
          <t>P0, P3, P4</t>
        </is>
      </c>
      <c r="F2" s="50" t="inlineStr">
        <is>
          <t>Not started</t>
        </is>
      </c>
      <c r="G2" s="51" t="inlineStr">
        <is>
          <t>Open →</t>
        </is>
      </c>
      <c r="H2" s="52" t="n"/>
    </row>
    <row r="3">
      <c r="A3" s="15" t="inlineStr">
        <is>
          <t>L02</t>
        </is>
      </c>
      <c r="B3" s="15" t="inlineStr">
        <is>
          <t>The terminal on Windows: Git Bash, paths and environment variables</t>
        </is>
      </c>
      <c r="C3" s="15" t="inlineStr">
        <is>
          <t>Beginner</t>
        </is>
      </c>
      <c r="D3" s="15" t="n">
        <v>45</v>
      </c>
      <c r="E3" s="15" t="inlineStr">
        <is>
          <t>P0 and every phase</t>
        </is>
      </c>
      <c r="F3" s="50" t="inlineStr">
        <is>
          <t>Not started</t>
        </is>
      </c>
      <c r="G3" s="51" t="inlineStr">
        <is>
          <t>Open →</t>
        </is>
      </c>
      <c r="H3" s="52" t="n"/>
    </row>
    <row r="4">
      <c r="A4" s="15" t="inlineStr">
        <is>
          <t>L03</t>
        </is>
      </c>
      <c r="B4" s="15" t="inlineStr">
        <is>
          <t>Git and GitHub: commits, branches, pull requests</t>
        </is>
      </c>
      <c r="C4" s="15" t="inlineStr">
        <is>
          <t>Beginner</t>
        </is>
      </c>
      <c r="D4" s="15" t="n">
        <v>75</v>
      </c>
      <c r="E4" s="15" t="inlineStr">
        <is>
          <t>P0, P1 and every phase</t>
        </is>
      </c>
      <c r="F4" s="50" t="inlineStr">
        <is>
          <t>Not started</t>
        </is>
      </c>
      <c r="G4" s="51" t="inlineStr">
        <is>
          <t>Open →</t>
        </is>
      </c>
      <c r="H4" s="52" t="n"/>
    </row>
    <row r="5">
      <c r="A5" s="15" t="inlineStr">
        <is>
          <t>L04</t>
        </is>
      </c>
      <c r="B5" s="15" t="inlineStr">
        <is>
          <t>Package managers and lockfiles (npm for JavaScript, uv for Python)</t>
        </is>
      </c>
      <c r="C5" s="15" t="inlineStr">
        <is>
          <t>Beginner</t>
        </is>
      </c>
      <c r="D5" s="15" t="n">
        <v>40</v>
      </c>
      <c r="E5" s="15" t="inlineStr">
        <is>
          <t>P2, P3, P4</t>
        </is>
      </c>
      <c r="F5" s="50" t="inlineStr">
        <is>
          <t>Not started</t>
        </is>
      </c>
      <c r="G5" s="51" t="inlineStr">
        <is>
          <t>Open →</t>
        </is>
      </c>
      <c r="H5" s="52" t="n"/>
    </row>
    <row r="6">
      <c r="A6" s="15" t="inlineStr">
        <is>
          <t>L05</t>
        </is>
      </c>
      <c r="B6" s="15" t="inlineStr">
        <is>
          <t>TypeScript essentials for this project</t>
        </is>
      </c>
      <c r="C6" s="15" t="inlineStr">
        <is>
          <t>Beginner</t>
        </is>
      </c>
      <c r="D6" s="15" t="n">
        <v>90</v>
      </c>
      <c r="E6" s="15" t="inlineStr">
        <is>
          <t>P4, P9, P10</t>
        </is>
      </c>
      <c r="F6" s="50" t="inlineStr">
        <is>
          <t>Not started</t>
        </is>
      </c>
      <c r="G6" s="51" t="inlineStr">
        <is>
          <t>Open →</t>
        </is>
      </c>
      <c r="H6" s="52" t="n"/>
    </row>
    <row r="7">
      <c r="A7" s="15" t="inlineStr">
        <is>
          <t>L06</t>
        </is>
      </c>
      <c r="B7" s="15" t="inlineStr">
        <is>
          <t>React fundamentals: components, props, state, effects and refs</t>
        </is>
      </c>
      <c r="C7" s="15" t="inlineStr">
        <is>
          <t>Beginner</t>
        </is>
      </c>
      <c r="D7" s="15" t="n">
        <v>150</v>
      </c>
      <c r="E7" s="15" t="inlineStr">
        <is>
          <t>P4, P9, P10, P11</t>
        </is>
      </c>
      <c r="F7" s="50" t="inlineStr">
        <is>
          <t>Not started</t>
        </is>
      </c>
      <c r="G7" s="51" t="inlineStr">
        <is>
          <t>Open →</t>
        </is>
      </c>
      <c r="H7" s="52" t="n"/>
    </row>
    <row r="8">
      <c r="A8" s="15" t="inlineStr">
        <is>
          <t>L07</t>
        </is>
      </c>
      <c r="B8" s="15" t="inlineStr">
        <is>
          <t>Vite, dev servers and production builds</t>
        </is>
      </c>
      <c r="C8" s="15" t="inlineStr">
        <is>
          <t>Beginner</t>
        </is>
      </c>
      <c r="D8" s="15" t="n">
        <v>30</v>
      </c>
      <c r="E8" s="15" t="inlineStr">
        <is>
          <t>P2, P4, P5</t>
        </is>
      </c>
      <c r="F8" s="50" t="inlineStr">
        <is>
          <t>Not started</t>
        </is>
      </c>
      <c r="G8" s="51" t="inlineStr">
        <is>
          <t>Open →</t>
        </is>
      </c>
      <c r="H8" s="52" t="n"/>
    </row>
    <row r="9">
      <c r="A9" s="15" t="inlineStr">
        <is>
          <t>L08</t>
        </is>
      </c>
      <c r="B9" s="15" t="inlineStr">
        <is>
          <t>Web Workers: keeping the page responsive while an engine thinks</t>
        </is>
      </c>
      <c r="C9" s="15" t="inlineStr">
        <is>
          <t>Intermediate</t>
        </is>
      </c>
      <c r="D9" s="15" t="n">
        <v>40</v>
      </c>
      <c r="E9" s="15" t="inlineStr">
        <is>
          <t>P4</t>
        </is>
      </c>
      <c r="F9" s="50" t="inlineStr">
        <is>
          <t>Not started</t>
        </is>
      </c>
      <c r="G9" s="51" t="inlineStr">
        <is>
          <t>Open →</t>
        </is>
      </c>
      <c r="H9" s="52" t="n"/>
    </row>
    <row r="10">
      <c r="A10" s="15" t="inlineStr">
        <is>
          <t>L09</t>
        </is>
      </c>
      <c r="B10" s="15" t="inlineStr">
        <is>
          <t>Chess notation for programmers: FEN, PGN, SAN and UCI</t>
        </is>
      </c>
      <c r="C10" s="15" t="inlineStr">
        <is>
          <t>Beginner</t>
        </is>
      </c>
      <c r="D10" s="15" t="n">
        <v>45</v>
      </c>
      <c r="E10" s="15" t="inlineStr">
        <is>
          <t>P4, P6, P8, P10</t>
        </is>
      </c>
      <c r="F10" s="50" t="inlineStr">
        <is>
          <t>Not started</t>
        </is>
      </c>
      <c r="G10" s="51" t="inlineStr">
        <is>
          <t>Open →</t>
        </is>
      </c>
      <c r="H10" s="52" t="n"/>
    </row>
    <row r="11">
      <c r="A11" s="15" t="inlineStr">
        <is>
          <t>L10</t>
        </is>
      </c>
      <c r="B11" s="15" t="inlineStr">
        <is>
          <t>How chess engines work: minimax, alpha-beta, evaluation, and Stockfish over UCI</t>
        </is>
      </c>
      <c r="C11" s="15" t="inlineStr">
        <is>
          <t>Intermediate</t>
        </is>
      </c>
      <c r="D11" s="15" t="n">
        <v>90</v>
      </c>
      <c r="E11" s="15" t="inlineStr">
        <is>
          <t>P1, P4, P8, S4</t>
        </is>
      </c>
      <c r="F11" s="50" t="inlineStr">
        <is>
          <t>Not started</t>
        </is>
      </c>
      <c r="G11" s="51" t="inlineStr">
        <is>
          <t>Open →</t>
        </is>
      </c>
      <c r="H11" s="52" t="n"/>
    </row>
    <row r="12">
      <c r="A12" s="15" t="inlineStr">
        <is>
          <t>L11</t>
        </is>
      </c>
      <c r="B12" s="15" t="inlineStr">
        <is>
          <t>Python projects: virtual environments, packages, modules and imports (with uv)</t>
        </is>
      </c>
      <c r="C12" s="15" t="inlineStr">
        <is>
          <t>Beginner</t>
        </is>
      </c>
      <c r="D12" s="15" t="n">
        <v>60</v>
      </c>
      <c r="E12" s="15" t="inlineStr">
        <is>
          <t>P2, P3</t>
        </is>
      </c>
      <c r="F12" s="50" t="inlineStr">
        <is>
          <t>Not started</t>
        </is>
      </c>
      <c r="G12" s="51" t="inlineStr">
        <is>
          <t>Open →</t>
        </is>
      </c>
      <c r="H12" s="52" t="n"/>
    </row>
    <row r="13">
      <c r="A13" s="15" t="inlineStr">
        <is>
          <t>L12</t>
        </is>
      </c>
      <c r="B13" s="15" t="inlineStr">
        <is>
          <t>Designing a REST API and choosing status codes</t>
        </is>
      </c>
      <c r="C13" s="15" t="inlineStr">
        <is>
          <t>Beginner</t>
        </is>
      </c>
      <c r="D13" s="15" t="n">
        <v>45</v>
      </c>
      <c r="E13" s="15" t="inlineStr">
        <is>
          <t>P3, P6, P7, P10</t>
        </is>
      </c>
      <c r="F13" s="50" t="inlineStr">
        <is>
          <t>Not started</t>
        </is>
      </c>
      <c r="G13" s="51" t="inlineStr">
        <is>
          <t>Open →</t>
        </is>
      </c>
      <c r="H13" s="52" t="n"/>
    </row>
    <row r="14">
      <c r="A14" s="15" t="inlineStr">
        <is>
          <t>L13</t>
        </is>
      </c>
      <c r="B14" s="15" t="inlineStr">
        <is>
          <t>FastAPI: routes, dependencies, Pydantic models and OpenAPI</t>
        </is>
      </c>
      <c r="C14" s="15" t="inlineStr">
        <is>
          <t>Beginner</t>
        </is>
      </c>
      <c r="D14" s="15" t="n">
        <v>120</v>
      </c>
      <c r="E14" s="15" t="inlineStr">
        <is>
          <t>P3, P6, P7, P9, P10, P11</t>
        </is>
      </c>
      <c r="F14" s="50" t="inlineStr">
        <is>
          <t>Not started</t>
        </is>
      </c>
      <c r="G14" s="51" t="inlineStr">
        <is>
          <t>Open →</t>
        </is>
      </c>
      <c r="H14" s="52" t="n"/>
    </row>
    <row r="15">
      <c r="A15" s="15" t="inlineStr">
        <is>
          <t>L14</t>
        </is>
      </c>
      <c r="B15" s="15" t="inlineStr">
        <is>
          <t>Relational databases and SQL basics</t>
        </is>
      </c>
      <c r="C15" s="15" t="inlineStr">
        <is>
          <t>Beginner</t>
        </is>
      </c>
      <c r="D15" s="15" t="n">
        <v>120</v>
      </c>
      <c r="E15" s="15" t="inlineStr">
        <is>
          <t>P3, P6, P8, P10, P11</t>
        </is>
      </c>
      <c r="F15" s="50" t="inlineStr">
        <is>
          <t>Not started</t>
        </is>
      </c>
      <c r="G15" s="51" t="inlineStr">
        <is>
          <t>Open →</t>
        </is>
      </c>
      <c r="H15" s="52" t="n"/>
    </row>
    <row r="16">
      <c r="A16" s="15" t="inlineStr">
        <is>
          <t>L15</t>
        </is>
      </c>
      <c r="B16" s="15" t="inlineStr">
        <is>
          <t>Running PostgreSQL in Docker: containers, images, volumes and ports</t>
        </is>
      </c>
      <c r="C16" s="15" t="inlineStr">
        <is>
          <t>Beginner</t>
        </is>
      </c>
      <c r="D16" s="15" t="n">
        <v>45</v>
      </c>
      <c r="E16" s="15" t="inlineStr">
        <is>
          <t>P2, P3</t>
        </is>
      </c>
      <c r="F16" s="50" t="inlineStr">
        <is>
          <t>Not started</t>
        </is>
      </c>
      <c r="G16" s="51" t="inlineStr">
        <is>
          <t>Open →</t>
        </is>
      </c>
      <c r="H16" s="52" t="n"/>
    </row>
    <row r="17">
      <c r="A17" s="15" t="inlineStr">
        <is>
          <t>L16</t>
        </is>
      </c>
      <c r="B17" s="15" t="inlineStr">
        <is>
          <t>SQLAlchemy 2.0: models, sessions and transactions</t>
        </is>
      </c>
      <c r="C17" s="15" t="inlineStr">
        <is>
          <t>Intermediate</t>
        </is>
      </c>
      <c r="D17" s="15" t="n">
        <v>120</v>
      </c>
      <c r="E17" s="15" t="inlineStr">
        <is>
          <t>P3, P6, P7, P10</t>
        </is>
      </c>
      <c r="F17" s="50" t="inlineStr">
        <is>
          <t>Not started</t>
        </is>
      </c>
      <c r="G17" s="51" t="inlineStr">
        <is>
          <t>Open →</t>
        </is>
      </c>
      <c r="H17" s="52" t="n"/>
    </row>
    <row r="18">
      <c r="A18" s="15" t="inlineStr">
        <is>
          <t>L17</t>
        </is>
      </c>
      <c r="B18" s="15" t="inlineStr">
        <is>
          <t>Database migrations with Alembic</t>
        </is>
      </c>
      <c r="C18" s="15" t="inlineStr">
        <is>
          <t>Intermediate</t>
        </is>
      </c>
      <c r="D18" s="15" t="n">
        <v>60</v>
      </c>
      <c r="E18" s="15" t="inlineStr">
        <is>
          <t>P3, P5, P14</t>
        </is>
      </c>
      <c r="F18" s="50" t="inlineStr">
        <is>
          <t>Not started</t>
        </is>
      </c>
      <c r="G18" s="51" t="inlineStr">
        <is>
          <t>Open →</t>
        </is>
      </c>
      <c r="H18" s="52" t="n"/>
    </row>
    <row r="19">
      <c r="A19" s="15" t="inlineStr">
        <is>
          <t>L18</t>
        </is>
      </c>
      <c r="B19" s="15" t="inlineStr">
        <is>
          <t>Configuration and secrets: environment variables, .env files, and what is public</t>
        </is>
      </c>
      <c r="C19" s="15" t="inlineStr">
        <is>
          <t>Beginner</t>
        </is>
      </c>
      <c r="D19" s="15" t="n">
        <v>30</v>
      </c>
      <c r="E19" s="15" t="inlineStr">
        <is>
          <t>P3, P5, P13</t>
        </is>
      </c>
      <c r="F19" s="50" t="inlineStr">
        <is>
          <t>Not started</t>
        </is>
      </c>
      <c r="G19" s="51" t="inlineStr">
        <is>
          <t>Open →</t>
        </is>
      </c>
      <c r="H19" s="52" t="n"/>
    </row>
    <row r="20">
      <c r="A20" s="15" t="inlineStr">
        <is>
          <t>L19</t>
        </is>
      </c>
      <c r="B20" s="15" t="inlineStr">
        <is>
          <t>Guest authentication: opaque tokens, hashing and bearer headers</t>
        </is>
      </c>
      <c r="C20" s="15" t="inlineStr">
        <is>
          <t>Intermediate</t>
        </is>
      </c>
      <c r="D20" s="15" t="n">
        <v>60</v>
      </c>
      <c r="E20" s="15" t="inlineStr">
        <is>
          <t>P3, P13</t>
        </is>
      </c>
      <c r="F20" s="50" t="inlineStr">
        <is>
          <t>Not started</t>
        </is>
      </c>
      <c r="G20" s="51" t="inlineStr">
        <is>
          <t>Open →</t>
        </is>
      </c>
      <c r="H20" s="52" t="n"/>
    </row>
    <row r="21">
      <c r="A21" s="15" t="inlineStr">
        <is>
          <t>L20</t>
        </is>
      </c>
      <c r="B21" s="15" t="inlineStr">
        <is>
          <t>Authorization and ownership checks (preventing IDOR)</t>
        </is>
      </c>
      <c r="C21" s="15" t="inlineStr">
        <is>
          <t>Intermediate</t>
        </is>
      </c>
      <c r="D21" s="15" t="n">
        <v>30</v>
      </c>
      <c r="E21" s="15" t="inlineStr">
        <is>
          <t>P3, P6, P7, P9, P10</t>
        </is>
      </c>
      <c r="F21" s="50" t="inlineStr">
        <is>
          <t>Not started</t>
        </is>
      </c>
      <c r="G21" s="51" t="inlineStr">
        <is>
          <t>Open →</t>
        </is>
      </c>
      <c r="H21" s="52" t="n"/>
    </row>
    <row r="22">
      <c r="A22" s="15" t="inlineStr">
        <is>
          <t>L21</t>
        </is>
      </c>
      <c r="B22" s="15" t="inlineStr">
        <is>
          <t>CORS explained (and why it is not security for your API)</t>
        </is>
      </c>
      <c r="C22" s="15" t="inlineStr">
        <is>
          <t>Beginner</t>
        </is>
      </c>
      <c r="D22" s="15" t="n">
        <v>30</v>
      </c>
      <c r="E22" s="15" t="inlineStr">
        <is>
          <t>P3, P5</t>
        </is>
      </c>
      <c r="F22" s="50" t="inlineStr">
        <is>
          <t>Not started</t>
        </is>
      </c>
      <c r="G22" s="51" t="inlineStr">
        <is>
          <t>Open →</t>
        </is>
      </c>
      <c r="H22" s="52" t="n"/>
    </row>
    <row r="23">
      <c r="A23" s="15" t="inlineStr">
        <is>
          <t>L22</t>
        </is>
      </c>
      <c r="B23" s="15" t="inlineStr">
        <is>
          <t>Error handling and a stable error contract</t>
        </is>
      </c>
      <c r="C23" s="15" t="inlineStr">
        <is>
          <t>Beginner</t>
        </is>
      </c>
      <c r="D23" s="15" t="n">
        <v>30</v>
      </c>
      <c r="E23" s="15" t="inlineStr">
        <is>
          <t>P3 and every API phase</t>
        </is>
      </c>
      <c r="F23" s="50" t="inlineStr">
        <is>
          <t>Not started</t>
        </is>
      </c>
      <c r="G23" s="51" t="inlineStr">
        <is>
          <t>Open →</t>
        </is>
      </c>
      <c r="H23" s="52" t="n"/>
    </row>
    <row r="24">
      <c r="A24" s="15" t="inlineStr">
        <is>
          <t>L23</t>
        </is>
      </c>
      <c r="B24" s="15" t="inlineStr">
        <is>
          <t>Testing: unit, integration and end-to-end tests with pytest</t>
        </is>
      </c>
      <c r="C24" s="15" t="inlineStr">
        <is>
          <t>Intermediate</t>
        </is>
      </c>
      <c r="D24" s="15" t="n">
        <v>120</v>
      </c>
      <c r="E24" s="15" t="inlineStr">
        <is>
          <t>P3, P6, P8, P10, P11, P12</t>
        </is>
      </c>
      <c r="F24" s="50" t="inlineStr">
        <is>
          <t>Not started</t>
        </is>
      </c>
      <c r="G24" s="51" t="inlineStr">
        <is>
          <t>Open →</t>
        </is>
      </c>
      <c r="H24" s="52" t="n"/>
    </row>
    <row r="25">
      <c r="A25" s="15" t="inlineStr">
        <is>
          <t>L24</t>
        </is>
      </c>
      <c r="B25" s="15" t="inlineStr">
        <is>
          <t>Frontend testing: Vitest for logic, Playwright for real browsers</t>
        </is>
      </c>
      <c r="C25" s="15" t="inlineStr">
        <is>
          <t>Intermediate</t>
        </is>
      </c>
      <c r="D25" s="15" t="n">
        <v>60</v>
      </c>
      <c r="E25" s="15" t="inlineStr">
        <is>
          <t>P4, P9, P14</t>
        </is>
      </c>
      <c r="F25" s="50" t="inlineStr">
        <is>
          <t>Not started</t>
        </is>
      </c>
      <c r="G25" s="51" t="inlineStr">
        <is>
          <t>Open →</t>
        </is>
      </c>
      <c r="H25" s="52" t="n"/>
    </row>
    <row r="26">
      <c r="A26" s="15" t="inlineStr">
        <is>
          <t>L25</t>
        </is>
      </c>
      <c r="B26" s="15" t="inlineStr">
        <is>
          <t>Docker images for the backend: Dockerfile, layers, non-root, one image with two commands</t>
        </is>
      </c>
      <c r="C26" s="15" t="inlineStr">
        <is>
          <t>Intermediate</t>
        </is>
      </c>
      <c r="D26" s="15" t="n">
        <v>60</v>
      </c>
      <c r="E26" s="15" t="inlineStr">
        <is>
          <t>P5, P6</t>
        </is>
      </c>
      <c r="F26" s="50" t="inlineStr">
        <is>
          <t>Not started</t>
        </is>
      </c>
      <c r="G26" s="51" t="inlineStr">
        <is>
          <t>Open →</t>
        </is>
      </c>
      <c r="H26" s="52" t="n"/>
    </row>
    <row r="27">
      <c r="A27" s="15" t="inlineStr">
        <is>
          <t>L26</t>
        </is>
      </c>
      <c r="B27" s="15" t="inlineStr">
        <is>
          <t>Docker Compose for a local multi-service stack</t>
        </is>
      </c>
      <c r="C27" s="15" t="inlineStr">
        <is>
          <t>Beginner</t>
        </is>
      </c>
      <c r="D27" s="15" t="n">
        <v>40</v>
      </c>
      <c r="E27" s="15" t="inlineStr">
        <is>
          <t>P2, P6, P14</t>
        </is>
      </c>
      <c r="F27" s="50" t="inlineStr">
        <is>
          <t>Not started</t>
        </is>
      </c>
      <c r="G27" s="51" t="inlineStr">
        <is>
          <t>Open →</t>
        </is>
      </c>
      <c r="H27" s="52" t="n"/>
    </row>
    <row r="28">
      <c r="A28" s="15" t="inlineStr">
        <is>
          <t>L27</t>
        </is>
      </c>
      <c r="B28" s="15" t="inlineStr">
        <is>
          <t>Background jobs: why web requests must stay short</t>
        </is>
      </c>
      <c r="C28" s="15" t="inlineStr">
        <is>
          <t>Intermediate</t>
        </is>
      </c>
      <c r="D28" s="15" t="n">
        <v>45</v>
      </c>
      <c r="E28" s="15" t="inlineStr">
        <is>
          <t>P6, P7, P8</t>
        </is>
      </c>
      <c r="F28" s="50" t="inlineStr">
        <is>
          <t>Not started</t>
        </is>
      </c>
      <c r="G28" s="51" t="inlineStr">
        <is>
          <t>Open →</t>
        </is>
      </c>
      <c r="H28" s="52" t="n"/>
    </row>
    <row r="29">
      <c r="A29" s="15" t="inlineStr">
        <is>
          <t>L28</t>
        </is>
      </c>
      <c r="B29" s="15" t="inlineStr">
        <is>
          <t>Postgres as a job queue: row locks, FOR UPDATE SKIP LOCKED and leases</t>
        </is>
      </c>
      <c r="C29" s="15" t="inlineStr">
        <is>
          <t>Advanced</t>
        </is>
      </c>
      <c r="D29" s="15" t="n">
        <v>75</v>
      </c>
      <c r="E29" s="15" t="inlineStr">
        <is>
          <t>P6</t>
        </is>
      </c>
      <c r="F29" s="50" t="inlineStr">
        <is>
          <t>Not started</t>
        </is>
      </c>
      <c r="G29" s="51" t="inlineStr">
        <is>
          <t>Open →</t>
        </is>
      </c>
      <c r="H29" s="52" t="n"/>
    </row>
    <row r="30">
      <c r="A30" s="15" t="inlineStr">
        <is>
          <t>L29</t>
        </is>
      </c>
      <c r="B30" s="15" t="inlineStr">
        <is>
          <t>Idempotency, retries, exponential backoff with jitter</t>
        </is>
      </c>
      <c r="C30" s="15" t="inlineStr">
        <is>
          <t>Intermediate</t>
        </is>
      </c>
      <c r="D30" s="15" t="n">
        <v>45</v>
      </c>
      <c r="E30" s="15" t="inlineStr">
        <is>
          <t>P6, P7, P10</t>
        </is>
      </c>
      <c r="F30" s="50" t="inlineStr">
        <is>
          <t>Not started</t>
        </is>
      </c>
      <c r="G30" s="51" t="inlineStr">
        <is>
          <t>Open →</t>
        </is>
      </c>
      <c r="H30" s="52" t="n"/>
    </row>
    <row r="31">
      <c r="A31" s="15" t="inlineStr">
        <is>
          <t>L30</t>
        </is>
      </c>
      <c r="B31" s="15" t="inlineStr">
        <is>
          <t>Race conditions and why constraints beat Python checks (a real bug from this project)</t>
        </is>
      </c>
      <c r="C31" s="15" t="inlineStr">
        <is>
          <t>Intermediate</t>
        </is>
      </c>
      <c r="D31" s="15" t="n">
        <v>40</v>
      </c>
      <c r="E31" s="15" t="inlineStr">
        <is>
          <t>P10, P11</t>
        </is>
      </c>
      <c r="F31" s="50" t="inlineStr">
        <is>
          <t>Not started</t>
        </is>
      </c>
      <c r="G31" s="51" t="inlineStr">
        <is>
          <t>Open →</t>
        </is>
      </c>
      <c r="H31" s="52" t="n"/>
    </row>
    <row r="32">
      <c r="A32" s="15" t="inlineStr">
        <is>
          <t>L31</t>
        </is>
      </c>
      <c r="B32" s="15" t="inlineStr">
        <is>
          <t>Polling vs WebSockets, and UI states for asynchronous work</t>
        </is>
      </c>
      <c r="C32" s="15" t="inlineStr">
        <is>
          <t>Beginner</t>
        </is>
      </c>
      <c r="D32" s="15" t="n">
        <v>30</v>
      </c>
      <c r="E32" s="15" t="inlineStr">
        <is>
          <t>P6, P7, P9</t>
        </is>
      </c>
      <c r="F32" s="50" t="inlineStr">
        <is>
          <t>Not started</t>
        </is>
      </c>
      <c r="G32" s="51" t="inlineStr">
        <is>
          <t>Open →</t>
        </is>
      </c>
      <c r="H32" s="52" t="n"/>
    </row>
    <row r="33">
      <c r="A33" s="15" t="inlineStr">
        <is>
          <t>L32</t>
        </is>
      </c>
      <c r="B33" s="15" t="inlineStr">
        <is>
          <t>Using third-party APIs politely: Lichess and Chess.com</t>
        </is>
      </c>
      <c r="C33" s="15" t="inlineStr">
        <is>
          <t>Intermediate</t>
        </is>
      </c>
      <c r="D33" s="15" t="n">
        <v>45</v>
      </c>
      <c r="E33" s="15" t="inlineStr">
        <is>
          <t>P7, S1</t>
        </is>
      </c>
      <c r="F33" s="50" t="inlineStr">
        <is>
          <t>Not started</t>
        </is>
      </c>
      <c r="G33" s="51" t="inlineStr">
        <is>
          <t>Open →</t>
        </is>
      </c>
      <c r="H33" s="52" t="n"/>
    </row>
    <row r="34">
      <c r="A34" s="15" t="inlineStr">
        <is>
          <t>L33</t>
        </is>
      </c>
      <c r="B34" s="15" t="inlineStr">
        <is>
          <t>Parsing untrusted input safely (PGN uploads)</t>
        </is>
      </c>
      <c r="C34" s="15" t="inlineStr">
        <is>
          <t>Intermediate</t>
        </is>
      </c>
      <c r="D34" s="15" t="n">
        <v>30</v>
      </c>
      <c r="E34" s="15" t="inlineStr">
        <is>
          <t>P6, P7</t>
        </is>
      </c>
      <c r="F34" s="50" t="inlineStr">
        <is>
          <t>Not started</t>
        </is>
      </c>
      <c r="G34" s="51" t="inlineStr">
        <is>
          <t>Open →</t>
        </is>
      </c>
      <c r="H34" s="52" t="n"/>
    </row>
    <row r="35">
      <c r="A35" s="15" t="inlineStr">
        <is>
          <t>L34</t>
        </is>
      </c>
      <c r="B35" s="15" t="inlineStr">
        <is>
          <t>python-chess deep dive: boards, moves, attacks, pins and engines</t>
        </is>
      </c>
      <c r="C35" s="15" t="inlineStr">
        <is>
          <t>Intermediate</t>
        </is>
      </c>
      <c r="D35" s="15" t="n">
        <v>90</v>
      </c>
      <c r="E35" s="15" t="inlineStr">
        <is>
          <t>P6, P8, P10</t>
        </is>
      </c>
      <c r="F35" s="50" t="inlineStr">
        <is>
          <t>Not started</t>
        </is>
      </c>
      <c r="G35" s="51" t="inlineStr">
        <is>
          <t>Open →</t>
        </is>
      </c>
      <c r="H35" s="52" t="n"/>
    </row>
    <row r="36">
      <c r="A36" s="15" t="inlineStr">
        <is>
          <t>L35</t>
        </is>
      </c>
      <c r="B36" s="15" t="inlineStr">
        <is>
          <t>Reading engine evaluations: centipawns, mate scores, point of view and search limits</t>
        </is>
      </c>
      <c r="C36" s="15" t="inlineStr">
        <is>
          <t>Intermediate</t>
        </is>
      </c>
      <c r="D36" s="15" t="n">
        <v>45</v>
      </c>
      <c r="E36" s="15" t="inlineStr">
        <is>
          <t>P8, P12, S4</t>
        </is>
      </c>
      <c r="F36" s="50" t="inlineStr">
        <is>
          <t>Not started</t>
        </is>
      </c>
      <c r="G36" s="51" t="inlineStr">
        <is>
          <t>Open →</t>
        </is>
      </c>
      <c r="H36" s="52" t="n"/>
    </row>
    <row r="37">
      <c r="A37" s="15" t="inlineStr">
        <is>
          <t>L36</t>
        </is>
      </c>
      <c r="B37" s="15" t="inlineStr">
        <is>
          <t>Chess tactics the detector understands: forks, hanging pieces, material</t>
        </is>
      </c>
      <c r="C37" s="15" t="inlineStr">
        <is>
          <t>Beginner</t>
        </is>
      </c>
      <c r="D37" s="15" t="n">
        <v>40</v>
      </c>
      <c r="E37" s="15" t="inlineStr">
        <is>
          <t>P8, P10, S2</t>
        </is>
      </c>
      <c r="F37" s="50" t="inlineStr">
        <is>
          <t>Not started</t>
        </is>
      </c>
      <c r="G37" s="51" t="inlineStr">
        <is>
          <t>Open →</t>
        </is>
      </c>
      <c r="H37" s="52" t="n"/>
    </row>
    <row r="38">
      <c r="A38" s="15" t="inlineStr">
        <is>
          <t>L37</t>
        </is>
      </c>
      <c r="B38" s="15" t="inlineStr">
        <is>
          <t>What 'AI' means in ChessLab: search, rules, verification, learner models and (optionally) LLMs</t>
        </is>
      </c>
      <c r="C38" s="15" t="inlineStr">
        <is>
          <t>Beginner</t>
        </is>
      </c>
      <c r="D38" s="15" t="n">
        <v>45</v>
      </c>
      <c r="E38" s="15" t="inlineStr">
        <is>
          <t>P8, P11, P12, S3, S6</t>
        </is>
      </c>
      <c r="F38" s="50" t="inlineStr">
        <is>
          <t>Not started</t>
        </is>
      </c>
      <c r="G38" s="51" t="inlineStr">
        <is>
          <t>Open →</t>
        </is>
      </c>
      <c r="H38" s="52" t="n"/>
    </row>
    <row r="39">
      <c r="A39" s="15" t="inlineStr">
        <is>
          <t>L38</t>
        </is>
      </c>
      <c r="B39" s="15" t="inlineStr">
        <is>
          <t>Two-stage detection: cheap high-recall candidates, then expensive high-precision verification</t>
        </is>
      </c>
      <c r="C39" s="15" t="inlineStr">
        <is>
          <t>Intermediate</t>
        </is>
      </c>
      <c r="D39" s="15" t="n">
        <v>40</v>
      </c>
      <c r="E39" s="15" t="inlineStr">
        <is>
          <t>P8, S2</t>
        </is>
      </c>
      <c r="F39" s="50" t="inlineStr">
        <is>
          <t>Not started</t>
        </is>
      </c>
      <c r="G39" s="51" t="inlineStr">
        <is>
          <t>Open →</t>
        </is>
      </c>
      <c r="H39" s="52" t="n"/>
    </row>
    <row r="40">
      <c r="A40" s="15" t="inlineStr">
        <is>
          <t>L39</t>
        </is>
      </c>
      <c r="B40" s="15" t="inlineStr">
        <is>
          <t>Evidence before prose: versioned structured records</t>
        </is>
      </c>
      <c r="C40" s="15" t="inlineStr">
        <is>
          <t>Intermediate</t>
        </is>
      </c>
      <c r="D40" s="15" t="n">
        <v>30</v>
      </c>
      <c r="E40" s="15" t="inlineStr">
        <is>
          <t>P8, P9, S3</t>
        </is>
      </c>
      <c r="F40" s="50" t="inlineStr">
        <is>
          <t>Not started</t>
        </is>
      </c>
      <c r="G40" s="51" t="inlineStr">
        <is>
          <t>Open →</t>
        </is>
      </c>
      <c r="H40" s="52" t="n"/>
    </row>
    <row r="41">
      <c r="A41" s="15" t="inlineStr">
        <is>
          <t>L40</t>
        </is>
      </c>
      <c r="B41" s="15" t="inlineStr">
        <is>
          <t>Template-based natural language generation</t>
        </is>
      </c>
      <c r="C41" s="15" t="inlineStr">
        <is>
          <t>Beginner</t>
        </is>
      </c>
      <c r="D41" s="15" t="n">
        <v>25</v>
      </c>
      <c r="E41" s="15" t="inlineStr">
        <is>
          <t>P9</t>
        </is>
      </c>
      <c r="F41" s="50" t="inlineStr">
        <is>
          <t>Not started</t>
        </is>
      </c>
      <c r="G41" s="51" t="inlineStr">
        <is>
          <t>Open →</t>
        </is>
      </c>
      <c r="H41" s="52" t="n"/>
    </row>
    <row r="42">
      <c r="A42" s="15" t="inlineStr">
        <is>
          <t>L41</t>
        </is>
      </c>
      <c r="B42" s="15" t="inlineStr">
        <is>
          <t>Datasets done right: the Lichess puzzle database, licences, provenance and sampling</t>
        </is>
      </c>
      <c r="C42" s="15" t="inlineStr">
        <is>
          <t>Intermediate</t>
        </is>
      </c>
      <c r="D42" s="15" t="n">
        <v>60</v>
      </c>
      <c r="E42" s="15" t="inlineStr">
        <is>
          <t>P10, P12</t>
        </is>
      </c>
      <c r="F42" s="50" t="inlineStr">
        <is>
          <t>Not started</t>
        </is>
      </c>
      <c r="G42" s="51" t="inlineStr">
        <is>
          <t>Open →</t>
        </is>
      </c>
      <c r="H42" s="52" t="n"/>
    </row>
    <row r="43">
      <c r="A43" s="15" t="inlineStr">
        <is>
          <t>L42</t>
        </is>
      </c>
      <c r="B43" s="15" t="inlineStr">
        <is>
          <t>Elo and the logistic function as a learner model</t>
        </is>
      </c>
      <c r="C43" s="15" t="inlineStr">
        <is>
          <t>Intermediate</t>
        </is>
      </c>
      <c r="D43" s="15" t="n">
        <v>45</v>
      </c>
      <c r="E43" s="15" t="inlineStr">
        <is>
          <t>P11, S6</t>
        </is>
      </c>
      <c r="F43" s="50" t="inlineStr">
        <is>
          <t>Not started</t>
        </is>
      </c>
      <c r="G43" s="51" t="inlineStr">
        <is>
          <t>Open →</t>
        </is>
      </c>
      <c r="H43" s="52" t="n"/>
    </row>
    <row r="44">
      <c r="A44" s="15" t="inlineStr">
        <is>
          <t>L43</t>
        </is>
      </c>
      <c r="B44" s="15" t="inlineStr">
        <is>
          <t>Adaptive practice: target difficulty, exploration and spacing</t>
        </is>
      </c>
      <c r="C44" s="15" t="inlineStr">
        <is>
          <t>Intermediate</t>
        </is>
      </c>
      <c r="D44" s="15" t="n">
        <v>30</v>
      </c>
      <c r="E44" s="15" t="inlineStr">
        <is>
          <t>P10, P11</t>
        </is>
      </c>
      <c r="F44" s="50" t="inlineStr">
        <is>
          <t>Not started</t>
        </is>
      </c>
      <c r="G44" s="51" t="inlineStr">
        <is>
          <t>Open →</t>
        </is>
      </c>
      <c r="H44" s="52" t="n"/>
    </row>
    <row r="45">
      <c r="A45" s="15" t="inlineStr">
        <is>
          <t>L44</t>
        </is>
      </c>
      <c r="B45" s="15" t="inlineStr">
        <is>
          <t>Evaluating a detector: confusion matrix, precision, recall and confidence intervals</t>
        </is>
      </c>
      <c r="C45" s="15" t="inlineStr">
        <is>
          <t>Intermediate</t>
        </is>
      </c>
      <c r="D45" s="15" t="n">
        <v>60</v>
      </c>
      <c r="E45" s="15" t="inlineStr">
        <is>
          <t>P12</t>
        </is>
      </c>
      <c r="F45" s="50" t="inlineStr">
        <is>
          <t>Not started</t>
        </is>
      </c>
      <c r="G45" s="51" t="inlineStr">
        <is>
          <t>Open →</t>
        </is>
      </c>
      <c r="H45" s="52" t="n"/>
    </row>
    <row r="46">
      <c r="A46" s="15" t="inlineStr">
        <is>
          <t>L45</t>
        </is>
      </c>
      <c r="B46" s="15" t="inlineStr">
        <is>
          <t>Data leakage, splits and honest benchmarks</t>
        </is>
      </c>
      <c r="C46" s="15" t="inlineStr">
        <is>
          <t>Intermediate</t>
        </is>
      </c>
      <c r="D46" s="15" t="n">
        <v>40</v>
      </c>
      <c r="E46" s="15" t="inlineStr">
        <is>
          <t>P10, P12, S6</t>
        </is>
      </c>
      <c r="F46" s="50" t="inlineStr">
        <is>
          <t>Not started</t>
        </is>
      </c>
      <c r="G46" s="51" t="inlineStr">
        <is>
          <t>Open →</t>
        </is>
      </c>
      <c r="H46" s="52" t="n"/>
    </row>
    <row r="47">
      <c r="A47" s="15" t="inlineStr">
        <is>
          <t>L46</t>
        </is>
      </c>
      <c r="B47" s="15" t="inlineStr">
        <is>
          <t>Probabilistic predictions: calibration, Brier score and log loss</t>
        </is>
      </c>
      <c r="C47" s="15" t="inlineStr">
        <is>
          <t>Intermediate</t>
        </is>
      </c>
      <c r="D47" s="15" t="n">
        <v>40</v>
      </c>
      <c r="E47" s="15" t="inlineStr">
        <is>
          <t>P11, P12, S6</t>
        </is>
      </c>
      <c r="F47" s="50" t="inlineStr">
        <is>
          <t>Not started</t>
        </is>
      </c>
      <c r="G47" s="51" t="inlineStr">
        <is>
          <t>Open →</t>
        </is>
      </c>
      <c r="H47" s="52" t="n"/>
    </row>
    <row r="48">
      <c r="A48" s="15" t="inlineStr">
        <is>
          <t>L47</t>
        </is>
      </c>
      <c r="B48" s="15" t="inlineStr">
        <is>
          <t>Measuring learning honestly: pilots, confounders and causality</t>
        </is>
      </c>
      <c r="C48" s="15" t="inlineStr">
        <is>
          <t>Intermediate</t>
        </is>
      </c>
      <c r="D48" s="15" t="n">
        <v>30</v>
      </c>
      <c r="E48" s="15" t="inlineStr">
        <is>
          <t>S5, P14</t>
        </is>
      </c>
      <c r="F48" s="50" t="inlineStr">
        <is>
          <t>Not started</t>
        </is>
      </c>
      <c r="G48" s="51" t="inlineStr">
        <is>
          <t>Open →</t>
        </is>
      </c>
      <c r="H48" s="52" t="n"/>
    </row>
    <row r="49">
      <c r="A49" s="15" t="inlineStr">
        <is>
          <t>L48</t>
        </is>
      </c>
      <c r="B49" s="15" t="inlineStr">
        <is>
          <t>Deploying to a PaaS: Vercel for the frontend, Render for API, worker and Postgres</t>
        </is>
      </c>
      <c r="C49" s="15" t="inlineStr">
        <is>
          <t>Intermediate</t>
        </is>
      </c>
      <c r="D49" s="15" t="n">
        <v>75</v>
      </c>
      <c r="E49" s="15" t="inlineStr">
        <is>
          <t>P5, P14</t>
        </is>
      </c>
      <c r="F49" s="50" t="inlineStr">
        <is>
          <t>Not started</t>
        </is>
      </c>
      <c r="G49" s="51" t="inlineStr">
        <is>
          <t>Open →</t>
        </is>
      </c>
      <c r="H49" s="52" t="n"/>
    </row>
    <row r="50">
      <c r="A50" s="15" t="inlineStr">
        <is>
          <t>L49</t>
        </is>
      </c>
      <c r="B50" s="15" t="inlineStr">
        <is>
          <t>CI/CD with GitHub Actions; safe releases and rollbacks</t>
        </is>
      </c>
      <c r="C50" s="15" t="inlineStr">
        <is>
          <t>Intermediate</t>
        </is>
      </c>
      <c r="D50" s="15" t="n">
        <v>60</v>
      </c>
      <c r="E50" s="15" t="inlineStr">
        <is>
          <t>P5, P14</t>
        </is>
      </c>
      <c r="F50" s="50" t="inlineStr">
        <is>
          <t>Not started</t>
        </is>
      </c>
      <c r="G50" s="51" t="inlineStr">
        <is>
          <t>Open →</t>
        </is>
      </c>
      <c r="H50" s="52" t="n"/>
    </row>
    <row r="51">
      <c r="A51" s="15" t="inlineStr">
        <is>
          <t>L50</t>
        </is>
      </c>
      <c r="B51" s="15" t="inlineStr">
        <is>
          <t>Security essentials for ChessLab (OWASP applied)</t>
        </is>
      </c>
      <c r="C51" s="15" t="inlineStr">
        <is>
          <t>Intermediate</t>
        </is>
      </c>
      <c r="D51" s="15" t="n">
        <v>60</v>
      </c>
      <c r="E51" s="15" t="inlineStr">
        <is>
          <t>P13</t>
        </is>
      </c>
      <c r="F51" s="50" t="inlineStr">
        <is>
          <t>Not started</t>
        </is>
      </c>
      <c r="G51" s="51" t="inlineStr">
        <is>
          <t>Open →</t>
        </is>
      </c>
      <c r="H51" s="52" t="n"/>
    </row>
    <row r="52">
      <c r="A52" s="15" t="inlineStr">
        <is>
          <t>L51</t>
        </is>
      </c>
      <c r="B52" s="15" t="inlineStr">
        <is>
          <t>Privacy and the data lifecycle: retention, deletion and consent</t>
        </is>
      </c>
      <c r="C52" s="15" t="inlineStr">
        <is>
          <t>Beginner</t>
        </is>
      </c>
      <c r="D52" s="15" t="n">
        <v>30</v>
      </c>
      <c r="E52" s="15" t="inlineStr">
        <is>
          <t>P13, S5</t>
        </is>
      </c>
      <c r="F52" s="50" t="inlineStr">
        <is>
          <t>Not started</t>
        </is>
      </c>
      <c r="G52" s="51" t="inlineStr">
        <is>
          <t>Open →</t>
        </is>
      </c>
      <c r="H52" s="52" t="n"/>
    </row>
    <row r="53">
      <c r="A53" s="15" t="inlineStr">
        <is>
          <t>L52</t>
        </is>
      </c>
      <c r="B53" s="15" t="inlineStr">
        <is>
          <t>Logging, metrics, health checks and observability</t>
        </is>
      </c>
      <c r="C53" s="15" t="inlineStr">
        <is>
          <t>Intermediate</t>
        </is>
      </c>
      <c r="D53" s="15" t="n">
        <v>40</v>
      </c>
      <c r="E53" s="15" t="inlineStr">
        <is>
          <t>P6, P13</t>
        </is>
      </c>
      <c r="F53" s="50" t="inlineStr">
        <is>
          <t>Not started</t>
        </is>
      </c>
      <c r="G53" s="51" t="inlineStr">
        <is>
          <t>Open →</t>
        </is>
      </c>
      <c r="H53" s="52" t="n"/>
    </row>
    <row r="54">
      <c r="A54" s="15" t="inlineStr">
        <is>
          <t>L53</t>
        </is>
      </c>
      <c r="B54" s="15" t="inlineStr">
        <is>
          <t>Performance and capacity: measuring p50/p95 and setting budgets</t>
        </is>
      </c>
      <c r="C54" s="15" t="inlineStr">
        <is>
          <t>Intermediate</t>
        </is>
      </c>
      <c r="D54" s="15" t="n">
        <v>30</v>
      </c>
      <c r="E54" s="15" t="inlineStr">
        <is>
          <t>P13</t>
        </is>
      </c>
      <c r="F54" s="50" t="inlineStr">
        <is>
          <t>Not started</t>
        </is>
      </c>
      <c r="G54" s="51" t="inlineStr">
        <is>
          <t>Open →</t>
        </is>
      </c>
      <c r="H54" s="52" t="n"/>
    </row>
    <row r="55">
      <c r="A55" s="15" t="inlineStr">
        <is>
          <t>L54</t>
        </is>
      </c>
      <c r="B55" s="15" t="inlineStr">
        <is>
          <t>Accessibility for an interactive chess app</t>
        </is>
      </c>
      <c r="C55" s="15" t="inlineStr">
        <is>
          <t>Beginner</t>
        </is>
      </c>
      <c r="D55" s="15" t="n">
        <v>30</v>
      </c>
      <c r="E55" s="15" t="inlineStr">
        <is>
          <t>P4, P14</t>
        </is>
      </c>
      <c r="F55" s="50" t="inlineStr">
        <is>
          <t>Not started</t>
        </is>
      </c>
      <c r="G55" s="51" t="inlineStr">
        <is>
          <t>Open →</t>
        </is>
      </c>
      <c r="H55" s="52" t="n"/>
    </row>
    <row r="56">
      <c r="A56" s="15" t="inlineStr">
        <is>
          <t>L55</t>
        </is>
      </c>
      <c r="B56" s="15" t="inlineStr">
        <is>
          <t>Open-source licences and attribution (GPL Stockfish, CC0 data, MIT libraries)</t>
        </is>
      </c>
      <c r="C56" s="15" t="inlineStr">
        <is>
          <t>Beginner</t>
        </is>
      </c>
      <c r="D56" s="15" t="n">
        <v>30</v>
      </c>
      <c r="E56" s="15" t="inlineStr">
        <is>
          <t>P1, P14</t>
        </is>
      </c>
      <c r="F56" s="50" t="inlineStr">
        <is>
          <t>Not started</t>
        </is>
      </c>
      <c r="G56" s="51" t="inlineStr">
        <is>
          <t>Open →</t>
        </is>
      </c>
      <c r="H56" s="52" t="n"/>
    </row>
    <row r="57">
      <c r="A57" s="15" t="inlineStr">
        <is>
          <t>L56</t>
        </is>
      </c>
      <c r="B57" s="15" t="inlineStr">
        <is>
          <t>Integrating an LLM safely in a full-stack app (Claude API)</t>
        </is>
      </c>
      <c r="C57" s="15" t="inlineStr">
        <is>
          <t>Intermediate</t>
        </is>
      </c>
      <c r="D57" s="15" t="n">
        <v>90</v>
      </c>
      <c r="E57" s="15" t="inlineStr">
        <is>
          <t>S3</t>
        </is>
      </c>
      <c r="F57" s="50" t="inlineStr">
        <is>
          <t>Not started</t>
        </is>
      </c>
      <c r="G57" s="51" t="inlineStr">
        <is>
          <t>Open →</t>
        </is>
      </c>
      <c r="H57" s="52" t="n"/>
    </row>
    <row r="58">
      <c r="A58" s="15" t="inlineStr">
        <is>
          <t>L57</t>
        </is>
      </c>
      <c r="B58" s="15" t="inlineStr">
        <is>
          <t>Logistic regression and fair model comparison (stretch)</t>
        </is>
      </c>
      <c r="C58" s="15" t="inlineStr">
        <is>
          <t>Advanced</t>
        </is>
      </c>
      <c r="D58" s="15" t="n">
        <v>60</v>
      </c>
      <c r="E58" s="15" t="inlineStr">
        <is>
          <t>S6</t>
        </is>
      </c>
      <c r="F58" s="50" t="inlineStr">
        <is>
          <t>Not started</t>
        </is>
      </c>
      <c r="G58" s="51" t="inlineStr">
        <is>
          <t>Open →</t>
        </is>
      </c>
      <c r="H58" s="52" t="n"/>
    </row>
    <row r="59">
      <c r="A59" s="15" t="inlineStr">
        <is>
          <t>L58</t>
        </is>
      </c>
      <c r="B59" s="15" t="inlineStr">
        <is>
          <t>Portfolio storytelling: README, demo, case study and resume bullets</t>
        </is>
      </c>
      <c r="C59" s="15" t="inlineStr">
        <is>
          <t>Beginner</t>
        </is>
      </c>
      <c r="D59" s="15" t="n">
        <v>45</v>
      </c>
      <c r="E59" s="15" t="inlineStr">
        <is>
          <t>P14</t>
        </is>
      </c>
      <c r="F59" s="50" t="inlineStr">
        <is>
          <t>Not started</t>
        </is>
      </c>
      <c r="G59" s="51" t="inlineStr">
        <is>
          <t>Open →</t>
        </is>
      </c>
      <c r="H59" s="52" t="n"/>
    </row>
    <row r="60">
      <c r="A60" s="15" t="inlineStr">
        <is>
          <t>L59</t>
        </is>
      </c>
      <c r="B60" s="15" t="inlineStr">
        <is>
          <t>Sharing one repository as two people: pull, commit, push and fixing conflicts</t>
        </is>
      </c>
      <c r="C60" s="15" t="inlineStr">
        <is>
          <t>Beginner</t>
        </is>
      </c>
      <c r="D60" s="15" t="n">
        <v>30</v>
      </c>
      <c r="E60" s="15" t="inlineStr">
        <is>
          <t>G0 and every chapter</t>
        </is>
      </c>
      <c r="F60" s="50" t="inlineStr">
        <is>
          <t>Not started</t>
        </is>
      </c>
      <c r="G60" s="51" t="inlineStr">
        <is>
          <t>Open →</t>
        </is>
      </c>
      <c r="H60" s="52" t="n"/>
    </row>
    <row r="62">
      <c r="B62" s="21" t="inlineStr">
        <is>
          <t>Total study time (hours)</t>
        </is>
      </c>
      <c r="D62" s="53">
        <f>SUM(D2:D60)/60</f>
        <v/>
      </c>
    </row>
    <row r="63">
      <c r="B63" s="21" t="inlineStr">
        <is>
          <t>Lessons marked Done</t>
        </is>
      </c>
      <c r="D63">
        <f>COUNTIF(F2:F60,"Done")</f>
        <v/>
      </c>
    </row>
  </sheetData>
  <autoFilter ref="A1:H60"/>
  <conditionalFormatting sqref="A2:H60">
    <cfRule type="expression" priority="1" dxfId="0">
      <formula>$F2="Done"</formula>
    </cfRule>
    <cfRule type="expression" priority="2" dxfId="1">
      <formula>$F2="In progress"</formula>
    </cfRule>
    <cfRule type="expression" priority="3" dxfId="2">
      <formula>$F2="Blocked"</formula>
    </cfRule>
    <cfRule type="expression" priority="4" dxfId="3">
      <formula>$F2="Skipped"</formula>
    </cfRule>
  </conditionalFormatting>
  <dataValidations count="1">
    <dataValidation sqref="F2:F60" showDropDown="0" showInputMessage="0" showErrorMessage="0" allowBlank="1" error="Choose a status from the list." prompt="Set your progress" type="list">
      <formula1>"Not started,In progress,Done,Skipped,Blocked"</formula1>
    </dataValidation>
  </dataValidations>
  <hyperlinks>
    <hyperlink ref="G2" location="'Lesson Notes'!A3" display="Open →"/>
    <hyperlink ref="G3" location="'Lesson Notes'!A25" display="Open →"/>
    <hyperlink ref="G4" location="'Lesson Notes'!A50" display="Open →"/>
    <hyperlink ref="G5" location="'Lesson Notes'!A72" display="Open →"/>
    <hyperlink ref="G6" location="'Lesson Notes'!A93" display="Open →"/>
    <hyperlink ref="G7" location="'Lesson Notes'!A115" display="Open →"/>
    <hyperlink ref="G8" location="'Lesson Notes'!A141" display="Open →"/>
    <hyperlink ref="G9" location="'Lesson Notes'!A160" display="Open →"/>
    <hyperlink ref="G10" location="'Lesson Notes'!A180" display="Open →"/>
    <hyperlink ref="G11" location="'Lesson Notes'!A200" display="Open →"/>
    <hyperlink ref="G12" location="'Lesson Notes'!A224" display="Open →"/>
    <hyperlink ref="G13" location="'Lesson Notes'!A245" display="Open →"/>
    <hyperlink ref="G14" location="'Lesson Notes'!A265" display="Open →"/>
    <hyperlink ref="G15" location="'Lesson Notes'!A291" display="Open →"/>
    <hyperlink ref="G16" location="'Lesson Notes'!A315" display="Open →"/>
    <hyperlink ref="G17" location="'Lesson Notes'!A336" display="Open →"/>
    <hyperlink ref="G18" location="'Lesson Notes'!A361" display="Open →"/>
    <hyperlink ref="G19" location="'Lesson Notes'!A382" display="Open →"/>
    <hyperlink ref="G20" location="'Lesson Notes'!A402" display="Open →"/>
    <hyperlink ref="G21" location="'Lesson Notes'!A423" display="Open →"/>
    <hyperlink ref="G22" location="'Lesson Notes'!A439" display="Open →"/>
    <hyperlink ref="G23" location="'Lesson Notes'!A458" display="Open →"/>
    <hyperlink ref="G24" location="'Lesson Notes'!A476" display="Open →"/>
    <hyperlink ref="G25" location="'Lesson Notes'!A499" display="Open →"/>
    <hyperlink ref="G26" location="'Lesson Notes'!A519" display="Open →"/>
    <hyperlink ref="G27" location="'Lesson Notes'!A539" display="Open →"/>
    <hyperlink ref="G28" location="'Lesson Notes'!A555" display="Open →"/>
    <hyperlink ref="G29" location="'Lesson Notes'!A573" display="Open →"/>
    <hyperlink ref="G30" location="'Lesson Notes'!A594" display="Open →"/>
    <hyperlink ref="G31" location="'Lesson Notes'!A612" display="Open →"/>
    <hyperlink ref="G32" location="'Lesson Notes'!A629" display="Open →"/>
    <hyperlink ref="G33" location="'Lesson Notes'!A644" display="Open →"/>
    <hyperlink ref="G34" location="'Lesson Notes'!A667" display="Open →"/>
    <hyperlink ref="G35" location="'Lesson Notes'!A684" display="Open →"/>
    <hyperlink ref="G36" location="'Lesson Notes'!A705" display="Open →"/>
    <hyperlink ref="G37" location="'Lesson Notes'!A725" display="Open →"/>
    <hyperlink ref="G38" location="'Lesson Notes'!A744" display="Open →"/>
    <hyperlink ref="G39" location="'Lesson Notes'!A762" display="Open →"/>
    <hyperlink ref="G40" location="'Lesson Notes'!A778" display="Open →"/>
    <hyperlink ref="G41" location="'Lesson Notes'!A793" display="Open →"/>
    <hyperlink ref="G42" location="'Lesson Notes'!A807" display="Open →"/>
    <hyperlink ref="G43" location="'Lesson Notes'!A829" display="Open →"/>
    <hyperlink ref="G44" location="'Lesson Notes'!A849" display="Open →"/>
    <hyperlink ref="G45" location="'Lesson Notes'!A866" display="Open →"/>
    <hyperlink ref="G46" location="'Lesson Notes'!A886" display="Open →"/>
    <hyperlink ref="G47" location="'Lesson Notes'!A901" display="Open →"/>
    <hyperlink ref="G48" location="'Lesson Notes'!A916" display="Open →"/>
    <hyperlink ref="G49" location="'Lesson Notes'!A931" display="Open →"/>
    <hyperlink ref="G50" location="'Lesson Notes'!A958" display="Open →"/>
    <hyperlink ref="G51" location="'Lesson Notes'!A978" display="Open →"/>
    <hyperlink ref="G52" location="'Lesson Notes'!A999" display="Open →"/>
    <hyperlink ref="G53" location="'Lesson Notes'!A1015" display="Open →"/>
    <hyperlink ref="G54" location="'Lesson Notes'!A1031" display="Open →"/>
    <hyperlink ref="G55" location="'Lesson Notes'!A1046" display="Open →"/>
    <hyperlink ref="G56" location="'Lesson Notes'!A1064" display="Open →"/>
    <hyperlink ref="G57" location="'Lesson Notes'!A1081" display="Open →"/>
    <hyperlink ref="G58" location="'Lesson Notes'!A1106" display="Open →"/>
    <hyperlink ref="G59" location="'Lesson Notes'!A1123" display="Open →"/>
    <hyperlink ref="G60" location="'Lesson Notes'!A1140" display="Open →"/>
  </hyperlinks>
  <pageMargins left="0.75" right="0.75" top="1" bottom="1" header="0.5" footer="0.5"/>
</worksheet>
</file>

<file path=xl/worksheets/sheet5.xml><?xml version="1.0" encoding="utf-8"?>
<worksheet xmlns="http://schemas.openxmlformats.org/spreadsheetml/2006/main">
  <sheetPr>
    <tabColor rgb="00548235"/>
    <outlinePr summaryBelow="1" summaryRight="1"/>
    <pageSetUpPr/>
  </sheetPr>
  <dimension ref="A1:B1160"/>
  <sheetViews>
    <sheetView showGridLines="0" workbookViewId="0">
      <pane ySplit="1" topLeftCell="A2" activePane="bottomLeft" state="frozen"/>
      <selection pane="bottomLeft" activeCell="A1" sqref="A1"/>
    </sheetView>
  </sheetViews>
  <sheetFormatPr baseColWidth="8" defaultRowHeight="15"/>
  <cols>
    <col width="18" customWidth="1" min="1" max="1"/>
    <col width="125" customWidth="1" min="2" max="2"/>
  </cols>
  <sheetData>
    <row r="1">
      <c r="A1" s="35" t="inlineStr">
        <is>
          <t>Lesson notes. Each lesson: why it matters, the core concepts, how it is used in ChessLab, common mistakes, self-check questions and resources (click to open).</t>
        </is>
      </c>
    </row>
    <row r="3" ht="22" customHeight="1">
      <c r="A3" s="54" t="inlineStr">
        <is>
          <t>L01</t>
        </is>
      </c>
      <c r="B3" s="54" t="inlineStr">
        <is>
          <t>How the web works: browsers, servers, HTTP and JSON   ·   Beginner   ·   about 60 min   ·   used in P0, P3, P4</t>
        </is>
      </c>
    </row>
    <row r="4">
      <c r="B4" s="55" t="inlineStr">
        <is>
          <t>↑ back to Lessons index</t>
        </is>
      </c>
    </row>
    <row r="5" ht="29.2" customHeight="1">
      <c r="A5" s="56" t="inlineStr">
        <is>
          <t>Why it matters</t>
        </is>
      </c>
      <c r="B5" s="57" t="inlineStr">
        <is>
          <t>Everything in ChessLab is a conversation between a browser (the React app) and a server (the FastAPI app). If you understand what a request and a response are, every later lesson becomes 'just details'.</t>
        </is>
      </c>
    </row>
    <row r="6" ht="29.2" customHeight="1">
      <c r="A6" s="5" t="inlineStr">
        <is>
          <t>Concept 1</t>
        </is>
      </c>
      <c r="B6" s="9" t="inlineStr">
        <is>
          <t>Client and server: the browser is a client. It downloads HTML, CSS and JavaScript from a static host (Vercel), then runs that JavaScript. The JavaScript then talks to a different program, the API server (Render), which owns the database.</t>
        </is>
      </c>
    </row>
    <row r="7" ht="29.2" customHeight="1">
      <c r="A7" s="5" t="inlineStr">
        <is>
          <t>Concept 2</t>
        </is>
      </c>
      <c r="B7" s="9" t="inlineStr">
        <is>
          <t>An HTTP request has: a METHOD (GET = read, POST = create/act, DELETE = remove, PUT/PATCH = update), a URL path (/v1/games/123), HEADERS (metadata such as Authorization: Bearer &lt;token&gt;, Content-Type: application/json) and an optional BODY (usually JSON).</t>
        </is>
      </c>
    </row>
    <row r="8" ht="29.2" customHeight="1">
      <c r="A8" s="5" t="inlineStr">
        <is>
          <t>Concept 3</t>
        </is>
      </c>
      <c r="B8" s="9" t="inlineStr">
        <is>
          <t>An HTTP response has: a STATUS CODE (200 OK, 201 Created, 204 No Content, 400/422 bad input, 401 not logged in, 404 not found, 409 conflict, 429 too many requests, 500 server bug), headers and a body.</t>
        </is>
      </c>
    </row>
    <row r="9" ht="29.2" customHeight="1">
      <c r="A9" s="5" t="inlineStr">
        <is>
          <t>Concept 4</t>
        </is>
      </c>
      <c r="B9" s="9" t="inlineStr">
        <is>
          <t>JSON is plain text that looks like JavaScript objects: {"game_id": "abc", "moves": ["e2e4"]}. Both TypeScript and Python convert it to and from native objects.</t>
        </is>
      </c>
    </row>
    <row r="10" ht="29.2" customHeight="1">
      <c r="A10" s="5" t="inlineStr">
        <is>
          <t>Concept 5</t>
        </is>
      </c>
      <c r="B10" s="9" t="inlineStr">
        <is>
          <t>HTTPS = HTTP inside an encrypted TLS tunnel. Tokens and passwords must only ever travel over HTTPS. Vercel and Render give you HTTPS automatically.</t>
        </is>
      </c>
    </row>
    <row r="11" ht="29.2" customHeight="1">
      <c r="A11" s="5" t="inlineStr">
        <is>
          <t>Concept 6</t>
        </is>
      </c>
      <c r="B11" s="9" t="inlineStr">
        <is>
          <t>Statelessness: each HTTP request stands alone. The server remembers who you are only because the browser sends a token with every request; durable memory lives in the database, never in a Python variable.</t>
        </is>
      </c>
    </row>
    <row r="12" ht="29.2" customHeight="1">
      <c r="A12" s="5" t="inlineStr">
        <is>
          <t>Concept 7</t>
        </is>
      </c>
      <c r="B12" s="9" t="inlineStr">
        <is>
          <t>Origins: an origin is scheme + host + port (https://chesslab.vercel.app and https://chesslab-api.onrender.com are DIFFERENT origins). Browsers restrict JavaScript talking across origins; that is why CORS (lesson L21) exists.</t>
        </is>
      </c>
    </row>
    <row r="13" ht="41.8" customHeight="1">
      <c r="A13" s="58" t="inlineStr">
        <is>
          <t>In ChessLab</t>
        </is>
      </c>
      <c r="B13" s="59" t="inlineStr">
        <is>
          <t>The React app calls fetch('https://&lt;api&gt;/v1/games', {method: 'POST', headers: {Authorization: 'Bearer ...'}, body: JSON.stringify({...})}). FastAPI receives it, validates the JSON, writes rows to Postgres, and returns 201 with JSON. You can watch every such request in the browser's DevTools &gt; Network tab: make that a habit.</t>
        </is>
      </c>
    </row>
    <row r="14" ht="16.6" customHeight="1">
      <c r="A14" s="5" t="inlineStr">
        <is>
          <t>Common mistake</t>
        </is>
      </c>
      <c r="B14" s="9" t="inlineStr">
        <is>
          <t>Thinking the frontend and backend are 'one program'. They are separate programs, deployed separately, talking over the network.</t>
        </is>
      </c>
    </row>
    <row r="15" ht="16.6" customHeight="1">
      <c r="A15" s="5" t="inlineStr">
        <is>
          <t>Common mistake</t>
        </is>
      </c>
      <c r="B15" s="9" t="inlineStr">
        <is>
          <t>Putting secrets in frontend code. Anything shipped to the browser is public.</t>
        </is>
      </c>
    </row>
    <row r="16" ht="16.6" customHeight="1">
      <c r="A16" s="5" t="inlineStr">
        <is>
          <t>Common mistake</t>
        </is>
      </c>
      <c r="B16" s="9" t="inlineStr">
        <is>
          <t>Ignoring status codes and only reading the body. The status code tells you what kind of failure happened.</t>
        </is>
      </c>
    </row>
    <row r="17" ht="16.6" customHeight="1">
      <c r="A17" s="7" t="inlineStr">
        <is>
          <t>Check yourself</t>
        </is>
      </c>
      <c r="B17" s="8" t="inlineStr">
        <is>
          <t>What are the four parts of an HTTP request?</t>
        </is>
      </c>
    </row>
    <row r="18" ht="16.6" customHeight="1">
      <c r="A18" s="7" t="inlineStr">
        <is>
          <t>Check yourself</t>
        </is>
      </c>
      <c r="B18" s="8" t="inlineStr">
        <is>
          <t>Why is https://a.com:443 a different origin from https://api.a.com?</t>
        </is>
      </c>
    </row>
    <row r="19" ht="16.6" customHeight="1">
      <c r="A19" s="7" t="inlineStr">
        <is>
          <t>Check yourself</t>
        </is>
      </c>
      <c r="B19" s="8" t="inlineStr">
        <is>
          <t>Which status code should 'you are not allowed to see this game' return in ChessLab, and why do we use 404 instead of 403?</t>
        </is>
      </c>
    </row>
    <row r="20" ht="16.6" customHeight="1">
      <c r="A20" s="5" t="inlineStr">
        <is>
          <t>Resource</t>
        </is>
      </c>
      <c r="B20" s="6" t="inlineStr">
        <is>
          <t>MDN: An overview of HTTP  —  https://developer.mozilla.org/en-US/docs/Web/HTTP/Overview</t>
        </is>
      </c>
    </row>
    <row r="21" ht="16.6" customHeight="1">
      <c r="A21" s="5" t="inlineStr">
        <is>
          <t>Resource</t>
        </is>
      </c>
      <c r="B21" s="6" t="inlineStr">
        <is>
          <t>MDN: HTTP response status codes  —  https://developer.mozilla.org/en-US/docs/Web/HTTP/Status</t>
        </is>
      </c>
    </row>
    <row r="22" ht="16.6" customHeight="1">
      <c r="A22" s="5" t="inlineStr">
        <is>
          <t>Resource</t>
        </is>
      </c>
      <c r="B22" s="6" t="inlineStr">
        <is>
          <t>MDN: Learn web development  —  https://developer.mozilla.org/en-US/docs/Learn_web_development</t>
        </is>
      </c>
    </row>
    <row r="23" ht="16.6" customHeight="1">
      <c r="A23" s="5" t="inlineStr">
        <is>
          <t>Resource</t>
        </is>
      </c>
      <c r="B23" s="6" t="inlineStr">
        <is>
          <t>Full Stack Open (free university course)  —  https://fullstackopen.com/en/</t>
        </is>
      </c>
    </row>
    <row r="25" ht="22" customHeight="1">
      <c r="A25" s="54" t="inlineStr">
        <is>
          <t>L02</t>
        </is>
      </c>
      <c r="B25" s="54" t="inlineStr">
        <is>
          <t>The terminal on Windows: Git Bash, paths and environment variables   ·   Beginner   ·   about 45 min   ·   used in P0 and every phase</t>
        </is>
      </c>
    </row>
    <row r="26">
      <c r="B26" s="55" t="inlineStr">
        <is>
          <t>↑ back to Lessons index</t>
        </is>
      </c>
    </row>
    <row r="27" ht="29.2" customHeight="1">
      <c r="A27" s="56" t="inlineStr">
        <is>
          <t>Why it matters</t>
        </is>
      </c>
      <c r="B27" s="57" t="inlineStr">
        <is>
          <t>You will run hundreds of commands, and every one in this manual is written for Git Bash. Most beginner frustration comes from the wrong folder, a stale PATH, or Git Bash's path conversion. This lesson removes all three.</t>
        </is>
      </c>
    </row>
    <row r="28" ht="29.2" customHeight="1">
      <c r="A28" s="5" t="inlineStr">
        <is>
          <t>Concept 1</t>
        </is>
      </c>
      <c r="B28" s="9" t="inlineStr">
        <is>
          <t>Git Bash comes with Git for Windows. It gives you a Unix-style shell (bash) on Windows, so the same commands work on Linux servers, in Docker containers and in GitHub Actions. git, npm, uv, docker and gh all run inside it.</t>
        </is>
      </c>
    </row>
    <row r="29" ht="29.2" customHeight="1">
      <c r="A29" s="5" t="inlineStr">
        <is>
          <t>Concept 2</t>
        </is>
      </c>
      <c r="B29" s="9" t="inlineStr">
        <is>
          <t>Paths: Git Bash writes drives as /d/my_learning/Chess-AI instead of D:\my_learning\Chess-AI. Your home folder is ~ (C:/Users/&lt;you&gt;). Windows programs called from Git Bash usually accept both styles. Quote paths that contain spaces.</t>
        </is>
      </c>
    </row>
    <row r="30" ht="29.2" customHeight="1">
      <c r="A30" s="5" t="inlineStr">
        <is>
          <t>Concept 3</t>
        </is>
      </c>
      <c r="B30" s="9" t="inlineStr">
        <is>
          <t>Working directory: commands run relative to your current folder. cd moves, pwd shows where you are, ls -la lists files. Most 'file not found' errors mean you are in the wrong folder.</t>
        </is>
      </c>
    </row>
    <row r="31" ht="41.8" customHeight="1">
      <c r="A31" s="5" t="inlineStr">
        <is>
          <t>Concept 4</t>
        </is>
      </c>
      <c r="B31" s="9" t="inlineStr">
        <is>
          <t>Environment variables: export NAME=value sets one for this session; echo $NAME prints it. A program only sees variables set BEFORE it started, so restart it after a change. Lines in ~/.bashrc run in every new Git Bash window and affect every project, so keep project settings out of it.</t>
        </is>
      </c>
    </row>
    <row r="32" ht="29.2" customHeight="1">
      <c r="A32" s="5" t="inlineStr">
        <is>
          <t>Concept 5</t>
        </is>
      </c>
      <c r="B32" s="9" t="inlineStr">
        <is>
          <t>PATH lists folders where the shell looks for programs. 'command not found' straight after installing something usually means: close and reopen Git Bash.</t>
        </is>
      </c>
    </row>
    <row r="33" ht="29.2" customHeight="1">
      <c r="A33" s="5" t="inlineStr">
        <is>
          <t>Concept 6</t>
        </is>
      </c>
      <c r="B33" s="9" t="inlineStr">
        <is>
          <t>Chaining: a &amp;&amp; b runs b only if a succeeded; a || b runs b only if a failed; a | b sends a's output into b (grep, head, tail filter output). These replace PowerShell's ';', Select-String and Select-Object.</t>
        </is>
      </c>
    </row>
    <row r="34" ht="41.8" customHeight="1">
      <c r="A34" s="5" t="inlineStr">
        <is>
          <t>Concept 7</t>
        </is>
      </c>
      <c r="B34" s="9" t="inlineStr">
        <is>
          <t>Path conversion: when Git Bash calls a Windows program it rewrites arguments that look like Unix paths, so /usr/games/stockfish becomes C:/Program Files/Git/usr/games/stockfish. Paths INSIDE a Docker container must not be rewritten: prefix such docker commands with MSYS_NO_PATHCONV=1 (the manual does this for you). For volume mounts use "$(pwd -W)", which prints the Windows form of the current folder.</t>
        </is>
      </c>
    </row>
    <row r="35" ht="16.6" customHeight="1">
      <c r="A35" s="5" t="inlineStr">
        <is>
          <t>Concept 8</t>
        </is>
      </c>
      <c r="B35" s="9" t="inlineStr">
        <is>
          <t>Heredocs: cmd &lt;&lt;'EOF' ... EOF feeds several lines into a command or file (P2.07 uses one to send SQL to psql).</t>
        </is>
      </c>
    </row>
    <row r="36" ht="29.2" customHeight="1">
      <c r="A36" s="5" t="inlineStr">
        <is>
          <t>Concept 9</t>
        </is>
      </c>
      <c r="B36" s="9" t="inlineStr">
        <is>
          <t>Ports: a server listens on a port. Two programs cannot share one. On Srikanth's laptop 5432, 8000 and 5173 are already used by other projects, so ChessLab uses 5433, 8010 and 5180 on both laptops.</t>
        </is>
      </c>
    </row>
    <row r="37" ht="16.6" customHeight="1">
      <c r="A37" s="58" t="inlineStr">
        <is>
          <t>In ChessLab</t>
        </is>
      </c>
      <c r="B37" s="59" t="inlineStr">
        <is>
          <t>Every command in this manual is written for Git Bash. Docker commands that contain container paths start with MSYS_NO_PATHCONV=1.</t>
        </is>
      </c>
    </row>
    <row r="38" ht="16.6" customHeight="1">
      <c r="A38" s="5" t="inlineStr">
        <is>
          <t>Common mistake</t>
        </is>
      </c>
      <c r="B38" s="9" t="inlineStr">
        <is>
          <t>Running a command in the wrong folder (for example npm install in the repo root instead of apps/web).</t>
        </is>
      </c>
    </row>
    <row r="39" ht="16.6" customHeight="1">
      <c r="A39" s="5" t="inlineStr">
        <is>
          <t>Common mistake</t>
        </is>
      </c>
      <c r="B39" s="9" t="inlineStr">
        <is>
          <t>Editing .env and expecting a running server to notice without a restart.</t>
        </is>
      </c>
    </row>
    <row r="40" ht="16.6" customHeight="1">
      <c r="A40" s="5" t="inlineStr">
        <is>
          <t>Common mistake</t>
        </is>
      </c>
      <c r="B40" s="9" t="inlineStr">
        <is>
          <t>Leaving out MSYS_NO_PATHCONV=1 and getting 'No such file' errors that mention C:/Program Files/Git.</t>
        </is>
      </c>
    </row>
    <row r="41" ht="16.6" customHeight="1">
      <c r="A41" s="5" t="inlineStr">
        <is>
          <t>Common mistake</t>
        </is>
      </c>
      <c r="B41" s="9" t="inlineStr">
        <is>
          <t>Pasting PowerShell lines (Copy-Item, $env:X) into Git Bash.</t>
        </is>
      </c>
    </row>
    <row r="42" ht="16.6" customHeight="1">
      <c r="A42" s="7" t="inlineStr">
        <is>
          <t>Check yourself</t>
        </is>
      </c>
      <c r="B42" s="8" t="inlineStr">
        <is>
          <t>How do you set DATABASE_URL for one Git Bash session?</t>
        </is>
      </c>
    </row>
    <row r="43" ht="16.6" customHeight="1">
      <c r="A43" s="7" t="inlineStr">
        <is>
          <t>Check yourself</t>
        </is>
      </c>
      <c r="B43" s="8" t="inlineStr">
        <is>
          <t>What does &amp;&amp; do that ; does not?</t>
        </is>
      </c>
    </row>
    <row r="44" ht="16.6" customHeight="1">
      <c r="A44" s="7" t="inlineStr">
        <is>
          <t>Check yourself</t>
        </is>
      </c>
      <c r="B44" s="8" t="inlineStr">
        <is>
          <t>Why does a docker command with -e STOCKFISH_PATH=/usr/games/stockfish need MSYS_NO_PATHCONV=1 in Git Bash?</t>
        </is>
      </c>
    </row>
    <row r="45" ht="16.6" customHeight="1">
      <c r="A45" s="5" t="inlineStr">
        <is>
          <t>Resource</t>
        </is>
      </c>
      <c r="B45" s="6" t="inlineStr">
        <is>
          <t>Git for Windows (includes Git Bash)  —  https://gitforwindows.org/</t>
        </is>
      </c>
    </row>
    <row r="46" ht="16.6" customHeight="1">
      <c r="A46" s="5" t="inlineStr">
        <is>
          <t>Resource</t>
        </is>
      </c>
      <c r="B46" s="6" t="inlineStr">
        <is>
          <t>The Missing Semester (MIT): the shell  —  https://missing.csail.mit.edu/2020/course-shell/</t>
        </is>
      </c>
    </row>
    <row r="47" ht="16.6" customHeight="1">
      <c r="A47" s="5" t="inlineStr">
        <is>
          <t>Resource</t>
        </is>
      </c>
      <c r="B47" s="6" t="inlineStr">
        <is>
          <t>GNU Bash manual  —  https://www.gnu.org/software/bash/manual/bash.html</t>
        </is>
      </c>
    </row>
    <row r="48" ht="16.6" customHeight="1">
      <c r="A48" s="5" t="inlineStr">
        <is>
          <t>Resource</t>
        </is>
      </c>
      <c r="B48" s="6" t="inlineStr">
        <is>
          <t>VS Code: integrated terminal profiles  —  https://code.visualstudio.com/docs/terminal/profiles</t>
        </is>
      </c>
    </row>
    <row r="50" ht="22" customHeight="1">
      <c r="A50" s="54" t="inlineStr">
        <is>
          <t>L03</t>
        </is>
      </c>
      <c r="B50" s="54" t="inlineStr">
        <is>
          <t>Git and GitHub: commits, branches, pull requests   ·   Beginner   ·   about 75 min   ·   used in P0, P1 and every phase</t>
        </is>
      </c>
    </row>
    <row r="51">
      <c r="B51" s="55" t="inlineStr">
        <is>
          <t>↑ back to Lessons index</t>
        </is>
      </c>
    </row>
    <row r="52" ht="29.2" customHeight="1">
      <c r="A52" s="56" t="inlineStr">
        <is>
          <t>Why it matters</t>
        </is>
      </c>
      <c r="B52" s="57" t="inlineStr">
        <is>
          <t>Git is your undo button, your history, and the way you deploy (Vercel and Render deploy from GitHub). Recruiters also read your commit history.</t>
        </is>
      </c>
    </row>
    <row r="53" ht="29.2" customHeight="1">
      <c r="A53" s="5" t="inlineStr">
        <is>
          <t>Concept 1</t>
        </is>
      </c>
      <c r="B53" s="9" t="inlineStr">
        <is>
          <t>A commit is a snapshot of the project with a message explaining WHY something changed. Commit small, coherent steps (one feature or fix each).</t>
        </is>
      </c>
    </row>
    <row r="54" ht="29.2" customHeight="1">
      <c r="A54" s="5" t="inlineStr">
        <is>
          <t>Concept 2</t>
        </is>
      </c>
      <c r="B54" s="9" t="inlineStr">
        <is>
          <t>The staging area: 'git add &lt;file&gt;' chooses what goes into the next commit; 'git commit -m "..."' records it. 'git status' and 'git diff' show what changed. Run them constantly.</t>
        </is>
      </c>
    </row>
    <row r="55" ht="29.2" customHeight="1">
      <c r="A55" s="5" t="inlineStr">
        <is>
          <t>Concept 3</t>
        </is>
      </c>
      <c r="B55" s="9" t="inlineStr">
        <is>
          <t>Branches let you try something risky without touching main (git switch -c experiment). In this project the two of you mostly work directly on main and push small commits.</t>
        </is>
      </c>
    </row>
    <row r="56" ht="29.2" customHeight="1">
      <c r="A56" s="5" t="inlineStr">
        <is>
          <t>Concept 4</t>
        </is>
      </c>
      <c r="B56" s="9" t="inlineStr">
        <is>
          <t>Remote: GitHub holds a copy (origin). 'git push' uploads commits; 'git pull' downloads. Vercel/Render watch a branch and redeploy on every push.</t>
        </is>
      </c>
    </row>
    <row r="57" ht="29.2" customHeight="1">
      <c r="A57" s="5" t="inlineStr">
        <is>
          <t>Concept 5</t>
        </is>
      </c>
      <c r="B57" s="9" t="inlineStr">
        <is>
          <t>Never commit secrets (.env), build output (dist/, node_modules/) or huge data files. .gitignore lists what Git should ignore. If you commit a secret, rotating (changing) the secret is mandatory; deleting the file is not enough because history keeps it.</t>
        </is>
      </c>
    </row>
    <row r="58" ht="16.6" customHeight="1">
      <c r="A58" s="5" t="inlineStr">
        <is>
          <t>Concept 6</t>
        </is>
      </c>
      <c r="B58" s="9" t="inlineStr">
        <is>
          <t>Tags mark releases (git tag v1.0.0) and give you a known-good revision to roll back to.</t>
        </is>
      </c>
    </row>
    <row r="59" ht="16.6" customHeight="1">
      <c r="A59" s="5" t="inlineStr">
        <is>
          <t>Concept 7</t>
        </is>
      </c>
      <c r="B59" s="9" t="inlineStr">
        <is>
          <t>Conventional commit messages (feat:, fix:, docs:, test:, chore:) make history readable.</t>
        </is>
      </c>
    </row>
    <row r="60" ht="29.2" customHeight="1">
      <c r="A60" s="58" t="inlineStr">
        <is>
          <t>In ChessLab</t>
        </is>
      </c>
      <c r="B60" s="59" t="inlineStr">
        <is>
          <t>G0 connected this folder to GitHub and tagged the original app (original-app). Every step that changes files ends with pull, commit, push to main. Render and Vercel deploy main, so keep it working.</t>
        </is>
      </c>
    </row>
    <row r="61" ht="16.6" customHeight="1">
      <c r="A61" s="5" t="inlineStr">
        <is>
          <t>Common mistake</t>
        </is>
      </c>
      <c r="B61" s="9" t="inlineStr">
        <is>
          <t>One giant commit called 'update'.</t>
        </is>
      </c>
    </row>
    <row r="62" ht="16.6" customHeight="1">
      <c r="A62" s="5" t="inlineStr">
        <is>
          <t>Common mistake</t>
        </is>
      </c>
      <c r="B62" s="9" t="inlineStr">
        <is>
          <t>Working directly on main and breaking production.</t>
        </is>
      </c>
    </row>
    <row r="63" ht="16.6" customHeight="1">
      <c r="A63" s="5" t="inlineStr">
        <is>
          <t>Common mistake</t>
        </is>
      </c>
      <c r="B63" s="9" t="inlineStr">
        <is>
          <t>Committing node_modules or .env.</t>
        </is>
      </c>
    </row>
    <row r="64" ht="16.6" customHeight="1">
      <c r="A64" s="7" t="inlineStr">
        <is>
          <t>Check yourself</t>
        </is>
      </c>
      <c r="B64" s="8" t="inlineStr">
        <is>
          <t>What is the difference between 'git add' and 'git commit'?</t>
        </is>
      </c>
    </row>
    <row r="65" ht="16.6" customHeight="1">
      <c r="A65" s="7" t="inlineStr">
        <is>
          <t>Check yourself</t>
        </is>
      </c>
      <c r="B65" s="8" t="inlineStr">
        <is>
          <t>How would you get back to the exact code you had before Phase 2 began?</t>
        </is>
      </c>
    </row>
    <row r="66" ht="16.6" customHeight="1">
      <c r="A66" s="7" t="inlineStr">
        <is>
          <t>Check yourself</t>
        </is>
      </c>
      <c r="B66" s="8" t="inlineStr">
        <is>
          <t>Why does deleting a committed .env file not remove the leaked secret?</t>
        </is>
      </c>
    </row>
    <row r="67" ht="16.6" customHeight="1">
      <c r="A67" s="5" t="inlineStr">
        <is>
          <t>Resource</t>
        </is>
      </c>
      <c r="B67" s="6" t="inlineStr">
        <is>
          <t>Pro Git book (free)  —  https://git-scm.com/book/en/v2</t>
        </is>
      </c>
    </row>
    <row r="68" ht="16.6" customHeight="1">
      <c r="A68" s="5" t="inlineStr">
        <is>
          <t>Resource</t>
        </is>
      </c>
      <c r="B68" s="6" t="inlineStr">
        <is>
          <t>Learn Git Branching (interactive)  —  https://learngitbranching.js.org/</t>
        </is>
      </c>
    </row>
    <row r="69" ht="29.2" customHeight="1">
      <c r="A69" s="5" t="inlineStr">
        <is>
          <t>Resource</t>
        </is>
      </c>
      <c r="B69" s="6" t="inlineStr">
        <is>
          <t>GitHub Docs: About pull requests  —  https://docs.github.com/en/pull-requests/collaborating-with-pull-requests/proposing-changes-to-your-work-with-pull-requests/about-pull-requests</t>
        </is>
      </c>
    </row>
    <row r="70" ht="16.6" customHeight="1">
      <c r="A70" s="5" t="inlineStr">
        <is>
          <t>Resource</t>
        </is>
      </c>
      <c r="B70" s="6" t="inlineStr">
        <is>
          <t>Conventional Commits  —  https://www.conventionalcommits.org/</t>
        </is>
      </c>
    </row>
    <row r="72" ht="22" customHeight="1">
      <c r="A72" s="54" t="inlineStr">
        <is>
          <t>L04</t>
        </is>
      </c>
      <c r="B72" s="54" t="inlineStr">
        <is>
          <t>Package managers and lockfiles (npm for JavaScript, uv for Python)   ·   Beginner   ·   about 40 min   ·   used in P2, P3, P4</t>
        </is>
      </c>
    </row>
    <row r="73">
      <c r="B73" s="55" t="inlineStr">
        <is>
          <t>↑ back to Lessons index</t>
        </is>
      </c>
    </row>
    <row r="74" ht="29.2" customHeight="1">
      <c r="A74" s="56" t="inlineStr">
        <is>
          <t>Why it matters</t>
        </is>
      </c>
      <c r="B74" s="57" t="inlineStr">
        <is>
          <t>Your app depends on hundreds of libraries. Package managers download them; lockfiles guarantee that your laptop, CI and production all get exactly the same versions.</t>
        </is>
      </c>
    </row>
    <row r="75" ht="16.6" customHeight="1">
      <c r="A75" s="5" t="inlineStr">
        <is>
          <t>Concept 1</t>
        </is>
      </c>
      <c r="B75" s="9" t="inlineStr">
        <is>
          <t>package.json (JS) and pyproject.toml (Python) list your DIRECT dependencies with version ranges (e.g. ^1.4.0 = any 1.x at least 1.4.0).</t>
        </is>
      </c>
    </row>
    <row r="76" ht="16.6" customHeight="1">
      <c r="A76" s="5" t="inlineStr">
        <is>
          <t>Concept 2</t>
        </is>
      </c>
      <c r="B76" s="9" t="inlineStr">
        <is>
          <t>package-lock.json and uv.lock record the EXACT version of every package, including dependencies of dependencies. Commit lockfiles.</t>
        </is>
      </c>
    </row>
    <row r="77" ht="29.2" customHeight="1">
      <c r="A77" s="5" t="inlineStr">
        <is>
          <t>Concept 3</t>
        </is>
      </c>
      <c r="B77" s="9" t="inlineStr">
        <is>
          <t>Install from the lockfile in CI and production: 'npm ci' (not npm install) and 'uv sync --frozen'. They fail if the lockfile is out of date instead of silently upgrading.</t>
        </is>
      </c>
    </row>
    <row r="78" ht="16.6" customHeight="1">
      <c r="A78" s="5" t="inlineStr">
        <is>
          <t>Concept 4</t>
        </is>
      </c>
      <c r="B78" s="9" t="inlineStr">
        <is>
          <t>Dev dependencies (pytest, vitest, ruff, playwright) are needed to build and test, not to run in production.</t>
        </is>
      </c>
    </row>
    <row r="79" ht="29.2" customHeight="1">
      <c r="A79" s="5" t="inlineStr">
        <is>
          <t>Concept 5</t>
        </is>
      </c>
      <c r="B79" s="9" t="inlineStr">
        <is>
          <t>Semantic versioning: MAJOR.MINOR.PATCH. A major bump may break your code (react-chessboard 4 -&gt; 5 changed its props API completely; we pin major version 4).</t>
        </is>
      </c>
    </row>
    <row r="80" ht="29.2" customHeight="1">
      <c r="A80" s="5" t="inlineStr">
        <is>
          <t>Concept 6</t>
        </is>
      </c>
      <c r="B80" s="9" t="inlineStr">
        <is>
          <t>uv is a fast Python package and project manager. 'uv add fastapi' edits pyproject.toml, resolves, writes uv.lock and installs into .venv. 'uv run &lt;cmd&gt;' runs a command inside that environment.</t>
        </is>
      </c>
    </row>
    <row r="81" ht="29.2" customHeight="1">
      <c r="A81" s="5" t="inlineStr">
        <is>
          <t>Concept 7</t>
        </is>
      </c>
      <c r="B81" s="9" t="inlineStr">
        <is>
          <t>For Docker we export a plain requirements.txt from the lockfile ('uv export --frozen --no-dev --no-emit-project -o requirements.txt') so the image needs only pip.</t>
        </is>
      </c>
    </row>
    <row r="82" ht="29.2" customHeight="1">
      <c r="A82" s="58" t="inlineStr">
        <is>
          <t>In ChessLab</t>
        </is>
      </c>
      <c r="B82" s="59" t="inlineStr">
        <is>
          <t>apps/web/package-lock.json and services/backend/uv.lock are committed. CI uses npm ci and uv sync --frozen. When a library's latest major version changes its API, pin the major you learned (react-chessboard@4, react-router-dom@6).</t>
        </is>
      </c>
    </row>
    <row r="83" ht="16.6" customHeight="1">
      <c r="A83" s="5" t="inlineStr">
        <is>
          <t>Common mistake</t>
        </is>
      </c>
      <c r="B83" s="9" t="inlineStr">
        <is>
          <t>Deleting the lockfile to 'fix' an install error (this upgrades everything at once).</t>
        </is>
      </c>
    </row>
    <row r="84" ht="16.6" customHeight="1">
      <c r="A84" s="5" t="inlineStr">
        <is>
          <t>Common mistake</t>
        </is>
      </c>
      <c r="B84" s="9" t="inlineStr">
        <is>
          <t>Installing a package globally instead of into the project.</t>
        </is>
      </c>
    </row>
    <row r="85" ht="16.6" customHeight="1">
      <c r="A85" s="5" t="inlineStr">
        <is>
          <t>Common mistake</t>
        </is>
      </c>
      <c r="B85" s="9" t="inlineStr">
        <is>
          <t>Using 'npm install' in CI, which can rewrite the lockfile.</t>
        </is>
      </c>
    </row>
    <row r="86" ht="16.6" customHeight="1">
      <c r="A86" s="7" t="inlineStr">
        <is>
          <t>Check yourself</t>
        </is>
      </c>
      <c r="B86" s="8" t="inlineStr">
        <is>
          <t>What does ^1.4.0 allow?</t>
        </is>
      </c>
    </row>
    <row r="87" ht="16.6" customHeight="1">
      <c r="A87" s="7" t="inlineStr">
        <is>
          <t>Check yourself</t>
        </is>
      </c>
      <c r="B87" s="8" t="inlineStr">
        <is>
          <t>Why does CI use 'npm ci'?</t>
        </is>
      </c>
    </row>
    <row r="88" ht="16.6" customHeight="1">
      <c r="A88" s="7" t="inlineStr">
        <is>
          <t>Check yourself</t>
        </is>
      </c>
      <c r="B88" s="8" t="inlineStr">
        <is>
          <t>Where does uv put the project's virtual environment?</t>
        </is>
      </c>
    </row>
    <row r="89" ht="16.6" customHeight="1">
      <c r="A89" s="5" t="inlineStr">
        <is>
          <t>Resource</t>
        </is>
      </c>
      <c r="B89" s="6" t="inlineStr">
        <is>
          <t>uv documentation  —  https://docs.astral.sh/uv/</t>
        </is>
      </c>
    </row>
    <row r="90" ht="16.6" customHeight="1">
      <c r="A90" s="5" t="inlineStr">
        <is>
          <t>Resource</t>
        </is>
      </c>
      <c r="B90" s="6" t="inlineStr">
        <is>
          <t>npm Docs: package-lock.json  —  https://docs.npmjs.com/cli/v10/configuring-npm/package-lock-json</t>
        </is>
      </c>
    </row>
    <row r="91" ht="16.6" customHeight="1">
      <c r="A91" s="5" t="inlineStr">
        <is>
          <t>Resource</t>
        </is>
      </c>
      <c r="B91" s="6" t="inlineStr">
        <is>
          <t>Semantic Versioning  —  https://semver.org/</t>
        </is>
      </c>
    </row>
    <row r="93" ht="22" customHeight="1">
      <c r="A93" s="54" t="inlineStr">
        <is>
          <t>L05</t>
        </is>
      </c>
      <c r="B93" s="54" t="inlineStr">
        <is>
          <t>TypeScript essentials for this project   ·   Beginner   ·   about 90 min   ·   used in P4, P9, P10</t>
        </is>
      </c>
    </row>
    <row r="94">
      <c r="B94" s="55" t="inlineStr">
        <is>
          <t>↑ back to Lessons index</t>
        </is>
      </c>
    </row>
    <row r="95" ht="29.2" customHeight="1">
      <c r="A95" s="56" t="inlineStr">
        <is>
          <t>Why it matters</t>
        </is>
      </c>
      <c r="B95" s="57" t="inlineStr">
        <is>
          <t>TypeScript catches mistakes (wrong property names, missing fields, null values) before you run the code. API response types make the frontend/backend contract explicit.</t>
        </is>
      </c>
    </row>
    <row r="96" ht="29.2" customHeight="1">
      <c r="A96" s="5" t="inlineStr">
        <is>
          <t>Concept 1</t>
        </is>
      </c>
      <c r="B96" s="9" t="inlineStr">
        <is>
          <t>TypeScript = JavaScript + type annotations. 'let fen: string', 'function f(n: number): boolean'. Types are erased at build time; the browser runs plain JavaScript.</t>
        </is>
      </c>
    </row>
    <row r="97" ht="16.6" customHeight="1">
      <c r="A97" s="5" t="inlineStr">
        <is>
          <t>Concept 2</t>
        </is>
      </c>
      <c r="B97" s="9" t="inlineStr">
        <is>
          <t>Object types: type GameCreated = { game_id: string; analysis_job_id: number }. Optional fields use '?', nullable ones 'string | null'.</t>
        </is>
      </c>
    </row>
    <row r="98" ht="16.6" customHeight="1">
      <c r="A98" s="5" t="inlineStr">
        <is>
          <t>Concept 3</t>
        </is>
      </c>
      <c r="B98" s="9" t="inlineStr">
        <is>
          <t>Union types describe a fixed set of values: type Side = 'w' | 'b'. The compiler rejects 'x'.</t>
        </is>
      </c>
    </row>
    <row r="99" ht="16.6" customHeight="1">
      <c r="A99" s="5" t="inlineStr">
        <is>
          <t>Concept 4</t>
        </is>
      </c>
      <c r="B99" s="9" t="inlineStr">
        <is>
          <t>Generics: api&lt;T&gt;(path) returns Promise&lt;T&gt;, so api&lt;Review&gt;('/v1/...') is typed as a Review.</t>
        </is>
      </c>
    </row>
    <row r="100" ht="29.2" customHeight="1">
      <c r="A100" s="5" t="inlineStr">
        <is>
          <t>Concept 5</t>
        </is>
      </c>
      <c r="B100" s="9" t="inlineStr">
        <is>
          <t>async/await: fetch() returns a Promise; 'await' waits for it without freezing the page. Wrap awaits in try/catch to handle network errors.</t>
        </is>
      </c>
    </row>
    <row r="101" ht="16.6" customHeight="1">
      <c r="A101" s="5" t="inlineStr">
        <is>
          <t>Concept 6</t>
        </is>
      </c>
      <c r="B101" s="9" t="inlineStr">
        <is>
          <t>Narrowing: if (e instanceof ApiError) { e.code } — TypeScript knows e is an ApiError inside the if.</t>
        </is>
      </c>
    </row>
    <row r="102" ht="16.6" customHeight="1">
      <c r="A102" s="5" t="inlineStr">
        <is>
          <t>Concept 7</t>
        </is>
      </c>
      <c r="B102" s="9" t="inlineStr">
        <is>
          <t>Strict mode (on by default in Vite) forbids implicit any and forces null checks. Fix errors, don't silence them with 'as any'.</t>
        </is>
      </c>
    </row>
    <row r="103" ht="16.6" customHeight="1">
      <c r="A103" s="5" t="inlineStr">
        <is>
          <t>Concept 8</t>
        </is>
      </c>
      <c r="B103" s="9" t="inlineStr">
        <is>
          <t>The '!' non-null assertion tells TypeScript 'trust me'. Use it sparingly (e.g. document.getElementById('root')!).</t>
        </is>
      </c>
    </row>
    <row r="104" ht="29.2" customHeight="1">
      <c r="A104" s="58" t="inlineStr">
        <is>
          <t>In ChessLab</t>
        </is>
      </c>
      <c r="B104" s="59" t="inlineStr">
        <is>
          <t>src/api/types.ts mirrors the backend's Pydantic models. If the backend renames a field, update this file and the compiler will show every place that needs changing. Optional upgrade: generate the types from FastAPI's /openapi.json with openapi-typescript.</t>
        </is>
      </c>
    </row>
    <row r="105" ht="16.6" customHeight="1">
      <c r="A105" s="5" t="inlineStr">
        <is>
          <t>Common mistake</t>
        </is>
      </c>
      <c r="B105" s="9" t="inlineStr">
        <is>
          <t>Using 'any' to silence errors: you lose all protection.</t>
        </is>
      </c>
    </row>
    <row r="106" ht="16.6" customHeight="1">
      <c r="A106" s="5" t="inlineStr">
        <is>
          <t>Common mistake</t>
        </is>
      </c>
      <c r="B106" s="9" t="inlineStr">
        <is>
          <t>Assuming fetch throws on 404: it does not. Our api() helper checks res.ok and throws ApiError.</t>
        </is>
      </c>
    </row>
    <row r="107" ht="16.6" customHeight="1">
      <c r="A107" s="5" t="inlineStr">
        <is>
          <t>Common mistake</t>
        </is>
      </c>
      <c r="B107" s="9" t="inlineStr">
        <is>
          <t>Forgetting await, then reading properties of a Promise.</t>
        </is>
      </c>
    </row>
    <row r="108" ht="16.6" customHeight="1">
      <c r="A108" s="7" t="inlineStr">
        <is>
          <t>Check yourself</t>
        </is>
      </c>
      <c r="B108" s="8" t="inlineStr">
        <is>
          <t>What is the difference between 'string | null' and 'string?' in an object type?</t>
        </is>
      </c>
    </row>
    <row r="109" ht="16.6" customHeight="1">
      <c r="A109" s="7" t="inlineStr">
        <is>
          <t>Check yourself</t>
        </is>
      </c>
      <c r="B109" s="8" t="inlineStr">
        <is>
          <t>Why does api&lt;T&gt;() need a generic parameter?</t>
        </is>
      </c>
    </row>
    <row r="110" ht="16.6" customHeight="1">
      <c r="A110" s="7" t="inlineStr">
        <is>
          <t>Check yourself</t>
        </is>
      </c>
      <c r="B110" s="8" t="inlineStr">
        <is>
          <t>What does 'erasableSyntaxOnly' forbid, and how did we rewrite ApiError to satisfy it?</t>
        </is>
      </c>
    </row>
    <row r="111" ht="16.6" customHeight="1">
      <c r="A111" s="5" t="inlineStr">
        <is>
          <t>Resource</t>
        </is>
      </c>
      <c r="B111" s="6" t="inlineStr">
        <is>
          <t>TypeScript Handbook  —  https://www.typescriptlang.org/docs/handbook/intro.html</t>
        </is>
      </c>
    </row>
    <row r="112" ht="16.6" customHeight="1">
      <c r="A112" s="5" t="inlineStr">
        <is>
          <t>Resource</t>
        </is>
      </c>
      <c r="B112" s="6" t="inlineStr">
        <is>
          <t>TypeScript for JavaScript Programmers  —  https://www.typescriptlang.org/docs/handbook/typescript-in-5-minutes.html</t>
        </is>
      </c>
    </row>
    <row r="113" ht="16.6" customHeight="1">
      <c r="A113" s="5" t="inlineStr">
        <is>
          <t>Resource</t>
        </is>
      </c>
      <c r="B113" s="6" t="inlineStr">
        <is>
          <t>MDN: async function  —  https://developer.mozilla.org/en-US/docs/Web/JavaScript/Reference/Statements/async_function</t>
        </is>
      </c>
    </row>
    <row r="115" ht="22" customHeight="1">
      <c r="A115" s="54" t="inlineStr">
        <is>
          <t>L06</t>
        </is>
      </c>
      <c r="B115" s="54" t="inlineStr">
        <is>
          <t>React fundamentals: components, props, state, effects and refs   ·   Beginner   ·   about 150 min   ·   used in P4, P9, P10, P11</t>
        </is>
      </c>
    </row>
    <row r="116">
      <c r="B116" s="55" t="inlineStr">
        <is>
          <t>↑ back to Lessons index</t>
        </is>
      </c>
    </row>
    <row r="117" ht="16.6" customHeight="1">
      <c r="A117" s="56" t="inlineStr">
        <is>
          <t>Why it matters</t>
        </is>
      </c>
      <c r="B117" s="57" t="inlineStr">
        <is>
          <t>React turns 'what the screen should look like for this data' into DOM updates. Every page of ChessLab is a React component.</t>
        </is>
      </c>
    </row>
    <row r="118" ht="29.2" customHeight="1">
      <c r="A118" s="5" t="inlineStr">
        <is>
          <t>Concept 1</t>
        </is>
      </c>
      <c r="B118" s="9" t="inlineStr">
        <is>
          <t>A component is a function that returns JSX (HTML-like syntax): function MoveList({ sans }) { return &lt;table&gt;...&lt;/table&gt;; }. Props are its inputs.</t>
        </is>
      </c>
    </row>
    <row r="119" ht="29.2" customHeight="1">
      <c r="A119" s="5" t="inlineStr">
        <is>
          <t>Concept 2</t>
        </is>
      </c>
      <c r="B119" s="9" t="inlineStr">
        <is>
          <t>State (useState) is data that, when changed, re-renders the component: const [fen, setFen] = useState(START_FEN). Never mutate state directly; call the setter with a new value.</t>
        </is>
      </c>
    </row>
    <row r="120" ht="29.2" customHeight="1">
      <c r="A120" s="5" t="inlineStr">
        <is>
          <t>Concept 3</t>
        </is>
      </c>
      <c r="B120" s="9" t="inlineStr">
        <is>
          <t>Rendering must be pure: given the same props/state, return the same JSX. No fetches, timers or Date.now() during render (that is why PlayPage computes today's date once with useState(() =&gt; ...)).</t>
        </is>
      </c>
    </row>
    <row r="121" ht="29.2" customHeight="1">
      <c r="A121" s="5" t="inlineStr">
        <is>
          <t>Concept 4</t>
        </is>
      </c>
      <c r="B121" s="9" t="inlineStr">
        <is>
          <t>Effects (useEffect) synchronize with the outside world AFTER render: fetch data, start a Web Worker, set a timer. Return a cleanup function to stop it (terminate the worker, clear the timer). The dependency array says when to re-run.</t>
        </is>
      </c>
    </row>
    <row r="122" ht="29.2" customHeight="1">
      <c r="A122" s="5" t="inlineStr">
        <is>
          <t>Concept 5</t>
        </is>
      </c>
      <c r="B122" s="9" t="inlineStr">
        <is>
          <t>Refs (useRef) hold a mutable value that survives re-renders WITHOUT causing one: the chess.js object, the Stockfish worker, a 'current game id'. Read/write refs in effects and event handlers, not during render.</t>
        </is>
      </c>
    </row>
    <row r="123" ht="16.6" customHeight="1">
      <c r="A123" s="5" t="inlineStr">
        <is>
          <t>Concept 6</t>
        </is>
      </c>
      <c r="B123" s="9" t="inlineStr">
        <is>
          <t>Derived values: compute from state instead of storing duplicates (e.g. 'engineToMove' is derived from fen and status).</t>
        </is>
      </c>
    </row>
    <row r="124" ht="29.2" customHeight="1">
      <c r="A124" s="5" t="inlineStr">
        <is>
          <t>Concept 7</t>
        </is>
      </c>
      <c r="B124" s="9" t="inlineStr">
        <is>
          <t>Keys: lists need a stable key per item; giving a component a new key (PracticeSessionView key={sessionId}) creates a fresh instance with fresh state.</t>
        </is>
      </c>
    </row>
    <row r="125" ht="29.2" customHeight="1">
      <c r="A125" s="5" t="inlineStr">
        <is>
          <t>Concept 8</t>
        </is>
      </c>
      <c r="B125" s="9" t="inlineStr">
        <is>
          <t>StrictMode (development only) renders twice and runs effects twice on purpose, to reveal bugs. In ChessLab it revealed a real backend race condition (lesson L30).</t>
        </is>
      </c>
    </row>
    <row r="126" ht="16.6" customHeight="1">
      <c r="A126" s="5" t="inlineStr">
        <is>
          <t>Concept 9</t>
        </is>
      </c>
      <c r="B126" s="9" t="inlineStr">
        <is>
          <t>Custom hooks (useChessGame, usePolling) package reusable stateful logic. Their names must start with 'use'.</t>
        </is>
      </c>
    </row>
    <row r="127" ht="29.2" customHeight="1">
      <c r="A127" s="58" t="inlineStr">
        <is>
          <t>In ChessLab</t>
        </is>
      </c>
      <c r="B127" s="59" t="inlineStr">
        <is>
          <t>useChessGame keeps the mutable chess.js instance in a ref and exposes render-safe state ('view'). PlayPage, ReviewView and PracticePage are components; App.tsx maps URLs to components with React Router.</t>
        </is>
      </c>
    </row>
    <row r="128" ht="16.6" customHeight="1">
      <c r="A128" s="5" t="inlineStr">
        <is>
          <t>Common mistake</t>
        </is>
      </c>
      <c r="B128" s="9" t="inlineStr">
        <is>
          <t>Calling setState in a loop or during render (infinite re-render).</t>
        </is>
      </c>
    </row>
    <row r="129" ht="16.6" customHeight="1">
      <c r="A129" s="5" t="inlineStr">
        <is>
          <t>Common mistake</t>
        </is>
      </c>
      <c r="B129" s="9" t="inlineStr">
        <is>
          <t>Missing cleanup in useEffect (workers and timers keep running after leaving the page).</t>
        </is>
      </c>
    </row>
    <row r="130" ht="16.6" customHeight="1">
      <c r="A130" s="5" t="inlineStr">
        <is>
          <t>Common mistake</t>
        </is>
      </c>
      <c r="B130" s="9" t="inlineStr">
        <is>
          <t>Storing the same information in two state variables that drift apart.</t>
        </is>
      </c>
    </row>
    <row r="131" ht="16.6" customHeight="1">
      <c r="A131" s="5" t="inlineStr">
        <is>
          <t>Common mistake</t>
        </is>
      </c>
      <c r="B131" s="9" t="inlineStr">
        <is>
          <t>Reading ref.current during render and expecting the UI to update.</t>
        </is>
      </c>
    </row>
    <row r="132" ht="16.6" customHeight="1">
      <c r="A132" s="7" t="inlineStr">
        <is>
          <t>Check yourself</t>
        </is>
      </c>
      <c r="B132" s="8" t="inlineStr">
        <is>
          <t>Why is the chess.js object stored in a ref and not in state?</t>
        </is>
      </c>
    </row>
    <row r="133" ht="16.6" customHeight="1">
      <c r="A133" s="7" t="inlineStr">
        <is>
          <t>Check yourself</t>
        </is>
      </c>
      <c r="B133" s="8" t="inlineStr">
        <is>
          <t>What does the cleanup function of the Stockfish effect do and why does it matter?</t>
        </is>
      </c>
    </row>
    <row r="134" ht="16.6" customHeight="1">
      <c r="A134" s="7" t="inlineStr">
        <is>
          <t>Check yourself</t>
        </is>
      </c>
      <c r="B134" s="8" t="inlineStr">
        <is>
          <t>Why does React StrictMode run effects twice in development?</t>
        </is>
      </c>
    </row>
    <row r="135" ht="16.6" customHeight="1">
      <c r="A135" s="5" t="inlineStr">
        <is>
          <t>Resource</t>
        </is>
      </c>
      <c r="B135" s="6" t="inlineStr">
        <is>
          <t>react.dev: Learn React  —  https://react.dev/learn</t>
        </is>
      </c>
    </row>
    <row r="136" ht="16.6" customHeight="1">
      <c r="A136" s="5" t="inlineStr">
        <is>
          <t>Resource</t>
        </is>
      </c>
      <c r="B136" s="6" t="inlineStr">
        <is>
          <t>react.dev: Synchronizing with Effects  —  https://react.dev/learn/synchronizing-with-effects</t>
        </is>
      </c>
    </row>
    <row r="137" ht="16.6" customHeight="1">
      <c r="A137" s="5" t="inlineStr">
        <is>
          <t>Resource</t>
        </is>
      </c>
      <c r="B137" s="6" t="inlineStr">
        <is>
          <t>react.dev: Referencing values with Refs  —  https://react.dev/learn/referencing-values-with-refs</t>
        </is>
      </c>
    </row>
    <row r="138" ht="16.6" customHeight="1">
      <c r="A138" s="5" t="inlineStr">
        <is>
          <t>Resource</t>
        </is>
      </c>
      <c r="B138" s="6" t="inlineStr">
        <is>
          <t>react.dev: You Might Not Need an Effect  —  https://react.dev/learn/you-might-not-need-an-effect</t>
        </is>
      </c>
    </row>
    <row r="139" ht="16.6" customHeight="1">
      <c r="A139" s="5" t="inlineStr">
        <is>
          <t>Resource</t>
        </is>
      </c>
      <c r="B139" s="6" t="inlineStr">
        <is>
          <t>React Router v6 tutorial  —  https://reactrouter.com/6.30.0/start/tutorial</t>
        </is>
      </c>
    </row>
    <row r="141" ht="22" customHeight="1">
      <c r="A141" s="54" t="inlineStr">
        <is>
          <t>L07</t>
        </is>
      </c>
      <c r="B141" s="54" t="inlineStr">
        <is>
          <t>Vite, dev servers and production builds   ·   Beginner   ·   about 30 min   ·   used in P2, P4, P5</t>
        </is>
      </c>
    </row>
    <row r="142">
      <c r="B142" s="55" t="inlineStr">
        <is>
          <t>↑ back to Lessons index</t>
        </is>
      </c>
    </row>
    <row r="143" ht="29.2" customHeight="1">
      <c r="A143" s="56" t="inlineStr">
        <is>
          <t>Why it matters</t>
        </is>
      </c>
      <c r="B143" s="57" t="inlineStr">
        <is>
          <t>You need to know what runs on your laptop during development versus what is deployed, and why environment variables in the frontend are public.</t>
        </is>
      </c>
    </row>
    <row r="144" ht="16.6" customHeight="1">
      <c r="A144" s="5" t="inlineStr">
        <is>
          <t>Concept 1</t>
        </is>
      </c>
      <c r="B144" s="9" t="inlineStr">
        <is>
          <t>'npm run dev' starts Vite's development server with hot reload: save a file and the page updates instantly.</t>
        </is>
      </c>
    </row>
    <row r="145" ht="29.2" customHeight="1">
      <c r="A145" s="5" t="inlineStr">
        <is>
          <t>Concept 2</t>
        </is>
      </c>
      <c r="B145" s="9" t="inlineStr">
        <is>
          <t>'npm run build' type-checks (tsc -b) and produces static files in dist/ (index.html, JS and CSS bundles with hashed names). Vercel serves these files; there is no Node server in production.</t>
        </is>
      </c>
    </row>
    <row r="146" ht="29.2" customHeight="1">
      <c r="A146" s="5" t="inlineStr">
        <is>
          <t>Concept 3</t>
        </is>
      </c>
      <c r="B146" s="9" t="inlineStr">
        <is>
          <t>public/ files are copied as-is to the site root: public/stockfish/x.js is served at /stockfish/x.js. Large binary assets like .wasm belong there.</t>
        </is>
      </c>
    </row>
    <row r="147" ht="29.2" customHeight="1">
      <c r="A147" s="5" t="inlineStr">
        <is>
          <t>Concept 4</t>
        </is>
      </c>
      <c r="B147" s="9" t="inlineStr">
        <is>
          <t>Environment variables: only variables starting with VITE_ are exposed to frontend code via import.meta.env.VITE_API_BASE_URL, and they are BAKED INTO the bundle at build time. Changing one in Vercel requires a rebuild. Never put a secret in a VITE_ variable.</t>
        </is>
      </c>
    </row>
    <row r="148" ht="29.2" customHeight="1">
      <c r="A148" s="5" t="inlineStr">
        <is>
          <t>Concept 5</t>
        </is>
      </c>
      <c r="B148" s="9" t="inlineStr">
        <is>
          <t>Client-side routing: the server has only index.html; React Router reads the URL in the browser. A direct visit to /review/123 must still return index.html, which is what the SPA rewrite in vercel.json does.</t>
        </is>
      </c>
    </row>
    <row r="149" ht="29.2" customHeight="1">
      <c r="A149" s="58" t="inlineStr">
        <is>
          <t>In ChessLab</t>
        </is>
      </c>
      <c r="B149" s="59" t="inlineStr">
        <is>
          <t>vite.config.ts fixes the dev port at 5180 (5173 is used by another project on this machine). apps/web/.env.local holds VITE_API_BASE_URL=http://localhost:8010 for development; Vercel holds the production value.</t>
        </is>
      </c>
    </row>
    <row r="150" ht="16.6" customHeight="1">
      <c r="A150" s="5" t="inlineStr">
        <is>
          <t>Common mistake</t>
        </is>
      </c>
      <c r="B150" s="9" t="inlineStr">
        <is>
          <t>Expecting process.env in browser code (Vite uses import.meta.env).</t>
        </is>
      </c>
    </row>
    <row r="151" ht="16.6" customHeight="1">
      <c r="A151" s="5" t="inlineStr">
        <is>
          <t>Common mistake</t>
        </is>
      </c>
      <c r="B151" s="9" t="inlineStr">
        <is>
          <t>Forgetting the SPA rewrite: deep links return 404 in production.</t>
        </is>
      </c>
    </row>
    <row r="152" ht="16.6" customHeight="1">
      <c r="A152" s="5" t="inlineStr">
        <is>
          <t>Common mistake</t>
        </is>
      </c>
      <c r="B152" s="9" t="inlineStr">
        <is>
          <t>Putting an API key in VITE_ANTHROPIC_KEY.</t>
        </is>
      </c>
    </row>
    <row r="153" ht="16.6" customHeight="1">
      <c r="A153" s="7" t="inlineStr">
        <is>
          <t>Check yourself</t>
        </is>
      </c>
      <c r="B153" s="8" t="inlineStr">
        <is>
          <t>What is inside dist/ after a build?</t>
        </is>
      </c>
    </row>
    <row r="154" ht="16.6" customHeight="1">
      <c r="A154" s="7" t="inlineStr">
        <is>
          <t>Check yourself</t>
        </is>
      </c>
      <c r="B154" s="8" t="inlineStr">
        <is>
          <t>Why must you redeploy the frontend after changing VITE_API_BASE_URL?</t>
        </is>
      </c>
    </row>
    <row r="155" ht="16.6" customHeight="1">
      <c r="A155" s="7" t="inlineStr">
        <is>
          <t>Check yourself</t>
        </is>
      </c>
      <c r="B155" s="8" t="inlineStr">
        <is>
          <t>What would happen without the rewrite rule in vercel.json?</t>
        </is>
      </c>
    </row>
    <row r="156" ht="16.6" customHeight="1">
      <c r="A156" s="5" t="inlineStr">
        <is>
          <t>Resource</t>
        </is>
      </c>
      <c r="B156" s="6" t="inlineStr">
        <is>
          <t>Vite Guide  —  https://vite.dev/guide/</t>
        </is>
      </c>
    </row>
    <row r="157" ht="16.6" customHeight="1">
      <c r="A157" s="5" t="inlineStr">
        <is>
          <t>Resource</t>
        </is>
      </c>
      <c r="B157" s="6" t="inlineStr">
        <is>
          <t>Vite: Env Variables and Modes  —  https://vite.dev/guide/env-and-mode</t>
        </is>
      </c>
    </row>
    <row r="158" ht="16.6" customHeight="1">
      <c r="A158" s="5" t="inlineStr">
        <is>
          <t>Resource</t>
        </is>
      </c>
      <c r="B158" s="6" t="inlineStr">
        <is>
          <t>Vercel: Vite on Vercel  —  https://vercel.com/docs/frameworks/frontend/vite</t>
        </is>
      </c>
    </row>
    <row r="160" ht="22" customHeight="1">
      <c r="A160" s="54" t="inlineStr">
        <is>
          <t>L08</t>
        </is>
      </c>
      <c r="B160" s="54" t="inlineStr">
        <is>
          <t>Web Workers: keeping the page responsive while an engine thinks   ·   Intermediate   ·   about 40 min   ·   used in P4</t>
        </is>
      </c>
    </row>
    <row r="161">
      <c r="B161" s="55" t="inlineStr">
        <is>
          <t>↑ back to Lessons index</t>
        </is>
      </c>
    </row>
    <row r="162" ht="29.2" customHeight="1">
      <c r="A162" s="56" t="inlineStr">
        <is>
          <t>Why it matters</t>
        </is>
      </c>
      <c r="B162" s="57" t="inlineStr">
        <is>
          <t>JavaScript in a page runs on one main thread. A chess search that takes 2 seconds on that thread freezes clicks, animations and scrolling. Workers run code on another thread.</t>
        </is>
      </c>
    </row>
    <row r="163" ht="29.2" customHeight="1">
      <c r="A163" s="5" t="inlineStr">
        <is>
          <t>Concept 1</t>
        </is>
      </c>
      <c r="B163" s="9" t="inlineStr">
        <is>
          <t>new Worker(url) starts a script in a separate thread with no access to the DOM. You communicate with postMessage(data) and onmessage events.</t>
        </is>
      </c>
    </row>
    <row r="164" ht="29.2" customHeight="1">
      <c r="A164" s="5" t="inlineStr">
        <is>
          <t>Concept 2</t>
        </is>
      </c>
      <c r="B164" s="9" t="inlineStr">
        <is>
          <t>Stockfish.js is Stockfish compiled to WebAssembly (wasm). It runs as a worker and speaks the text UCI protocol: you postMessage('go movetime 500'); it posts back lines such as 'bestmove e2e4'.</t>
        </is>
      </c>
    </row>
    <row r="165" ht="29.2" customHeight="1">
      <c r="A165" s="5" t="inlineStr">
        <is>
          <t>Concept 3</t>
        </is>
      </c>
      <c r="B165" s="9" t="inlineStr">
        <is>
          <t>The 'lite-single' build is small and single-threaded. Multi-threaded builds need SharedArrayBuffer, which requires special cross-origin isolation headers (COOP/COEP); avoid them for now.</t>
        </is>
      </c>
    </row>
    <row r="166" ht="29.2" customHeight="1">
      <c r="A166" s="5" t="inlineStr">
        <is>
          <t>Concept 4</t>
        </is>
      </c>
      <c r="B166" s="9" t="inlineStr">
        <is>
          <t>Classic vs module workers: a classic worker can call importScripts('a.js', 'b.js') to load old-style scripts. Our legacy engine uses a classic worker because the original chess.js is an old global-variable script.</t>
        </is>
      </c>
    </row>
    <row r="167" ht="29.2" customHeight="1">
      <c r="A167" s="5" t="inlineStr">
        <is>
          <t>Concept 5</t>
        </is>
      </c>
      <c r="B167" s="9" t="inlineStr">
        <is>
          <t>Always guard against stale results: if the user restarts while the engine thinks, ignore the late answer (we compare a game id stored in a ref).</t>
        </is>
      </c>
    </row>
    <row r="168" ht="16.6" customHeight="1">
      <c r="A168" s="5" t="inlineStr">
        <is>
          <t>Concept 6</t>
        </is>
      </c>
      <c r="B168" s="9" t="inlineStr">
        <is>
          <t>Terminate workers you no longer need (on unmount) or they keep consuming memory and CPU.</t>
        </is>
      </c>
    </row>
    <row r="169" ht="29.2" customHeight="1">
      <c r="A169" s="58" t="inlineStr">
        <is>
          <t>In ChessLab</t>
        </is>
      </c>
      <c r="B169" s="59" t="inlineStr">
        <is>
          <t>src/engine/stockfish.ts wraps the worker in a small class with waitFor('bestmove'). public/legacy-engine/legacy-worker.js runs your original minimax engine unchanged. Playwright tests prove both engines answer in a real browser.</t>
        </is>
      </c>
    </row>
    <row r="170" ht="16.6" customHeight="1">
      <c r="A170" s="5" t="inlineStr">
        <is>
          <t>Common mistake</t>
        </is>
      </c>
      <c r="B170" s="9" t="inlineStr">
        <is>
          <t>Running the legacy minimax on the main thread (the UI freezes for seconds at depth 3).</t>
        </is>
      </c>
    </row>
    <row r="171" ht="16.6" customHeight="1">
      <c r="A171" s="5" t="inlineStr">
        <is>
          <t>Common mistake</t>
        </is>
      </c>
      <c r="B171" s="9" t="inlineStr">
        <is>
          <t>Not setting a timeout: if the worker never answers, the UI waits forever.</t>
        </is>
      </c>
    </row>
    <row r="172" ht="16.6" customHeight="1">
      <c r="A172" s="5" t="inlineStr">
        <is>
          <t>Common mistake</t>
        </is>
      </c>
      <c r="B172" s="9" t="inlineStr">
        <is>
          <t>Renaming the stockfish .js file but not the .wasm file it loads.</t>
        </is>
      </c>
    </row>
    <row r="173" ht="16.6" customHeight="1">
      <c r="A173" s="7" t="inlineStr">
        <is>
          <t>Check yourself</t>
        </is>
      </c>
      <c r="B173" s="8" t="inlineStr">
        <is>
          <t>Why can't a worker change the board directly?</t>
        </is>
      </c>
    </row>
    <row r="174" ht="16.6" customHeight="1">
      <c r="A174" s="7" t="inlineStr">
        <is>
          <t>Check yourself</t>
        </is>
      </c>
      <c r="B174" s="8" t="inlineStr">
        <is>
          <t>What problem do the 'gameIdRef' checks solve?</t>
        </is>
      </c>
    </row>
    <row r="175" ht="16.6" customHeight="1">
      <c r="A175" s="7" t="inlineStr">
        <is>
          <t>Check yourself</t>
        </is>
      </c>
      <c r="B175" s="8" t="inlineStr">
        <is>
          <t>Why did we choose the lite-single Stockfish build?</t>
        </is>
      </c>
    </row>
    <row r="176" ht="16.6" customHeight="1">
      <c r="A176" s="5" t="inlineStr">
        <is>
          <t>Resource</t>
        </is>
      </c>
      <c r="B176" s="6" t="inlineStr">
        <is>
          <t>MDN: Using Web Workers  —  https://developer.mozilla.org/en-US/docs/Web/API/Web_Workers_API/Using_web_workers</t>
        </is>
      </c>
    </row>
    <row r="177" ht="16.6" customHeight="1">
      <c r="A177" s="5" t="inlineStr">
        <is>
          <t>Resource</t>
        </is>
      </c>
      <c r="B177" s="6" t="inlineStr">
        <is>
          <t>stockfish.js (WASM build) on GitHub  —  https://github.com/nmrugg/stockfish.js</t>
        </is>
      </c>
    </row>
    <row r="178" ht="16.6" customHeight="1">
      <c r="A178" s="5" t="inlineStr">
        <is>
          <t>Resource</t>
        </is>
      </c>
      <c r="B178" s="6" t="inlineStr">
        <is>
          <t>MDN: WebAssembly concepts  —  https://developer.mozilla.org/en-US/docs/WebAssembly/Concepts</t>
        </is>
      </c>
    </row>
    <row r="180" ht="22" customHeight="1">
      <c r="A180" s="54" t="inlineStr">
        <is>
          <t>L09</t>
        </is>
      </c>
      <c r="B180" s="54" t="inlineStr">
        <is>
          <t>Chess notation for programmers: FEN, PGN, SAN and UCI   ·   Beginner   ·   about 45 min   ·   used in P4, P6, P8, P10</t>
        </is>
      </c>
    </row>
    <row r="181">
      <c r="B181" s="55" t="inlineStr">
        <is>
          <t>↑ back to Lessons index</t>
        </is>
      </c>
    </row>
    <row r="182" ht="16.6" customHeight="1">
      <c r="A182" s="56" t="inlineStr">
        <is>
          <t>Why it matters</t>
        </is>
      </c>
      <c r="B182" s="57" t="inlineStr">
        <is>
          <t>Every component passes chess data around. Using the wrong format (or losing move history) is a classic source of subtle bugs.</t>
        </is>
      </c>
    </row>
    <row r="183" ht="29.2" customHeight="1">
      <c r="A183" s="5" t="inlineStr">
        <is>
          <t>Concept 1</t>
        </is>
      </c>
      <c r="B183" s="9" t="inlineStr">
        <is>
          <t>FEN describes ONE position: piece placement, side to move, castling rights, en-passant square, halfmove clock (50-move rule) and move number. Example start: rnbqkbnr/pppppppp/8/8/8/8/PPPPPPPP/RNBQKBNR w KQkq - 0 1.</t>
        </is>
      </c>
    </row>
    <row r="184" ht="29.2" customHeight="1">
      <c r="A184" s="5" t="inlineStr">
        <is>
          <t>Concept 2</t>
        </is>
      </c>
      <c r="B184" s="9" t="inlineStr">
        <is>
          <t>FEN does NOT contain history, so it cannot tell whether a position has repeated (threefold repetition). Store the move list too, and give engines 'position fen &lt;start&gt; moves &lt;m1&gt; &lt;m2&gt;...'.</t>
        </is>
      </c>
    </row>
    <row r="185" ht="29.2" customHeight="1">
      <c r="A185" s="5" t="inlineStr">
        <is>
          <t>Concept 3</t>
        </is>
      </c>
      <c r="B185" s="9" t="inlineStr">
        <is>
          <t>SAN (Standard Algebraic Notation) is what humans read: e4, Nf3, Bxe5+, O-O, e8=Q#. It depends on the position (Nbd2 vs Nfd2) so you need a board to produce it.</t>
        </is>
      </c>
    </row>
    <row r="186" ht="29.2" customHeight="1">
      <c r="A186" s="5" t="inlineStr">
        <is>
          <t>Concept 4</t>
        </is>
      </c>
      <c r="B186" s="9" t="inlineStr">
        <is>
          <t>UCI move notation is what engines and APIs use: from-square + to-square (+ promotion letter): e2e4, g1f3, e7e8q. Castling is the king's move (e1g1). It is unambiguous without a board.</t>
        </is>
      </c>
    </row>
    <row r="187" ht="29.2" customHeight="1">
      <c r="A187" s="5" t="inlineStr">
        <is>
          <t>Concept 5</t>
        </is>
      </c>
      <c r="B187" s="9" t="inlineStr">
        <is>
          <t>PGN is a text file of one or more games: [Tag "value"] headers followed by SAN moves and a result (1-0, 0-1, 1/2-1/2, *). A [FEN] + [SetUp "1"] header means the game started from a custom position.</t>
        </is>
      </c>
    </row>
    <row r="188" ht="16.6" customHeight="1">
      <c r="A188" s="5" t="inlineStr">
        <is>
          <t>Concept 6</t>
        </is>
      </c>
      <c r="B188" s="9" t="inlineStr">
        <is>
          <t>Plies vs moves: a ply is one player's move. Move 18 for White is ply 34 (0-based). ChessLab stores ply numbers and converts for display.</t>
        </is>
      </c>
    </row>
    <row r="189" ht="29.2" customHeight="1">
      <c r="A189" s="58" t="inlineStr">
        <is>
          <t>In ChessLab</t>
        </is>
      </c>
      <c r="B189" s="59" t="inlineStr">
        <is>
          <t>The browser builds a PGN with buildPgn(); the backend re-parses it with python-chess and stores PGN + initial FEN. Evidence stores fen_before plus SAN and UCI versions of every move. Puzzles store UCI solutions.</t>
        </is>
      </c>
    </row>
    <row r="190" ht="16.6" customHeight="1">
      <c r="A190" s="5" t="inlineStr">
        <is>
          <t>Common mistake</t>
        </is>
      </c>
      <c r="B190" s="9" t="inlineStr">
        <is>
          <t>Caching engine analysis by FEN alone (ignores repetition).</t>
        </is>
      </c>
    </row>
    <row r="191" ht="16.6" customHeight="1">
      <c r="A191" s="5" t="inlineStr">
        <is>
          <t>Common mistake</t>
        </is>
      </c>
      <c r="B191" s="9" t="inlineStr">
        <is>
          <t>Comparing a SAN string with a UCI string ('Nf3' vs 'g1f3').</t>
        </is>
      </c>
    </row>
    <row r="192" ht="16.6" customHeight="1">
      <c r="A192" s="5" t="inlineStr">
        <is>
          <t>Common mistake</t>
        </is>
      </c>
      <c r="B192" s="9" t="inlineStr">
        <is>
          <t>Forgetting the promotion letter in UCI (e7e8 is ambiguous; e7e8q is not).</t>
        </is>
      </c>
    </row>
    <row r="193" ht="16.6" customHeight="1">
      <c r="A193" s="7" t="inlineStr">
        <is>
          <t>Check yourself</t>
        </is>
      </c>
      <c r="B193" s="8" t="inlineStr">
        <is>
          <t>Which notation would you send to Stockfish and why?</t>
        </is>
      </c>
    </row>
    <row r="194" ht="16.6" customHeight="1">
      <c r="A194" s="7" t="inlineStr">
        <is>
          <t>Check yourself</t>
        </is>
      </c>
      <c r="B194" s="8" t="inlineStr">
        <is>
          <t>What information is missing from a FEN?</t>
        </is>
      </c>
    </row>
    <row r="195" ht="16.6" customHeight="1">
      <c r="A195" s="7" t="inlineStr">
        <is>
          <t>Check yourself</t>
        </is>
      </c>
      <c r="B195" s="8" t="inlineStr">
        <is>
          <t>Convert ply 0 and ply 35 into human move labels.</t>
        </is>
      </c>
    </row>
    <row r="196" ht="16.6" customHeight="1">
      <c r="A196" s="5" t="inlineStr">
        <is>
          <t>Resource</t>
        </is>
      </c>
      <c r="B196" s="6" t="inlineStr">
        <is>
          <t>Chess Programming Wiki: FEN  —  https://www.chessprogramming.org/Forsyth-Edwards_Notation</t>
        </is>
      </c>
    </row>
    <row r="197" ht="16.6" customHeight="1">
      <c r="A197" s="5" t="inlineStr">
        <is>
          <t>Resource</t>
        </is>
      </c>
      <c r="B197" s="6" t="inlineStr">
        <is>
          <t>PGN specification (archive)  —  https://www.saremba.de/chessgml/standards/pgn/pgn-complete.htm</t>
        </is>
      </c>
    </row>
    <row r="198" ht="16.6" customHeight="1">
      <c r="A198" s="5" t="inlineStr">
        <is>
          <t>Resource</t>
        </is>
      </c>
      <c r="B198" s="6" t="inlineStr">
        <is>
          <t>Chess Programming Wiki: Algebraic Chess Notation  —  https://www.chessprogramming.org/Algebraic_Chess_Notation</t>
        </is>
      </c>
    </row>
    <row r="200" ht="22" customHeight="1">
      <c r="A200" s="54" t="inlineStr">
        <is>
          <t>L10</t>
        </is>
      </c>
      <c r="B200" s="54" t="inlineStr">
        <is>
          <t>How chess engines work: minimax, alpha-beta, evaluation, and Stockfish over UCI   ·   Intermediate   ·   about 90 min   ·   used in P1, P4, P8, S4</t>
        </is>
      </c>
    </row>
    <row r="201">
      <c r="B201" s="55" t="inlineStr">
        <is>
          <t>↑ back to Lessons index</t>
        </is>
      </c>
    </row>
    <row r="202" ht="29.2" customHeight="1">
      <c r="A202" s="56" t="inlineStr">
        <is>
          <t>Why it matters</t>
        </is>
      </c>
      <c r="B202" s="57" t="inlineStr">
        <is>
          <t>Your original project IS a chess engine. Understanding why it is weak, and what Stockfish does differently, is a great interview story and explains every engine setting in ChessLab.</t>
        </is>
      </c>
    </row>
    <row r="203" ht="29.2" customHeight="1">
      <c r="A203" s="5" t="inlineStr">
        <is>
          <t>Concept 1</t>
        </is>
      </c>
      <c r="B203" s="9" t="inlineStr">
        <is>
          <t>Game tree: from a position, each legal move leads to a new position; the tree grows ~30x per ply. Depth 3 = about 27,000 positions; depth 6 = about 700 million.</t>
        </is>
      </c>
    </row>
    <row r="204" ht="29.2" customHeight="1">
      <c r="A204" s="5" t="inlineStr">
        <is>
          <t>Concept 2</t>
        </is>
      </c>
      <c r="B204" s="9" t="inlineStr">
        <is>
          <t>Minimax: assume both sides play their best. At our turn take the maximum score of the children; at the opponent's turn take the minimum. Leaves are scored by an evaluation function.</t>
        </is>
      </c>
    </row>
    <row r="205" ht="29.2" customHeight="1">
      <c r="A205" s="5" t="inlineStr">
        <is>
          <t>Concept 3</t>
        </is>
      </c>
      <c r="B205" s="9" t="inlineStr">
        <is>
          <t>Alpha-beta pruning skips branches that cannot change the result. With good move ordering it searches roughly the square root of the tree, which is why move ordering matters so much.</t>
        </is>
      </c>
    </row>
    <row r="206" ht="41.8" customHeight="1">
      <c r="A206" s="5" t="inlineStr">
        <is>
          <t>Concept 4</t>
        </is>
      </c>
      <c r="B206" s="9" t="inlineStr">
        <is>
          <t>Evaluation: your engine uses material weights plus piece-square tables (bonus for good squares), updated incrementally. Stockfish uses a neural network evaluation (NNUE) trained on huge datasets, plus decades of search refinements: iterative deepening, transposition tables, quiescence search, null-move and late-move reductions.</t>
        </is>
      </c>
    </row>
    <row r="207" ht="29.2" customHeight="1">
      <c r="A207" s="5" t="inlineStr">
        <is>
          <t>Concept 5</t>
        </is>
      </c>
      <c r="B207" s="9" t="inlineStr">
        <is>
          <t>The horizon effect: a fixed-depth search stops in the middle of an exchange and misjudges it. Quiescence search (keep searching captures) fixes this. Your engine has none, which is a concrete weakness to explain.</t>
        </is>
      </c>
    </row>
    <row r="208" ht="29.2" customHeight="1">
      <c r="A208" s="5" t="inlineStr">
        <is>
          <t>Concept 6</t>
        </is>
      </c>
      <c r="B208" s="9" t="inlineStr">
        <is>
          <t>UCI protocol: a text conversation. You send 'uci' (engine answers uciok), 'isready' (readyok), 'ucinewgame', 'position fen &lt;fen&gt; moves &lt;...&gt;', 'go movetime 500' or 'go depth 14'; the engine streams 'info ... score cp 34 pv e2e4 e7e5 ...' lines and ends with 'bestmove e2e4'.</t>
        </is>
      </c>
    </row>
    <row r="209" ht="29.2" customHeight="1">
      <c r="A209" s="5" t="inlineStr">
        <is>
          <t>Concept 7</t>
        </is>
      </c>
      <c r="B209" s="9" t="inlineStr">
        <is>
          <t>Strength controls: 'setoption name Skill Level value 0..20' weakens Stockfish; shorter movetime also weakens it. These are not calibrated Elo numbers unless you measure them.</t>
        </is>
      </c>
    </row>
    <row r="210" ht="29.2" customHeight="1">
      <c r="A210" s="58" t="inlineStr">
        <is>
          <t>In ChessLab</t>
        </is>
      </c>
      <c r="B210" s="59" t="inlineStr">
        <is>
          <t>Phase 1 extracts your minimax/alpha-beta into a worker and keeps it as 'My original engine'. Stockfish WASM plays in the browser; native Stockfish (Debian package) analyses on the server via python-chess. Stretch S4 compares both engines fairly.</t>
        </is>
      </c>
    </row>
    <row r="211" ht="16.6" customHeight="1">
      <c r="A211" s="5" t="inlineStr">
        <is>
          <t>Common mistake</t>
        </is>
      </c>
      <c r="B211" s="9" t="inlineStr">
        <is>
          <t>Claiming 'Elo 1500' for a Skill Level without measuring it.</t>
        </is>
      </c>
    </row>
    <row r="212" ht="16.6" customHeight="1">
      <c r="A212" s="5" t="inlineStr">
        <is>
          <t>Common mistake</t>
        </is>
      </c>
      <c r="B212" s="9" t="inlineStr">
        <is>
          <t>Comparing node counts between engines as if they were equal work.</t>
        </is>
      </c>
    </row>
    <row r="213" ht="16.6" customHeight="1">
      <c r="A213" s="5" t="inlineStr">
        <is>
          <t>Common mistake</t>
        </is>
      </c>
      <c r="B213" s="9" t="inlineStr">
        <is>
          <t>Believing a deeper search is always 'proof'. It is strong evidence within a budget.</t>
        </is>
      </c>
    </row>
    <row r="214" ht="16.6" customHeight="1">
      <c r="A214" s="7" t="inlineStr">
        <is>
          <t>Check yourself</t>
        </is>
      </c>
      <c r="B214" s="8" t="inlineStr">
        <is>
          <t>Why does alpha-beta not change the result of minimax?</t>
        </is>
      </c>
    </row>
    <row r="215" ht="16.6" customHeight="1">
      <c r="A215" s="7" t="inlineStr">
        <is>
          <t>Check yourself</t>
        </is>
      </c>
      <c r="B215" s="8" t="inlineStr">
        <is>
          <t>What is the horizon effect and which search technique fixes it?</t>
        </is>
      </c>
    </row>
    <row r="216" ht="16.6" customHeight="1">
      <c r="A216" s="7" t="inlineStr">
        <is>
          <t>Check yourself</t>
        </is>
      </c>
      <c r="B216" s="8" t="inlineStr">
        <is>
          <t>Write the UCI commands to ask for a 1-second search from the start position after 1.e4.</t>
        </is>
      </c>
    </row>
    <row r="217" ht="16.6" customHeight="1">
      <c r="A217" s="5" t="inlineStr">
        <is>
          <t>Resource</t>
        </is>
      </c>
      <c r="B217" s="6" t="inlineStr">
        <is>
          <t>Chess Programming Wiki: Minimax  —  https://www.chessprogramming.org/Minimax</t>
        </is>
      </c>
    </row>
    <row r="218" ht="16.6" customHeight="1">
      <c r="A218" s="5" t="inlineStr">
        <is>
          <t>Resource</t>
        </is>
      </c>
      <c r="B218" s="6" t="inlineStr">
        <is>
          <t>Chess Programming Wiki: Alpha-Beta  —  https://www.chessprogramming.org/Alpha-Beta</t>
        </is>
      </c>
    </row>
    <row r="219" ht="16.6" customHeight="1">
      <c r="A219" s="5" t="inlineStr">
        <is>
          <t>Resource</t>
        </is>
      </c>
      <c r="B219" s="6" t="inlineStr">
        <is>
          <t>Chess Programming Wiki: Quiescence Search  —  https://www.chessprogramming.org/Quiescence_Search</t>
        </is>
      </c>
    </row>
    <row r="220" ht="16.6" customHeight="1">
      <c r="A220" s="5" t="inlineStr">
        <is>
          <t>Resource</t>
        </is>
      </c>
      <c r="B220" s="6" t="inlineStr">
        <is>
          <t>UCI protocol description  —  https://backscattering.de/chess/uci/</t>
        </is>
      </c>
    </row>
    <row r="221" ht="16.6" customHeight="1">
      <c r="A221" s="5" t="inlineStr">
        <is>
          <t>Resource</t>
        </is>
      </c>
      <c r="B221" s="6" t="inlineStr">
        <is>
          <t>Stockfish documentation  —  https://official-stockfish.github.io/docs/stockfish-wiki/Home.html</t>
        </is>
      </c>
    </row>
    <row r="222" ht="16.6" customHeight="1">
      <c r="A222" s="5" t="inlineStr">
        <is>
          <t>Resource</t>
        </is>
      </c>
      <c r="B222" s="6" t="inlineStr">
        <is>
          <t>Sunfish (source of your piece-square tables)  —  https://github.com/thomasahle/sunfish</t>
        </is>
      </c>
    </row>
    <row r="224" ht="22" customHeight="1">
      <c r="A224" s="54" t="inlineStr">
        <is>
          <t>L11</t>
        </is>
      </c>
      <c r="B224" s="54" t="inlineStr">
        <is>
          <t>Python projects: virtual environments, packages, modules and imports (with uv)   ·   Beginner   ·   about 60 min   ·   used in P2, P3</t>
        </is>
      </c>
    </row>
    <row r="225">
      <c r="B225" s="55" t="inlineStr">
        <is>
          <t>↑ back to Lessons index</t>
        </is>
      </c>
    </row>
    <row r="226" ht="16.6" customHeight="1">
      <c r="A226" s="56" t="inlineStr">
        <is>
          <t>Why it matters</t>
        </is>
      </c>
      <c r="B226" s="57" t="inlineStr">
        <is>
          <t>Most 'it works on my machine' Python problems are environment or import problems. A clean layout prevents them.</t>
        </is>
      </c>
    </row>
    <row r="227" ht="29.2" customHeight="1">
      <c r="A227" s="5" t="inlineStr">
        <is>
          <t>Concept 1</t>
        </is>
      </c>
      <c r="B227" s="9" t="inlineStr">
        <is>
          <t>A virtual environment (.venv) is a private copy of Python with its own installed packages, so projects don't conflict. uv creates and manages it for you.</t>
        </is>
      </c>
    </row>
    <row r="228" ht="29.2" customHeight="1">
      <c r="A228" s="5" t="inlineStr">
        <is>
          <t>Concept 2</t>
        </is>
      </c>
      <c r="B228" s="9" t="inlineStr">
        <is>
          <t>A module is a .py file; a package is a folder of modules. 'from app.analysis.forks import knight_fork_candidates' means folder app/, subfolder analysis/, file forks.py. Python resolves this relative to the folders in sys.path, which includes the folder you run from.</t>
        </is>
      </c>
    </row>
    <row r="229" ht="29.2" customHeight="1">
      <c r="A229" s="5" t="inlineStr">
        <is>
          <t>Concept 3</t>
        </is>
      </c>
      <c r="B229" s="9" t="inlineStr">
        <is>
          <t>Run the API from services/backend (uv run uvicorn app.main:app) so that 'app' is importable. pytest finds it because pyproject.toml sets pythonpath = ['.'].</t>
        </is>
      </c>
    </row>
    <row r="230" ht="16.6" customHeight="1">
      <c r="A230" s="5" t="inlineStr">
        <is>
          <t>Concept 4</t>
        </is>
      </c>
      <c r="B230" s="9" t="inlineStr">
        <is>
          <t>'python -m app.worker' runs a module as a script, using the package import system (the right way to start the worker).</t>
        </is>
      </c>
    </row>
    <row r="231" ht="16.6" customHeight="1">
      <c r="A231" s="5" t="inlineStr">
        <is>
          <t>Concept 5</t>
        </is>
      </c>
      <c r="B231" s="9" t="inlineStr">
        <is>
          <t>Type hints (def f(x: int) -&gt; str) are not enforced at runtime, but editors, Pydantic and SQLAlchemy use them heavily.</t>
        </is>
      </c>
    </row>
    <row r="232" ht="29.2" customHeight="1">
      <c r="A232" s="5" t="inlineStr">
        <is>
          <t>Concept 6</t>
        </is>
      </c>
      <c r="B232" s="9" t="inlineStr">
        <is>
          <t>Use Python 3.12 or 3.13 for this project (well-supported wheels). Your machine has 3.14; uv can install and pin another version: 'uv python install 3.12' and 'uv init --python 3.12'.</t>
        </is>
      </c>
    </row>
    <row r="233" ht="29.2" customHeight="1">
      <c r="A233" s="5" t="inlineStr">
        <is>
          <t>Concept 7</t>
        </is>
      </c>
      <c r="B233" s="9" t="inlineStr">
        <is>
          <t>dataclasses (@dataclass) are lightweight classes for plain data (ForkCandidate, MoveEval). Pydantic models are for validated input/output at the API boundary.</t>
        </is>
      </c>
    </row>
    <row r="234" ht="29.2" customHeight="1">
      <c r="A234" s="58" t="inlineStr">
        <is>
          <t>In ChessLab</t>
        </is>
      </c>
      <c r="B234" s="59" t="inlineStr">
        <is>
          <t>services/backend is a uv project. Pure logic (analysis/, explain/, learning/, practice/grading.py) has no database or web imports, which is why it can be unit-tested in milliseconds.</t>
        </is>
      </c>
    </row>
    <row r="235" ht="16.6" customHeight="1">
      <c r="A235" s="5" t="inlineStr">
        <is>
          <t>Common mistake</t>
        </is>
      </c>
      <c r="B235" s="9" t="inlineStr">
        <is>
          <t>Running 'pip install' into the global Python.</t>
        </is>
      </c>
    </row>
    <row r="236" ht="16.6" customHeight="1">
      <c r="A236" s="5" t="inlineStr">
        <is>
          <t>Common mistake</t>
        </is>
      </c>
      <c r="B236" s="9" t="inlineStr">
        <is>
          <t>Running scripts from the wrong folder and getting ModuleNotFoundError: No module named 'app'.</t>
        </is>
      </c>
    </row>
    <row r="237" ht="16.6" customHeight="1">
      <c r="A237" s="5" t="inlineStr">
        <is>
          <t>Common mistake</t>
        </is>
      </c>
      <c r="B237" s="9" t="inlineStr">
        <is>
          <t>Circular imports (two modules importing each other at top level).</t>
        </is>
      </c>
    </row>
    <row r="238" ht="16.6" customHeight="1">
      <c r="A238" s="7" t="inlineStr">
        <is>
          <t>Check yourself</t>
        </is>
      </c>
      <c r="B238" s="8" t="inlineStr">
        <is>
          <t>What does 'uv run' do differently from plain 'python'?</t>
        </is>
      </c>
    </row>
    <row r="239" ht="16.6" customHeight="1">
      <c r="A239" s="7" t="inlineStr">
        <is>
          <t>Check yourself</t>
        </is>
      </c>
      <c r="B239" s="8" t="inlineStr">
        <is>
          <t>Why is the analysis code free of database imports?</t>
        </is>
      </c>
    </row>
    <row r="240" ht="16.6" customHeight="1">
      <c r="A240" s="7" t="inlineStr">
        <is>
          <t>Check yourself</t>
        </is>
      </c>
      <c r="B240" s="8" t="inlineStr">
        <is>
          <t>How do you start the worker module from the command line?</t>
        </is>
      </c>
    </row>
    <row r="241" ht="16.6" customHeight="1">
      <c r="A241" s="5" t="inlineStr">
        <is>
          <t>Resource</t>
        </is>
      </c>
      <c r="B241" s="6" t="inlineStr">
        <is>
          <t>Python tutorial: Modules  —  https://docs.python.org/3/tutorial/modules.html</t>
        </is>
      </c>
    </row>
    <row r="242" ht="16.6" customHeight="1">
      <c r="A242" s="5" t="inlineStr">
        <is>
          <t>Resource</t>
        </is>
      </c>
      <c r="B242" s="6" t="inlineStr">
        <is>
          <t>uv: Working on projects  —  https://docs.astral.sh/uv/guides/projects/</t>
        </is>
      </c>
    </row>
    <row r="243" ht="16.6" customHeight="1">
      <c r="A243" s="5" t="inlineStr">
        <is>
          <t>Resource</t>
        </is>
      </c>
      <c r="B243" s="6" t="inlineStr">
        <is>
          <t>Real Python: Python Type Checking  —  https://realpython.com/python-type-checking/</t>
        </is>
      </c>
    </row>
    <row r="245" ht="22" customHeight="1">
      <c r="A245" s="54" t="inlineStr">
        <is>
          <t>L12</t>
        </is>
      </c>
      <c r="B245" s="54" t="inlineStr">
        <is>
          <t>Designing a REST API and choosing status codes   ·   Beginner   ·   about 45 min   ·   used in P3, P6, P7, P10</t>
        </is>
      </c>
    </row>
    <row r="246">
      <c r="B246" s="55" t="inlineStr">
        <is>
          <t>↑ back to Lessons index</t>
        </is>
      </c>
    </row>
    <row r="247" ht="16.6" customHeight="1">
      <c r="A247" s="56" t="inlineStr">
        <is>
          <t>Why it matters</t>
        </is>
      </c>
      <c r="B247" s="57" t="inlineStr">
        <is>
          <t>A clear, consistent API makes the frontend simpler, testing easier and errors understandable.</t>
        </is>
      </c>
    </row>
    <row r="248" ht="29.2" customHeight="1">
      <c r="A248" s="5" t="inlineStr">
        <is>
          <t>Concept 1</t>
        </is>
      </c>
      <c r="B248" s="9" t="inlineStr">
        <is>
          <t>Resources are nouns in URLs: /v1/games, /v1/games/{id}, /v1/games/{id}/review, /v1/practice/sessions/{id}/moves. Methods are verbs: GET reads, POST creates or triggers an action, DELETE removes.</t>
        </is>
      </c>
    </row>
    <row r="249" ht="16.6" customHeight="1">
      <c r="A249" s="5" t="inlineStr">
        <is>
          <t>Concept 2</t>
        </is>
      </c>
      <c r="B249" s="9" t="inlineStr">
        <is>
          <t>Version the API (/v1/...) so you can change it later without breaking old clients.</t>
        </is>
      </c>
    </row>
    <row r="250" ht="41.8" customHeight="1">
      <c r="A250" s="5" t="inlineStr">
        <is>
          <t>Concept 3</t>
        </is>
      </c>
      <c r="B250" s="9" t="inlineStr">
        <is>
          <t>Use the right codes: 201 Created (new resource), 202 Accepted (work queued, finished later), 204 No Content (deleted), 401 (no/invalid token), 404 (not found OR not yours), 409 (conflict: exercise already finished), 413 (upload too large), 422 (invalid input), 429 (rate limited).</t>
        </is>
      </c>
    </row>
    <row r="251" ht="29.2" customHeight="1">
      <c r="A251" s="5" t="inlineStr">
        <is>
          <t>Concept 4</t>
        </is>
      </c>
      <c r="B251" s="9" t="inlineStr">
        <is>
          <t>Idempotent requests are safe to repeat: GET, DELETE and our 'save game' POST (thanks to a unique constraint) can be retried after a network error without creating duplicates.</t>
        </is>
      </c>
    </row>
    <row r="252" ht="16.6" customHeight="1">
      <c r="A252" s="5" t="inlineStr">
        <is>
          <t>Concept 5</t>
        </is>
      </c>
      <c r="B252" s="9" t="inlineStr">
        <is>
          <t>Long work never runs inside a request. POST returns quickly with a job id (202); the client polls GET /v1/jobs/{id}.</t>
        </is>
      </c>
    </row>
    <row r="253" ht="16.6" customHeight="1">
      <c r="A253" s="5" t="inlineStr">
        <is>
          <t>Concept 6</t>
        </is>
      </c>
      <c r="B253" s="9" t="inlineStr">
        <is>
          <t>Never return secrets or internals: the solution of a puzzle, error tracebacks, other users' ids.</t>
        </is>
      </c>
    </row>
    <row r="254" ht="29.2" customHeight="1">
      <c r="A254" s="58" t="inlineStr">
        <is>
          <t>In ChessLab</t>
        </is>
      </c>
      <c r="B254" s="59" t="inlineStr">
        <is>
          <t>The API Reference sheet lists every ChessLab endpoint with its method, auth, request, response and error codes. FastAPI generates interactive docs at /docs from the code.</t>
        </is>
      </c>
    </row>
    <row r="255" ht="16.6" customHeight="1">
      <c r="A255" s="5" t="inlineStr">
        <is>
          <t>Common mistake</t>
        </is>
      </c>
      <c r="B255" s="9" t="inlineStr">
        <is>
          <t>Returning 200 with {"error": ...} in the body (clients can't rely on status codes).</t>
        </is>
      </c>
    </row>
    <row r="256" ht="16.6" customHeight="1">
      <c r="A256" s="5" t="inlineStr">
        <is>
          <t>Common mistake</t>
        </is>
      </c>
      <c r="B256" s="9" t="inlineStr">
        <is>
          <t>Doing Stockfish analysis inside the POST request (it times out and blocks the server).</t>
        </is>
      </c>
    </row>
    <row r="257" ht="16.6" customHeight="1">
      <c r="A257" s="5" t="inlineStr">
        <is>
          <t>Common mistake</t>
        </is>
      </c>
      <c r="B257" s="9" t="inlineStr">
        <is>
          <t>Leaking existence of private resources with 403 instead of 404.</t>
        </is>
      </c>
    </row>
    <row r="258" ht="16.6" customHeight="1">
      <c r="A258" s="7" t="inlineStr">
        <is>
          <t>Check yourself</t>
        </is>
      </c>
      <c r="B258" s="8" t="inlineStr">
        <is>
          <t>Which status should POST /v1/imports return and why not 201?</t>
        </is>
      </c>
    </row>
    <row r="259" ht="16.6" customHeight="1">
      <c r="A259" s="7" t="inlineStr">
        <is>
          <t>Check yourself</t>
        </is>
      </c>
      <c r="B259" s="8" t="inlineStr">
        <is>
          <t>Why does practice return 409 when you submit a move to a solved exercise?</t>
        </is>
      </c>
    </row>
    <row r="260" ht="16.6" customHeight="1">
      <c r="A260" s="7" t="inlineStr">
        <is>
          <t>Check yourself</t>
        </is>
      </c>
      <c r="B260" s="8" t="inlineStr">
        <is>
          <t>What makes POST /v1/games idempotent in ChessLab?</t>
        </is>
      </c>
    </row>
    <row r="261" ht="16.6" customHeight="1">
      <c r="A261" s="5" t="inlineStr">
        <is>
          <t>Resource</t>
        </is>
      </c>
      <c r="B261" s="6" t="inlineStr">
        <is>
          <t>MDN: HTTP request methods  —  https://developer.mozilla.org/en-US/docs/Web/HTTP/Methods</t>
        </is>
      </c>
    </row>
    <row r="262" ht="16.6" customHeight="1">
      <c r="A262" s="5" t="inlineStr">
        <is>
          <t>Resource</t>
        </is>
      </c>
      <c r="B262" s="6" t="inlineStr">
        <is>
          <t>Microsoft REST API Guidelines  —  https://github.com/microsoft/api-guidelines/blob/vNext/azure/Guidelines.md</t>
        </is>
      </c>
    </row>
    <row r="263" ht="16.6" customHeight="1">
      <c r="A263" s="5" t="inlineStr">
        <is>
          <t>Resource</t>
        </is>
      </c>
      <c r="B263" s="6" t="inlineStr">
        <is>
          <t>Zalando RESTful API Guidelines  —  https://opensource.zalando.com/restful-api-guidelines/</t>
        </is>
      </c>
    </row>
    <row r="265" ht="22" customHeight="1">
      <c r="A265" s="54" t="inlineStr">
        <is>
          <t>L13</t>
        </is>
      </c>
      <c r="B265" s="54" t="inlineStr">
        <is>
          <t>FastAPI: routes, dependencies, Pydantic models and OpenAPI   ·   Beginner   ·   about 120 min   ·   used in P3, P6, P7, P9, P10, P11</t>
        </is>
      </c>
    </row>
    <row r="266">
      <c r="B266" s="55" t="inlineStr">
        <is>
          <t>↑ back to Lessons index</t>
        </is>
      </c>
    </row>
    <row r="267" ht="29.2" customHeight="1">
      <c r="A267" s="56" t="inlineStr">
        <is>
          <t>Why it matters</t>
        </is>
      </c>
      <c r="B267" s="57" t="inlineStr">
        <is>
          <t>FastAPI is the backend framework. Its dependency system is how ChessLab enforces authentication, database sessions and rate limits on every route.</t>
        </is>
      </c>
    </row>
    <row r="268" ht="29.2" customHeight="1">
      <c r="A268" s="5" t="inlineStr">
        <is>
          <t>Concept 1</t>
        </is>
      </c>
      <c r="B268" s="9" t="inlineStr">
        <is>
          <t>A route is a decorated function: @router.get('/v1/games/{game_id}') def read_game(game_id: uuid.UUID): ... FastAPI parses and validates the path parameter (a non-UUID returns 422 automatically).</t>
        </is>
      </c>
    </row>
    <row r="269" ht="29.2" customHeight="1">
      <c r="A269" s="5" t="inlineStr">
        <is>
          <t>Concept 2</t>
        </is>
      </c>
      <c r="B269" s="9" t="inlineStr">
        <is>
          <t>Request bodies are Pydantic models: class PlayedGameIn(BaseModel): pgn: str = Field(max_length=60_000); player_color: Literal['white','black']. Invalid JSON never reaches your code.</t>
        </is>
      </c>
    </row>
    <row r="270" ht="16.6" customHeight="1">
      <c r="A270" s="5" t="inlineStr">
        <is>
          <t>Concept 3</t>
        </is>
      </c>
      <c r="B270" s="9" t="inlineStr">
        <is>
          <t>response_model=GameDetail tells FastAPI what to return and documents it. Fields not in the model are not leaked.</t>
        </is>
      </c>
    </row>
    <row r="271" ht="41.8" customHeight="1">
      <c r="A271" s="5" t="inlineStr">
        <is>
          <t>Concept 4</t>
        </is>
      </c>
      <c r="B271" s="9" t="inlineStr">
        <is>
          <t>Dependencies: def read_game(visitor: Visitor = Depends(current_visitor), db: Session = Depends(get_db)). FastAPI calls current_visitor and get_db first; if current_visitor raises ApiError(401), the route never runs. This is how 'every private route checks the token' becomes impossible to forget.</t>
        </is>
      </c>
    </row>
    <row r="272" ht="16.6" customHeight="1">
      <c r="A272" s="5" t="inlineStr">
        <is>
          <t>Concept 5</t>
        </is>
      </c>
      <c r="B272" s="9" t="inlineStr">
        <is>
          <t>Dependencies with yield (get_db) run cleanup after the response: the DB session is always closed.</t>
        </is>
      </c>
    </row>
    <row r="273" ht="16.6" customHeight="1">
      <c r="A273" s="5" t="inlineStr">
        <is>
          <t>Concept 6</t>
        </is>
      </c>
      <c r="B273" s="9" t="inlineStr">
        <is>
          <t>Routers (APIRouter(prefix='/v1/games')) group related routes in separate files; main.py includes them.</t>
        </is>
      </c>
    </row>
    <row r="274" ht="16.6" customHeight="1">
      <c r="A274" s="5" t="inlineStr">
        <is>
          <t>Concept 7</t>
        </is>
      </c>
      <c r="B274" s="9" t="inlineStr">
        <is>
          <t>Exception handlers convert your ApiError into the standard error JSON shape.</t>
        </is>
      </c>
    </row>
    <row r="275" ht="16.6" customHeight="1">
      <c r="A275" s="5" t="inlineStr">
        <is>
          <t>Concept 8</t>
        </is>
      </c>
      <c r="B275" s="9" t="inlineStr">
        <is>
          <t>OpenAPI: FastAPI publishes /openapi.json and interactive docs at /docs. Use /docs to try endpoints by hand.</t>
        </is>
      </c>
    </row>
    <row r="276" ht="29.2" customHeight="1">
      <c r="A276" s="5" t="inlineStr">
        <is>
          <t>Concept 9</t>
        </is>
      </c>
      <c r="B276" s="9" t="inlineStr">
        <is>
          <t>Sync vs async: plain 'def' routes run in a thread pool, which is right when using a synchronous DB driver like ours. Don't mix 'async def' with blocking calls.</t>
        </is>
      </c>
    </row>
    <row r="277" ht="16.6" customHeight="1">
      <c r="A277" s="5" t="inlineStr">
        <is>
          <t>Concept 10</t>
        </is>
      </c>
      <c r="B277" s="9" t="inlineStr">
        <is>
          <t>TestClient lets pytest call the app in-process without a real server.</t>
        </is>
      </c>
    </row>
    <row r="278" ht="29.2" customHeight="1">
      <c r="A278" s="58" t="inlineStr">
        <is>
          <t>In ChessLab</t>
        </is>
      </c>
      <c r="B278" s="59" t="inlineStr">
        <is>
          <t>app/main.py creates the app, adds CORS and error handlers and includes 8 routers. app/security.py's current_visitor is the authentication dependency used by every private route.</t>
        </is>
      </c>
    </row>
    <row r="279" ht="16.6" customHeight="1">
      <c r="A279" s="5" t="inlineStr">
        <is>
          <t>Common mistake</t>
        </is>
      </c>
      <c r="B279" s="9" t="inlineStr">
        <is>
          <t>Writing 'async def' routes that call blocking SQLAlchemy code (blocks the event loop).</t>
        </is>
      </c>
    </row>
    <row r="280" ht="16.6" customHeight="1">
      <c r="A280" s="5" t="inlineStr">
        <is>
          <t>Common mistake</t>
        </is>
      </c>
      <c r="B280" s="9" t="inlineStr">
        <is>
          <t>Returning ORM objects without a response_model (leaks fields).</t>
        </is>
      </c>
    </row>
    <row r="281" ht="16.6" customHeight="1">
      <c r="A281" s="5" t="inlineStr">
        <is>
          <t>Common mistake</t>
        </is>
      </c>
      <c r="B281" s="9" t="inlineStr">
        <is>
          <t>Checking the token manually in each route (easy to forget one).</t>
        </is>
      </c>
    </row>
    <row r="282" ht="16.6" customHeight="1">
      <c r="A282" s="7" t="inlineStr">
        <is>
          <t>Check yourself</t>
        </is>
      </c>
      <c r="B282" s="8" t="inlineStr">
        <is>
          <t>What happens if a client posts player_color='green'?</t>
        </is>
      </c>
    </row>
    <row r="283" ht="16.6" customHeight="1">
      <c r="A283" s="7" t="inlineStr">
        <is>
          <t>Check yourself</t>
        </is>
      </c>
      <c r="B283" s="8" t="inlineStr">
        <is>
          <t>Explain the order in which FastAPI runs Depends(current_visitor) and the route body.</t>
        </is>
      </c>
    </row>
    <row r="284" ht="16.6" customHeight="1">
      <c r="A284" s="7" t="inlineStr">
        <is>
          <t>Check yourself</t>
        </is>
      </c>
      <c r="B284" s="8" t="inlineStr">
        <is>
          <t>Where can you try the API interactively?</t>
        </is>
      </c>
    </row>
    <row r="285" ht="16.6" customHeight="1">
      <c r="A285" s="5" t="inlineStr">
        <is>
          <t>Resource</t>
        </is>
      </c>
      <c r="B285" s="6" t="inlineStr">
        <is>
          <t>FastAPI Tutorial - User Guide  —  https://fastapi.tiangolo.com/tutorial/</t>
        </is>
      </c>
    </row>
    <row r="286" ht="16.6" customHeight="1">
      <c r="A286" s="5" t="inlineStr">
        <is>
          <t>Resource</t>
        </is>
      </c>
      <c r="B286" s="6" t="inlineStr">
        <is>
          <t>FastAPI: Dependencies  —  https://fastapi.tiangolo.com/tutorial/dependencies/</t>
        </is>
      </c>
    </row>
    <row r="287" ht="16.6" customHeight="1">
      <c r="A287" s="5" t="inlineStr">
        <is>
          <t>Resource</t>
        </is>
      </c>
      <c r="B287" s="6" t="inlineStr">
        <is>
          <t>FastAPI: Bigger Applications (routers)  —  https://fastapi.tiangolo.com/tutorial/bigger-applications/</t>
        </is>
      </c>
    </row>
    <row r="288" ht="16.6" customHeight="1">
      <c r="A288" s="5" t="inlineStr">
        <is>
          <t>Resource</t>
        </is>
      </c>
      <c r="B288" s="6" t="inlineStr">
        <is>
          <t>Pydantic documentation  —  https://docs.pydantic.dev/latest/</t>
        </is>
      </c>
    </row>
    <row r="289" ht="16.6" customHeight="1">
      <c r="A289" s="5" t="inlineStr">
        <is>
          <t>Resource</t>
        </is>
      </c>
      <c r="B289" s="6" t="inlineStr">
        <is>
          <t>FastAPI: Testing  —  https://fastapi.tiangolo.com/tutorial/testing/</t>
        </is>
      </c>
    </row>
    <row r="291" ht="22" customHeight="1">
      <c r="A291" s="54" t="inlineStr">
        <is>
          <t>L14</t>
        </is>
      </c>
      <c r="B291" s="54" t="inlineStr">
        <is>
          <t>Relational databases and SQL basics   ·   Beginner   ·   about 120 min   ·   used in P3, P6, P8, P10, P11</t>
        </is>
      </c>
    </row>
    <row r="292">
      <c r="B292" s="55" t="inlineStr">
        <is>
          <t>↑ back to Lessons index</t>
        </is>
      </c>
    </row>
    <row r="293" ht="29.2" customHeight="1">
      <c r="A293" s="56" t="inlineStr">
        <is>
          <t>Why it matters</t>
        </is>
      </c>
      <c r="B293" s="57" t="inlineStr">
        <is>
          <t>Postgres stores everything durable: visitors, games, jobs, evidence, puzzles, attempts. Even with an ORM you must read and write some SQL (the job queue is raw SQL).</t>
        </is>
      </c>
    </row>
    <row r="294" ht="29.2" customHeight="1">
      <c r="A294" s="5" t="inlineStr">
        <is>
          <t>Concept 1</t>
        </is>
      </c>
      <c r="B294" s="9" t="inlineStr">
        <is>
          <t>Tables have rows and typed columns. A primary key uniquely identifies a row (we use UUIDs for most tables so ids are unguessable, and BIGINT for jobs).</t>
        </is>
      </c>
    </row>
    <row r="295" ht="29.2" customHeight="1">
      <c r="A295" s="5" t="inlineStr">
        <is>
          <t>Concept 2</t>
        </is>
      </c>
      <c r="B295" s="9" t="inlineStr">
        <is>
          <t>Foreign keys link tables (games.owner_id -&gt; visitors.id). ON DELETE CASCADE deletes children automatically: deleting a visitor deletes their games, evidence and attempts.</t>
        </is>
      </c>
    </row>
    <row r="296" ht="29.2" customHeight="1">
      <c r="A296" s="5" t="inlineStr">
        <is>
          <t>Concept 3</t>
        </is>
      </c>
      <c r="B296" s="9" t="inlineStr">
        <is>
          <t>Constraints protect correctness at the database level: UNIQUE (owner_id, source, source_game_id) makes duplicate imports impossible even if two workers race.</t>
        </is>
      </c>
    </row>
    <row r="297" ht="29.2" customHeight="1">
      <c r="A297" s="5" t="inlineStr">
        <is>
          <t>Concept 4</t>
        </is>
      </c>
      <c r="B297" s="9" t="inlineStr">
        <is>
          <t>Core SQL: SELECT ... FROM ... WHERE ... ORDER BY ... LIMIT; INSERT INTO ... VALUES ...; UPDATE ... SET ... WHERE ...; DELETE FROM ... WHERE ...; JOIN combines tables.</t>
        </is>
      </c>
    </row>
    <row r="298" ht="16.6" customHeight="1">
      <c r="A298" s="5" t="inlineStr">
        <is>
          <t>Concept 5</t>
        </is>
      </c>
      <c r="B298" s="9" t="inlineStr">
        <is>
          <t>Aggregates: COUNT(*), AVG(rating), with GROUP BY or FILTER (WHERE ...).</t>
        </is>
      </c>
    </row>
    <row r="299" ht="29.2" customHeight="1">
      <c r="A299" s="5" t="inlineStr">
        <is>
          <t>Concept 6</t>
        </is>
      </c>
      <c r="B299" s="9" t="inlineStr">
        <is>
          <t>Indexes make lookups fast (like a book index) at a small cost on writes. Index columns you filter by often: (owner_id, created_at), (pool, concept, rating).</t>
        </is>
      </c>
    </row>
    <row r="300" ht="29.2" customHeight="1">
      <c r="A300" s="5" t="inlineStr">
        <is>
          <t>Concept 7</t>
        </is>
      </c>
      <c r="B300" s="9" t="inlineStr">
        <is>
          <t>JSONB columns store JSON documents (targets, PV lines, progress) inside a relational row; use them for flexible nested data, not for things you join on.</t>
        </is>
      </c>
    </row>
    <row r="301" ht="29.2" customHeight="1">
      <c r="A301" s="5" t="inlineStr">
        <is>
          <t>Concept 8</t>
        </is>
      </c>
      <c r="B301" s="9" t="inlineStr">
        <is>
          <t>Transactions: a group of statements that succeed or fail together (BEGIN ... COMMIT / ROLLBACK). Saving a game and enqueuing its analysis job happen in ONE transaction.</t>
        </is>
      </c>
    </row>
    <row r="302" ht="16.6" customHeight="1">
      <c r="A302" s="5" t="inlineStr">
        <is>
          <t>Concept 9</t>
        </is>
      </c>
      <c r="B302" s="9" t="inlineStr">
        <is>
          <t>INSERT ... ON CONFLICT DO NOTHING is Postgres's atomic 'insert unless it already exists'.</t>
        </is>
      </c>
    </row>
    <row r="303" ht="29.2" customHeight="1">
      <c r="A303" s="58" t="inlineStr">
        <is>
          <t>In ChessLab</t>
        </is>
      </c>
      <c r="B303" s="59" t="inlineStr">
        <is>
          <t>app/models.py defines 11 tables. Open psql (docker compose exec db psql -U chesslab) and run SELECT queries while you test the app: seeing real rows builds intuition fast.</t>
        </is>
      </c>
    </row>
    <row r="304" ht="16.6" customHeight="1">
      <c r="A304" s="5" t="inlineStr">
        <is>
          <t>Common mistake</t>
        </is>
      </c>
      <c r="B304" s="9" t="inlineStr">
        <is>
          <t>Relying only on Python checks for uniqueness (races).</t>
        </is>
      </c>
    </row>
    <row r="305" ht="16.6" customHeight="1">
      <c r="A305" s="5" t="inlineStr">
        <is>
          <t>Common mistake</t>
        </is>
      </c>
      <c r="B305" s="9" t="inlineStr">
        <is>
          <t>Forgetting WHERE in UPDATE/DELETE (changes every row).</t>
        </is>
      </c>
    </row>
    <row r="306" ht="16.6" customHeight="1">
      <c r="A306" s="5" t="inlineStr">
        <is>
          <t>Common mistake</t>
        </is>
      </c>
      <c r="B306" s="9" t="inlineStr">
        <is>
          <t>Storing lists as comma-separated strings instead of JSONB or a child table.</t>
        </is>
      </c>
    </row>
    <row r="307" ht="16.6" customHeight="1">
      <c r="A307" s="7" t="inlineStr">
        <is>
          <t>Check yourself</t>
        </is>
      </c>
      <c r="B307" s="8" t="inlineStr">
        <is>
          <t>Write a query listing a visitor's games newest first.</t>
        </is>
      </c>
    </row>
    <row r="308" ht="16.6" customHeight="1">
      <c r="A308" s="7" t="inlineStr">
        <is>
          <t>Check yourself</t>
        </is>
      </c>
      <c r="B308" s="8" t="inlineStr">
        <is>
          <t>What does ON DELETE CASCADE do for 'Delete my data'?</t>
        </is>
      </c>
    </row>
    <row r="309" ht="16.6" customHeight="1">
      <c r="A309" s="7" t="inlineStr">
        <is>
          <t>Check yourself</t>
        </is>
      </c>
      <c r="B309" s="8" t="inlineStr">
        <is>
          <t>Why must 'save game' and 'enqueue analysis' be in the same transaction?</t>
        </is>
      </c>
    </row>
    <row r="310" ht="16.6" customHeight="1">
      <c r="A310" s="5" t="inlineStr">
        <is>
          <t>Resource</t>
        </is>
      </c>
      <c r="B310" s="6" t="inlineStr">
        <is>
          <t>SQLBolt (interactive SQL lessons)  —  https://sqlbolt.com/</t>
        </is>
      </c>
    </row>
    <row r="311" ht="16.6" customHeight="1">
      <c r="A311" s="5" t="inlineStr">
        <is>
          <t>Resource</t>
        </is>
      </c>
      <c r="B311" s="6" t="inlineStr">
        <is>
          <t>PostgreSQL Tutorial (official)  —  https://www.postgresql.org/docs/current/tutorial.html</t>
        </is>
      </c>
    </row>
    <row r="312" ht="16.6" customHeight="1">
      <c r="A312" s="5" t="inlineStr">
        <is>
          <t>Resource</t>
        </is>
      </c>
      <c r="B312" s="6" t="inlineStr">
        <is>
          <t>PostgreSQL: INSERT ... ON CONFLICT  —  https://www.postgresql.org/docs/current/sql-insert.html#SQL-ON-CONFLICT</t>
        </is>
      </c>
    </row>
    <row r="313" ht="16.6" customHeight="1">
      <c r="A313" s="5" t="inlineStr">
        <is>
          <t>Resource</t>
        </is>
      </c>
      <c r="B313" s="6" t="inlineStr">
        <is>
          <t>Use The Index, Luke (indexing)  —  https://use-the-index-luke.com/</t>
        </is>
      </c>
    </row>
    <row r="315" ht="22" customHeight="1">
      <c r="A315" s="54" t="inlineStr">
        <is>
          <t>L15</t>
        </is>
      </c>
      <c r="B315" s="54" t="inlineStr">
        <is>
          <t>Running PostgreSQL in Docker: containers, images, volumes and ports   ·   Beginner   ·   about 45 min   ·   used in P2, P3</t>
        </is>
      </c>
    </row>
    <row r="316">
      <c r="B316" s="55" t="inlineStr">
        <is>
          <t>↑ back to Lessons index</t>
        </is>
      </c>
    </row>
    <row r="317" ht="16.6" customHeight="1">
      <c r="A317" s="56" t="inlineStr">
        <is>
          <t>Why it matters</t>
        </is>
      </c>
      <c r="B317" s="57" t="inlineStr">
        <is>
          <t>Docker gives you the exact same Postgres version as production with one command, without installing it on Windows.</t>
        </is>
      </c>
    </row>
    <row r="318" ht="16.6" customHeight="1">
      <c r="A318" s="5" t="inlineStr">
        <is>
          <t>Concept 1</t>
        </is>
      </c>
      <c r="B318" s="9" t="inlineStr">
        <is>
          <t>An image is a packaged filesystem + startup command (postgres:16). A container is a running instance of an image.</t>
        </is>
      </c>
    </row>
    <row r="319" ht="29.2" customHeight="1">
      <c r="A319" s="5" t="inlineStr">
        <is>
          <t>Concept 2</t>
        </is>
      </c>
      <c r="B319" s="9" t="inlineStr">
        <is>
          <t>Port mapping '5433:5432' means: your machine's port 5433 forwards to the container's port 5432. Inside Docker networks, other containers use the service name and the internal port (db:5432).</t>
        </is>
      </c>
    </row>
    <row r="320" ht="29.2" customHeight="1">
      <c r="A320" s="5" t="inlineStr">
        <is>
          <t>Concept 3</t>
        </is>
      </c>
      <c r="B320" s="9" t="inlineStr">
        <is>
          <t>Volumes keep data outside the container's lifetime: deleting the container keeps the 'pgdata' volume. 'docker compose down -v' deletes volumes too (all data gone).</t>
        </is>
      </c>
    </row>
    <row r="321" ht="16.6" customHeight="1">
      <c r="A321" s="5" t="inlineStr">
        <is>
          <t>Concept 4</t>
        </is>
      </c>
      <c r="B321" s="9" t="inlineStr">
        <is>
          <t>Health checks (pg_isready) let other services wait until the database really accepts connections.</t>
        </is>
      </c>
    </row>
    <row r="322" ht="16.6" customHeight="1">
      <c r="A322" s="5" t="inlineStr">
        <is>
          <t>Concept 5</t>
        </is>
      </c>
      <c r="B322" s="9" t="inlineStr">
        <is>
          <t>On Windows, Docker Desktop runs Linux containers inside WSL2. Enable WSL2 integration and give Docker enough memory (4 GB+).</t>
        </is>
      </c>
    </row>
    <row r="323" ht="29.2" customHeight="1">
      <c r="A323" s="5" t="inlineStr">
        <is>
          <t>Concept 6</t>
        </is>
      </c>
      <c r="B323" s="9" t="inlineStr">
        <is>
          <t>Connecting: psql inside the container ('docker compose exec db psql -U chesslab -d chesslab') or a GUI such as pgAdmin/DBeaver using localhost:5433.</t>
        </is>
      </c>
    </row>
    <row r="324" ht="29.2" customHeight="1">
      <c r="A324" s="58" t="inlineStr">
        <is>
          <t>In ChessLab</t>
        </is>
      </c>
      <c r="B324" s="59" t="inlineStr">
        <is>
          <t>compose.yaml defines db (Postgres 16 on host port 5433), api and worker. During backend development you can run only the db with 'docker compose up -d db' and run the API directly with uv for faster reloads.</t>
        </is>
      </c>
    </row>
    <row r="325" ht="16.6" customHeight="1">
      <c r="A325" s="5" t="inlineStr">
        <is>
          <t>Common mistake</t>
        </is>
      </c>
      <c r="B325" s="9" t="inlineStr">
        <is>
          <t>Using localhost:5432 inside a container (localhost there is the container itself; use db:5432).</t>
        </is>
      </c>
    </row>
    <row r="326" ht="16.6" customHeight="1">
      <c r="A326" s="5" t="inlineStr">
        <is>
          <t>Common mistake</t>
        </is>
      </c>
      <c r="B326" s="9" t="inlineStr">
        <is>
          <t>Running 'down -v' and losing your development data unexpectedly.</t>
        </is>
      </c>
    </row>
    <row r="327" ht="16.6" customHeight="1">
      <c r="A327" s="5" t="inlineStr">
        <is>
          <t>Common mistake</t>
        </is>
      </c>
      <c r="B327" s="9" t="inlineStr">
        <is>
          <t>Port conflicts with another Postgres already running on the machine.</t>
        </is>
      </c>
    </row>
    <row r="328" ht="16.6" customHeight="1">
      <c r="A328" s="7" t="inlineStr">
        <is>
          <t>Check yourself</t>
        </is>
      </c>
      <c r="B328" s="8" t="inlineStr">
        <is>
          <t>What is the difference between an image and a container?</t>
        </is>
      </c>
    </row>
    <row r="329" ht="16.6" customHeight="1">
      <c r="A329" s="7" t="inlineStr">
        <is>
          <t>Check yourself</t>
        </is>
      </c>
      <c r="B329" s="8" t="inlineStr">
        <is>
          <t>Which host and port does the API container use to reach the database?</t>
        </is>
      </c>
    </row>
    <row r="330" ht="16.6" customHeight="1">
      <c r="A330" s="7" t="inlineStr">
        <is>
          <t>Check yourself</t>
        </is>
      </c>
      <c r="B330" s="8" t="inlineStr">
        <is>
          <t>What does a named volume protect you from?</t>
        </is>
      </c>
    </row>
    <row r="331" ht="16.6" customHeight="1">
      <c r="A331" s="5" t="inlineStr">
        <is>
          <t>Resource</t>
        </is>
      </c>
      <c r="B331" s="6" t="inlineStr">
        <is>
          <t>Docker: Get started  —  https://docs.docker.com/get-started/</t>
        </is>
      </c>
    </row>
    <row r="332" ht="16.6" customHeight="1">
      <c r="A332" s="5" t="inlineStr">
        <is>
          <t>Resource</t>
        </is>
      </c>
      <c r="B332" s="6" t="inlineStr">
        <is>
          <t>Docker Hub: postgres official image  —  https://hub.docker.com/_/postgres</t>
        </is>
      </c>
    </row>
    <row r="333" ht="16.6" customHeight="1">
      <c r="A333" s="5" t="inlineStr">
        <is>
          <t>Resource</t>
        </is>
      </c>
      <c r="B333" s="6" t="inlineStr">
        <is>
          <t>Microsoft: Install WSL  —  https://learn.microsoft.com/en-us/windows/wsl/install</t>
        </is>
      </c>
    </row>
    <row r="334" ht="16.6" customHeight="1">
      <c r="A334" s="5" t="inlineStr">
        <is>
          <t>Resource</t>
        </is>
      </c>
      <c r="B334" s="6" t="inlineStr">
        <is>
          <t>Docker Desktop WSL 2 backend  —  https://docs.docker.com/desktop/features/wsl/</t>
        </is>
      </c>
    </row>
    <row r="336" ht="22" customHeight="1">
      <c r="A336" s="54" t="inlineStr">
        <is>
          <t>L16</t>
        </is>
      </c>
      <c r="B336" s="54" t="inlineStr">
        <is>
          <t>SQLAlchemy 2.0: models, sessions and transactions   ·   Intermediate   ·   about 120 min   ·   used in P3, P6, P7, P10</t>
        </is>
      </c>
    </row>
    <row r="337">
      <c r="B337" s="55" t="inlineStr">
        <is>
          <t>↑ back to Lessons index</t>
        </is>
      </c>
    </row>
    <row r="338" ht="29.2" customHeight="1">
      <c r="A338" s="56" t="inlineStr">
        <is>
          <t>Why it matters</t>
        </is>
      </c>
      <c r="B338" s="57" t="inlineStr">
        <is>
          <t>SQLAlchemy maps Python classes to tables and manages connections and transactions. Knowing when a session commits is essential for correctness.</t>
        </is>
      </c>
    </row>
    <row r="339" ht="29.2" customHeight="1">
      <c r="A339" s="5" t="inlineStr">
        <is>
          <t>Concept 1</t>
        </is>
      </c>
      <c r="B339" s="9" t="inlineStr">
        <is>
          <t>Declarative models: class Game(Base): __tablename__ = 'games'; id: Mapped[uuid.UUID] = mapped_column(primary_key=True). Mapped[str | None] means nullable.</t>
        </is>
      </c>
    </row>
    <row r="340" ht="29.2" customHeight="1">
      <c r="A340" s="5" t="inlineStr">
        <is>
          <t>Concept 2</t>
        </is>
      </c>
      <c r="B340" s="9" t="inlineStr">
        <is>
          <t>Engine = connection pool to the database (create_engine(DATABASE_URL, pool_size=5)). Session = a unit of work that tracks objects and talks to the DB through the engine.</t>
        </is>
      </c>
    </row>
    <row r="341" ht="29.2" customHeight="1">
      <c r="A341" s="5" t="inlineStr">
        <is>
          <t>Concept 3</t>
        </is>
      </c>
      <c r="B341" s="9" t="inlineStr">
        <is>
          <t>Session lifecycle in ChessLab: one session per HTTP request (get_db dependency), and short separate sessions inside the worker. 'with SessionLocal() as db:' always closes it.</t>
        </is>
      </c>
    </row>
    <row r="342" ht="29.2" customHeight="1">
      <c r="A342" s="5" t="inlineStr">
        <is>
          <t>Concept 4</t>
        </is>
      </c>
      <c r="B342" s="9" t="inlineStr">
        <is>
          <t>Nothing is permanent until db.commit(). If an exception happens before commit, the transaction is rolled back. db.flush() sends pending SQL (e.g. to get a generated id) without committing.</t>
        </is>
      </c>
    </row>
    <row r="343" ht="29.2" customHeight="1">
      <c r="A343" s="5" t="inlineStr">
        <is>
          <t>Concept 5</t>
        </is>
      </c>
      <c r="B343" s="9" t="inlineStr">
        <is>
          <t>Querying: db.get(Game, id) for a primary key; db.scalars(select(Game).where(Game.owner_id == v.id)) for lists; db.scalar(select(func.count())...) for one value.</t>
        </is>
      </c>
    </row>
    <row r="344" ht="29.2" customHeight="1">
      <c r="A344" s="5" t="inlineStr">
        <is>
          <t>Concept 6</t>
        </is>
      </c>
      <c r="B344" s="9" t="inlineStr">
        <is>
          <t>Postgres-specific inserts: from sqlalchemy.dialects.postgresql import insert as pg_insert; pg_insert(Game).values(...).on_conflict_do_nothing(constraint='uq_game_source').returning(Game.id).</t>
        </is>
      </c>
    </row>
    <row r="345" ht="29.2" customHeight="1">
      <c r="A345" s="5" t="inlineStr">
        <is>
          <t>Concept 7</t>
        </is>
      </c>
      <c r="B345" s="9" t="inlineStr">
        <is>
          <t>Raw SQL when it is clearer: db.execute(text('UPDATE jobs SET ... WHERE id = :id'), {'id': 5}). Always use bound parameters (:id), never f-strings, to avoid SQL injection.</t>
        </is>
      </c>
    </row>
    <row r="346" ht="16.6" customHeight="1">
      <c r="A346" s="5" t="inlineStr">
        <is>
          <t>Concept 8</t>
        </is>
      </c>
      <c r="B346" s="9" t="inlineStr">
        <is>
          <t>expire_on_commit=False keeps attribute values readable after commit (handy when returning objects in responses).</t>
        </is>
      </c>
    </row>
    <row r="347" ht="29.2" customHeight="1">
      <c r="A347" s="5" t="inlineStr">
        <is>
          <t>Concept 9</t>
        </is>
      </c>
      <c r="B347" s="9" t="inlineStr">
        <is>
          <t>Row locks from the ORM: db.get(ConceptRating, key, with_for_update=True) locks that row until commit so two concurrent updates cannot overwrite each other.</t>
        </is>
      </c>
    </row>
    <row r="348" ht="29.2" customHeight="1">
      <c r="A348" s="58" t="inlineStr">
        <is>
          <t>In ChessLab</t>
        </is>
      </c>
      <c r="B348" s="59" t="inlineStr">
        <is>
          <t>app/db.py creates the engine and SessionLocal; app/models.py has every table; the job queue (app/jobs/queue.py) uses raw SQL because FOR UPDATE SKIP LOCKED with a subquery is clearer in SQL.</t>
        </is>
      </c>
    </row>
    <row r="349" ht="16.6" customHeight="1">
      <c r="A349" s="5" t="inlineStr">
        <is>
          <t>Common mistake</t>
        </is>
      </c>
      <c r="B349" s="9" t="inlineStr">
        <is>
          <t>Forgetting db.commit() and wondering why nothing was saved.</t>
        </is>
      </c>
    </row>
    <row r="350" ht="16.6" customHeight="1">
      <c r="A350" s="5" t="inlineStr">
        <is>
          <t>Common mistake</t>
        </is>
      </c>
      <c r="B350" s="9" t="inlineStr">
        <is>
          <t>Keeping one global session shared by all requests (not thread-safe).</t>
        </is>
      </c>
    </row>
    <row r="351" ht="16.6" customHeight="1">
      <c r="A351" s="5" t="inlineStr">
        <is>
          <t>Common mistake</t>
        </is>
      </c>
      <c r="B351" s="9" t="inlineStr">
        <is>
          <t>Holding a transaction open during a slow Stockfish analysis (locks rows and wastes connections).</t>
        </is>
      </c>
    </row>
    <row r="352" ht="16.6" customHeight="1">
      <c r="A352" s="5" t="inlineStr">
        <is>
          <t>Common mistake</t>
        </is>
      </c>
      <c r="B352" s="9" t="inlineStr">
        <is>
          <t>Building SQL with f-strings from user input.</t>
        </is>
      </c>
    </row>
    <row r="353" ht="16.6" customHeight="1">
      <c r="A353" s="7" t="inlineStr">
        <is>
          <t>Check yourself</t>
        </is>
      </c>
      <c r="B353" s="8" t="inlineStr">
        <is>
          <t>What is the difference between flush and commit?</t>
        </is>
      </c>
    </row>
    <row r="354" ht="16.6" customHeight="1">
      <c r="A354" s="7" t="inlineStr">
        <is>
          <t>Check yourself</t>
        </is>
      </c>
      <c r="B354" s="8" t="inlineStr">
        <is>
          <t>Why does the worker open a NEW short session after analysis instead of reusing the one from the start?</t>
        </is>
      </c>
    </row>
    <row r="355" ht="16.6" customHeight="1">
      <c r="A355" s="7" t="inlineStr">
        <is>
          <t>Check yourself</t>
        </is>
      </c>
      <c r="B355" s="8" t="inlineStr">
        <is>
          <t>How do you lock a row for update in SQLAlchemy?</t>
        </is>
      </c>
    </row>
    <row r="356" ht="16.6" customHeight="1">
      <c r="A356" s="5" t="inlineStr">
        <is>
          <t>Resource</t>
        </is>
      </c>
      <c r="B356" s="6" t="inlineStr">
        <is>
          <t>SQLAlchemy 2.0 Unified Tutorial  —  https://docs.sqlalchemy.org/en/20/tutorial/index.html</t>
        </is>
      </c>
    </row>
    <row r="357" ht="16.6" customHeight="1">
      <c r="A357" s="5" t="inlineStr">
        <is>
          <t>Resource</t>
        </is>
      </c>
      <c r="B357" s="6" t="inlineStr">
        <is>
          <t>SQLAlchemy ORM Quick Start  —  https://docs.sqlalchemy.org/en/20/orm/quickstart.html</t>
        </is>
      </c>
    </row>
    <row r="358" ht="16.6" customHeight="1">
      <c r="A358" s="5" t="inlineStr">
        <is>
          <t>Resource</t>
        </is>
      </c>
      <c r="B358" s="6" t="inlineStr">
        <is>
          <t>SQLAlchemy: PostgreSQL INSERT ... ON CONFLICT  —  https://docs.sqlalchemy.org/en/20/dialects/postgresql.html#insert-on-conflict-upsert</t>
        </is>
      </c>
    </row>
    <row r="359" ht="16.6" customHeight="1">
      <c r="A359" s="5" t="inlineStr">
        <is>
          <t>Resource</t>
        </is>
      </c>
      <c r="B359" s="6" t="inlineStr">
        <is>
          <t>psycopg 3 documentation  —  https://www.psycopg.org/psycopg3/docs/</t>
        </is>
      </c>
    </row>
    <row r="361" ht="22" customHeight="1">
      <c r="A361" s="54" t="inlineStr">
        <is>
          <t>L17</t>
        </is>
      </c>
      <c r="B361" s="54" t="inlineStr">
        <is>
          <t>Database migrations with Alembic   ·   Intermediate   ·   about 60 min   ·   used in P3, P5, P14</t>
        </is>
      </c>
    </row>
    <row r="362">
      <c r="B362" s="55" t="inlineStr">
        <is>
          <t>↑ back to Lessons index</t>
        </is>
      </c>
    </row>
    <row r="363" ht="29.2" customHeight="1">
      <c r="A363" s="56" t="inlineStr">
        <is>
          <t>Why it matters</t>
        </is>
      </c>
      <c r="B363" s="57" t="inlineStr">
        <is>
          <t>Your schema will change many times. Migrations are versioned scripts that change the production database safely and repeatably, instead of guessing or dropping tables.</t>
        </is>
      </c>
    </row>
    <row r="364" ht="16.6" customHeight="1">
      <c r="A364" s="5" t="inlineStr">
        <is>
          <t>Concept 1</t>
        </is>
      </c>
      <c r="B364" s="9" t="inlineStr">
        <is>
          <t>alembic init migrations creates alembic.ini and migrations/env.py. You edit env.py so it uses your DATABASE_URL and Base.metadata.</t>
        </is>
      </c>
    </row>
    <row r="365" ht="29.2" customHeight="1">
      <c r="A365" s="5" t="inlineStr">
        <is>
          <t>Concept 2</t>
        </is>
      </c>
      <c r="B365" s="9" t="inlineStr">
        <is>
          <t>alembic revision --autogenerate -m 'add puzzles' compares your models with the database and writes a migration file with upgrade() and downgrade(). ALWAYS read the generated file: autogenerate can miss renames or produce a drop+add.</t>
        </is>
      </c>
    </row>
    <row r="366" ht="16.6" customHeight="1">
      <c r="A366" s="5" t="inlineStr">
        <is>
          <t>Concept 3</t>
        </is>
      </c>
      <c r="B366" s="9" t="inlineStr">
        <is>
          <t>alembic upgrade head applies all pending migrations. The table alembic_version stores which revision the database is at.</t>
        </is>
      </c>
    </row>
    <row r="367" ht="16.6" customHeight="1">
      <c r="A367" s="5" t="inlineStr">
        <is>
          <t>Concept 4</t>
        </is>
      </c>
      <c r="B367" s="9" t="inlineStr">
        <is>
          <t>alembic check fails if models and migrations disagree; CI runs it.</t>
        </is>
      </c>
    </row>
    <row r="368" ht="16.6" customHeight="1">
      <c r="A368" s="5" t="inlineStr">
        <is>
          <t>Concept 5</t>
        </is>
      </c>
      <c r="B368" s="9" t="inlineStr">
        <is>
          <t>Run migrations ONCE per deploy (Render preDeployCommand or the compose api command), not from every API process on startup.</t>
        </is>
      </c>
    </row>
    <row r="369" ht="29.2" customHeight="1">
      <c r="A369" s="5" t="inlineStr">
        <is>
          <t>Concept 6</t>
        </is>
      </c>
      <c r="B369" s="9" t="inlineStr">
        <is>
          <t>Expand / migrate / contract: to rename a column safely, first ADD the new column (expand), deploy code that writes both, backfill data (migrate), then remove the old column in a later release (contract). This keeps rollback possible.</t>
        </is>
      </c>
    </row>
    <row r="370" ht="16.6" customHeight="1">
      <c r="A370" s="5" t="inlineStr">
        <is>
          <t>Concept 7</t>
        </is>
      </c>
      <c r="B370" s="9" t="inlineStr">
        <is>
          <t>Never edit a migration that has already run in production; add a new one.</t>
        </is>
      </c>
    </row>
    <row r="371" ht="29.2" customHeight="1">
      <c r="A371" s="58" t="inlineStr">
        <is>
          <t>In ChessLab</t>
        </is>
      </c>
      <c r="B371" s="59" t="inlineStr">
        <is>
          <t>Phase 3 creates the initial migration with all tables (verified: autogenerate produced 10 tables and 'alembic check' passed). Later phases add migrations only if you change models.</t>
        </is>
      </c>
    </row>
    <row r="372" ht="16.6" customHeight="1">
      <c r="A372" s="5" t="inlineStr">
        <is>
          <t>Common mistake</t>
        </is>
      </c>
      <c r="B372" s="9" t="inlineStr">
        <is>
          <t>Using Base.metadata.create_all() in production (no history, no safe changes). It is fine inside tests.</t>
        </is>
      </c>
    </row>
    <row r="373" ht="16.6" customHeight="1">
      <c r="A373" s="5" t="inlineStr">
        <is>
          <t>Common mistake</t>
        </is>
      </c>
      <c r="B373" s="9" t="inlineStr">
        <is>
          <t>Not committing migration files.</t>
        </is>
      </c>
    </row>
    <row r="374" ht="16.6" customHeight="1">
      <c r="A374" s="5" t="inlineStr">
        <is>
          <t>Common mistake</t>
        </is>
      </c>
      <c r="B374" s="9" t="inlineStr">
        <is>
          <t>Writing a destructive migration while old code still reads the column.</t>
        </is>
      </c>
    </row>
    <row r="375" ht="16.6" customHeight="1">
      <c r="A375" s="7" t="inlineStr">
        <is>
          <t>Check yourself</t>
        </is>
      </c>
      <c r="B375" s="8" t="inlineStr">
        <is>
          <t>What does the alembic_version table contain?</t>
        </is>
      </c>
    </row>
    <row r="376" ht="16.6" customHeight="1">
      <c r="A376" s="7" t="inlineStr">
        <is>
          <t>Check yourself</t>
        </is>
      </c>
      <c r="B376" s="8" t="inlineStr">
        <is>
          <t>Why read an autogenerated migration before applying it?</t>
        </is>
      </c>
    </row>
    <row r="377" ht="16.6" customHeight="1">
      <c r="A377" s="7" t="inlineStr">
        <is>
          <t>Check yourself</t>
        </is>
      </c>
      <c r="B377" s="8" t="inlineStr">
        <is>
          <t>Describe expand/migrate/contract for renaming games.source to games.provider.</t>
        </is>
      </c>
    </row>
    <row r="378" ht="16.6" customHeight="1">
      <c r="A378" s="5" t="inlineStr">
        <is>
          <t>Resource</t>
        </is>
      </c>
      <c r="B378" s="6" t="inlineStr">
        <is>
          <t>Alembic tutorial  —  https://alembic.sqlalchemy.org/en/latest/tutorial.html</t>
        </is>
      </c>
    </row>
    <row r="379" ht="16.6" customHeight="1">
      <c r="A379" s="5" t="inlineStr">
        <is>
          <t>Resource</t>
        </is>
      </c>
      <c r="B379" s="6" t="inlineStr">
        <is>
          <t>Alembic: Auto Generating Migrations  —  https://alembic.sqlalchemy.org/en/latest/autogenerate.html</t>
        </is>
      </c>
    </row>
    <row r="380" ht="16.6" customHeight="1">
      <c r="A380" s="5" t="inlineStr">
        <is>
          <t>Resource</t>
        </is>
      </c>
      <c r="B380" s="6" t="inlineStr">
        <is>
          <t>Martin Fowler: Evolutionary Database Design  —  https://martinfowler.com/articles/evodb.html</t>
        </is>
      </c>
    </row>
    <row r="382" ht="22" customHeight="1">
      <c r="A382" s="54" t="inlineStr">
        <is>
          <t>L18</t>
        </is>
      </c>
      <c r="B382" s="54" t="inlineStr">
        <is>
          <t>Configuration and secrets: environment variables, .env files, and what is public   ·   Beginner   ·   about 30 min   ·   used in P3, P5, P13</t>
        </is>
      </c>
    </row>
    <row r="383">
      <c r="B383" s="55" t="inlineStr">
        <is>
          <t>↑ back to Lessons index</t>
        </is>
      </c>
    </row>
    <row r="384" ht="29.2" customHeight="1">
      <c r="A384" s="56" t="inlineStr">
        <is>
          <t>Why it matters</t>
        </is>
      </c>
      <c r="B384" s="57" t="inlineStr">
        <is>
          <t>The same code runs on your laptop, in CI and in production with different databases and origins. Configuration must come from the environment, and secrets must never be committed.</t>
        </is>
      </c>
    </row>
    <row r="385" ht="29.2" customHeight="1">
      <c r="A385" s="5" t="inlineStr">
        <is>
          <t>Concept 1</t>
        </is>
      </c>
      <c r="B385" s="9" t="inlineStr">
        <is>
          <t>The Twelve-Factor App rule: store config in environment variables. The code reads DATABASE_URL; it never contains 'postgres://prod-password@...'.</t>
        </is>
      </c>
    </row>
    <row r="386" ht="29.2" customHeight="1">
      <c r="A386" s="5" t="inlineStr">
        <is>
          <t>Concept 2</t>
        </is>
      </c>
      <c r="B386" s="9" t="inlineStr">
        <is>
          <t>pydantic-settings reads environment variables (and a local .env file) into a typed Settings object, so a missing or mistyped value fails at startup, not at 2 a.m.</t>
        </is>
      </c>
    </row>
    <row r="387" ht="16.6" customHeight="1">
      <c r="A387" s="5" t="inlineStr">
        <is>
          <t>Concept 3</t>
        </is>
      </c>
      <c r="B387" s="9" t="inlineStr">
        <is>
          <t>Commit .env.example (names and safe defaults) but never .env (real values). Production values live in the Render and Vercel dashboards.</t>
        </is>
      </c>
    </row>
    <row r="388" ht="29.2" customHeight="1">
      <c r="A388" s="5" t="inlineStr">
        <is>
          <t>Concept 4</t>
        </is>
      </c>
      <c r="B388" s="9" t="inlineStr">
        <is>
          <t>Public vs private: everything in the frontend bundle is public, including VITE_ variables. Database URLs, API keys (Anthropic), and session secrets exist only on the backend.</t>
        </is>
      </c>
    </row>
    <row r="389" ht="29.2" customHeight="1">
      <c r="A389" s="5" t="inlineStr">
        <is>
          <t>Concept 5</t>
        </is>
      </c>
      <c r="B389" s="9" t="inlineStr">
        <is>
          <t>Normalize provider quirks in one place: Render gives postgresql://...; SQLAlchemy needs postgresql+psycopg://...; Settings.use_psycopg_driver converts it.</t>
        </is>
      </c>
    </row>
    <row r="390" ht="16.6" customHeight="1">
      <c r="A390" s="5" t="inlineStr">
        <is>
          <t>Concept 6</t>
        </is>
      </c>
      <c r="B390" s="9" t="inlineStr">
        <is>
          <t>Rotate a secret immediately if it is ever exposed (committed, logged, pasted in a screenshot).</t>
        </is>
      </c>
    </row>
    <row r="391" ht="29.2" customHeight="1">
      <c r="A391" s="58" t="inlineStr">
        <is>
          <t>In ChessLab</t>
        </is>
      </c>
      <c r="B391" s="59" t="inlineStr">
        <is>
          <t>app/config.py holds every setting with a safe development default. The Config &amp; Env sheet lists each variable, where it is set, and whether it is secret.</t>
        </is>
      </c>
    </row>
    <row r="392" ht="16.6" customHeight="1">
      <c r="A392" s="5" t="inlineStr">
        <is>
          <t>Common mistake</t>
        </is>
      </c>
      <c r="B392" s="9" t="inlineStr">
        <is>
          <t>Reading os.environ directly all over the code (typos fail silently).</t>
        </is>
      </c>
    </row>
    <row r="393" ht="16.6" customHeight="1">
      <c r="A393" s="5" t="inlineStr">
        <is>
          <t>Common mistake</t>
        </is>
      </c>
      <c r="B393" s="9" t="inlineStr">
        <is>
          <t>Logging the full DATABASE_URL (contains the password).</t>
        </is>
      </c>
    </row>
    <row r="394" ht="16.6" customHeight="1">
      <c r="A394" s="5" t="inlineStr">
        <is>
          <t>Common mistake</t>
        </is>
      </c>
      <c r="B394" s="9" t="inlineStr">
        <is>
          <t>Committing .env 'just once'.</t>
        </is>
      </c>
    </row>
    <row r="395" ht="16.6" customHeight="1">
      <c r="A395" s="7" t="inlineStr">
        <is>
          <t>Check yourself</t>
        </is>
      </c>
      <c r="B395" s="8" t="inlineStr">
        <is>
          <t>Which ChessLab settings are secrets?</t>
        </is>
      </c>
    </row>
    <row r="396" ht="16.6" customHeight="1">
      <c r="A396" s="7" t="inlineStr">
        <is>
          <t>Check yourself</t>
        </is>
      </c>
      <c r="B396" s="8" t="inlineStr">
        <is>
          <t>Why is get_settings() wrapped in lru_cache?</t>
        </is>
      </c>
    </row>
    <row r="397" ht="16.6" customHeight="1">
      <c r="A397" s="7" t="inlineStr">
        <is>
          <t>Check yourself</t>
        </is>
      </c>
      <c r="B397" s="8" t="inlineStr">
        <is>
          <t>What happens if Render provides postgres:// and we don't convert it?</t>
        </is>
      </c>
    </row>
    <row r="398" ht="16.6" customHeight="1">
      <c r="A398" s="5" t="inlineStr">
        <is>
          <t>Resource</t>
        </is>
      </c>
      <c r="B398" s="6" t="inlineStr">
        <is>
          <t>The Twelve-Factor App: Config  —  https://12factor.net/config</t>
        </is>
      </c>
    </row>
    <row r="399" ht="16.6" customHeight="1">
      <c r="A399" s="5" t="inlineStr">
        <is>
          <t>Resource</t>
        </is>
      </c>
      <c r="B399" s="6" t="inlineStr">
        <is>
          <t>Pydantic Settings  —  https://docs.pydantic.dev/latest/concepts/pydantic_settings/</t>
        </is>
      </c>
    </row>
    <row r="400" ht="16.6" customHeight="1">
      <c r="A400" s="5" t="inlineStr">
        <is>
          <t>Resource</t>
        </is>
      </c>
      <c r="B400" s="6" t="inlineStr">
        <is>
          <t>OWASP Secrets Management Cheat Sheet  —  https://cheatsheetseries.owasp.org/cheatsheets/Secrets_Management_Cheat_Sheet.html</t>
        </is>
      </c>
    </row>
    <row r="402" ht="22" customHeight="1">
      <c r="A402" s="54" t="inlineStr">
        <is>
          <t>L19</t>
        </is>
      </c>
      <c r="B402" s="54" t="inlineStr">
        <is>
          <t>Guest authentication: opaque tokens, hashing and bearer headers   ·   Intermediate   ·   about 60 min   ·   used in P3, P13</t>
        </is>
      </c>
    </row>
    <row r="403">
      <c r="B403" s="55" t="inlineStr">
        <is>
          <t>↑ back to Lessons index</t>
        </is>
      </c>
    </row>
    <row r="404" ht="16.6" customHeight="1">
      <c r="A404" s="56" t="inlineStr">
        <is>
          <t>Why it matters</t>
        </is>
      </c>
      <c r="B404" s="57" t="inlineStr">
        <is>
          <t>Visitors must be able to use ChessLab without signing up, yet their games must stay private. A random guest token gives you both.</t>
        </is>
      </c>
    </row>
    <row r="405" ht="29.2" customHeight="1">
      <c r="A405" s="5" t="inlineStr">
        <is>
          <t>Concept 1</t>
        </is>
      </c>
      <c r="B405" s="9" t="inlineStr">
        <is>
          <t>An opaque token is a long random string with no meaning (secrets.token_urlsafe(32) = 256 bits). Whoever holds it IS that guest, so treat it like a password.</t>
        </is>
      </c>
    </row>
    <row r="406" ht="29.2" customHeight="1">
      <c r="A406" s="5" t="inlineStr">
        <is>
          <t>Concept 2</t>
        </is>
      </c>
      <c r="B406" s="9" t="inlineStr">
        <is>
          <t>The server stores only sha256(token). If the database leaks, attackers cannot use the hashes as tokens. A fast hash is fine here because the token is high-entropy random data; slow hashes (bcrypt, argon2) are for human-chosen passwords.</t>
        </is>
      </c>
    </row>
    <row r="407" ht="29.2" customHeight="1">
      <c r="A407" s="5" t="inlineStr">
        <is>
          <t>Concept 3</t>
        </is>
      </c>
      <c r="B407" s="9" t="inlineStr">
        <is>
          <t>The browser keeps the token in localStorage and sends it on each request as 'Authorization: Bearer &lt;token&gt;'. Never put tokens in URLs (they end up in logs and browser history).</t>
        </is>
      </c>
    </row>
    <row r="408" ht="16.6" customHeight="1">
      <c r="A408" s="5" t="inlineStr">
        <is>
          <t>Concept 4</t>
        </is>
      </c>
      <c r="B408" s="9" t="inlineStr">
        <is>
          <t>Sliding expiry: each authenticated request extends expires_at by 30 days; inactive guests expire and their data is cleaned up.</t>
        </is>
      </c>
    </row>
    <row r="409" ht="29.2" customHeight="1">
      <c r="A409" s="5" t="inlineStr">
        <is>
          <t>Concept 5</t>
        </is>
      </c>
      <c r="B409" s="9" t="inlineStr">
        <is>
          <t>Limitations to state honestly: clearing site data loses access; there is no cross-device login; entering a Lichess username does not prove ownership of that account.</t>
        </is>
      </c>
    </row>
    <row r="410" ht="29.2" customHeight="1">
      <c r="A410" s="5" t="inlineStr">
        <is>
          <t>Concept 6</t>
        </is>
      </c>
      <c r="B410" s="9" t="inlineStr">
        <is>
          <t>localStorage risk: any script running on your page can read it, so Cross-Site Scripting (XSS) would leak the token. Mitigate with a strict Content-Security-Policy, no dangerouslySetInnerHTML, and no third-party scripts.</t>
        </is>
      </c>
    </row>
    <row r="411" ht="16.6" customHeight="1">
      <c r="A411" s="5" t="inlineStr">
        <is>
          <t>Concept 7</t>
        </is>
      </c>
      <c r="B411" s="9" t="inlineStr">
        <is>
          <t>Rate-limit session creation (10 per minute per IP) so nobody can create millions of guests.</t>
        </is>
      </c>
    </row>
    <row r="412" ht="29.2" customHeight="1">
      <c r="A412" s="58" t="inlineStr">
        <is>
          <t>In ChessLab</t>
        </is>
      </c>
      <c r="B412" s="59" t="inlineStr">
        <is>
          <t>POST /v1/sessions returns the token once. app/security.py current_visitor looks up the hash, rejects expired tokens with 401, and slides the expiry. The frontend client.ts creates a session lazily and retries once on 401.</t>
        </is>
      </c>
    </row>
    <row r="413" ht="16.6" customHeight="1">
      <c r="A413" s="5" t="inlineStr">
        <is>
          <t>Common mistake</t>
        </is>
      </c>
      <c r="B413" s="9" t="inlineStr">
        <is>
          <t>Storing raw tokens in the database.</t>
        </is>
      </c>
    </row>
    <row r="414" ht="16.6" customHeight="1">
      <c r="A414" s="5" t="inlineStr">
        <is>
          <t>Common mistake</t>
        </is>
      </c>
      <c r="B414" s="9" t="inlineStr">
        <is>
          <t>Logging Authorization headers.</t>
        </is>
      </c>
    </row>
    <row r="415" ht="16.6" customHeight="1">
      <c r="A415" s="5" t="inlineStr">
        <is>
          <t>Common mistake</t>
        </is>
      </c>
      <c r="B415" s="9" t="inlineStr">
        <is>
          <t>Using predictable ids (1, 2, 3) as credentials.</t>
        </is>
      </c>
    </row>
    <row r="416" ht="16.6" customHeight="1">
      <c r="A416" s="7" t="inlineStr">
        <is>
          <t>Check yourself</t>
        </is>
      </c>
      <c r="B416" s="8" t="inlineStr">
        <is>
          <t>Why is sha256 acceptable for tokens but not for passwords?</t>
        </is>
      </c>
    </row>
    <row r="417" ht="16.6" customHeight="1">
      <c r="A417" s="7" t="inlineStr">
        <is>
          <t>Check yourself</t>
        </is>
      </c>
      <c r="B417" s="8" t="inlineStr">
        <is>
          <t>What does the server do when a token is expired?</t>
        </is>
      </c>
    </row>
    <row r="418" ht="16.6" customHeight="1">
      <c r="A418" s="7" t="inlineStr">
        <is>
          <t>Check yourself</t>
        </is>
      </c>
      <c r="B418" s="8" t="inlineStr">
        <is>
          <t>Name two things that could leak a token and how ChessLab prevents them.</t>
        </is>
      </c>
    </row>
    <row r="419" ht="16.6" customHeight="1">
      <c r="A419" s="5" t="inlineStr">
        <is>
          <t>Resource</t>
        </is>
      </c>
      <c r="B419" s="6" t="inlineStr">
        <is>
          <t>OWASP Session Management Cheat Sheet  —  https://cheatsheetseries.owasp.org/cheatsheets/Session_Management_Cheat_Sheet.html</t>
        </is>
      </c>
    </row>
    <row r="420" ht="16.6" customHeight="1">
      <c r="A420" s="5" t="inlineStr">
        <is>
          <t>Resource</t>
        </is>
      </c>
      <c r="B420" s="6" t="inlineStr">
        <is>
          <t>Python secrets module  —  https://docs.python.org/3/library/secrets.html</t>
        </is>
      </c>
    </row>
    <row r="421" ht="16.6" customHeight="1">
      <c r="A421" s="5" t="inlineStr">
        <is>
          <t>Resource</t>
        </is>
      </c>
      <c r="B421" s="6" t="inlineStr">
        <is>
          <t>MDN: Authorization header  —  https://developer.mozilla.org/en-US/docs/Web/HTTP/Headers/Authorization</t>
        </is>
      </c>
    </row>
    <row r="423" ht="22" customHeight="1">
      <c r="A423" s="54" t="inlineStr">
        <is>
          <t>L20</t>
        </is>
      </c>
      <c r="B423" s="54" t="inlineStr">
        <is>
          <t>Authorization and ownership checks (preventing IDOR)   ·   Intermediate   ·   about 30 min   ·   used in P3, P6, P7, P9, P10</t>
        </is>
      </c>
    </row>
    <row r="424">
      <c r="B424" s="55" t="inlineStr">
        <is>
          <t>↑ back to Lessons index</t>
        </is>
      </c>
    </row>
    <row r="425" ht="29.2" customHeight="1">
      <c r="A425" s="56" t="inlineStr">
        <is>
          <t>Why it matters</t>
        </is>
      </c>
      <c r="B425" s="57" t="inlineStr">
        <is>
          <t>Authentication says WHO you are; authorization says WHAT you may access. The most common real-world API bug is letting user A read user B's object just by changing an id in the URL (Insecure Direct Object Reference).</t>
        </is>
      </c>
    </row>
    <row r="426" ht="16.6" customHeight="1">
      <c r="A426" s="5" t="inlineStr">
        <is>
          <t>Concept 1</t>
        </is>
      </c>
      <c r="B426" s="9" t="inlineStr">
        <is>
          <t>Every private lookup must filter by owner: game = db.get(Game, id); if game is None or game.owner_id != visitor.id: 404.</t>
        </is>
      </c>
    </row>
    <row r="427" ht="16.6" customHeight="1">
      <c r="A427" s="5" t="inlineStr">
        <is>
          <t>Concept 2</t>
        </is>
      </c>
      <c r="B427" s="9" t="inlineStr">
        <is>
          <t>Return 404 (not 403) for other people's objects so attackers cannot even confirm the id exists.</t>
        </is>
      </c>
    </row>
    <row r="428" ht="16.6" customHeight="1">
      <c r="A428" s="5" t="inlineStr">
        <is>
          <t>Concept 3</t>
        </is>
      </c>
      <c r="B428" s="9" t="inlineStr">
        <is>
          <t>Check ownership on EVERY path: reading a game, its review, its job, cancelling a job, practising from a piece of evidence, deleting data.</t>
        </is>
      </c>
    </row>
    <row r="429" ht="16.6" customHeight="1">
      <c r="A429" s="5" t="inlineStr">
        <is>
          <t>Concept 4</t>
        </is>
      </c>
      <c r="B429" s="9" t="inlineStr">
        <is>
          <t>Unguessable ids (UUIDs) are defence in depth, not a replacement for ownership checks.</t>
        </is>
      </c>
    </row>
    <row r="430" ht="16.6" customHeight="1">
      <c r="A430" s="5" t="inlineStr">
        <is>
          <t>Concept 5</t>
        </is>
      </c>
      <c r="B430" s="9" t="inlineStr">
        <is>
          <t>Write tests with two guests (alice and bob) proving bob gets 404 for alice's game and job.</t>
        </is>
      </c>
    </row>
    <row r="431" ht="29.2" customHeight="1">
      <c r="A431" s="58" t="inlineStr">
        <is>
          <t>In ChessLab</t>
        </is>
      </c>
      <c r="B431" s="59" t="inlineStr">
        <is>
          <t>get_owned_game() in app/api/games.py, _owned_job() in jobs.py and _owned() in practice.py implement the check. tests/test_api.py::test_other_guests_cannot_read_my_game proves it.</t>
        </is>
      </c>
    </row>
    <row r="432" ht="16.6" customHeight="1">
      <c r="A432" s="5" t="inlineStr">
        <is>
          <t>Common mistake</t>
        </is>
      </c>
      <c r="B432" s="9" t="inlineStr">
        <is>
          <t>Checking ownership on the main GET but forgetting the related endpoints (job polling, review, cancel).</t>
        </is>
      </c>
    </row>
    <row r="433" ht="16.6" customHeight="1">
      <c r="A433" s="5" t="inlineStr">
        <is>
          <t>Common mistake</t>
        </is>
      </c>
      <c r="B433" s="9" t="inlineStr">
        <is>
          <t>Trusting an owner_id sent by the client.</t>
        </is>
      </c>
    </row>
    <row r="434" ht="16.6" customHeight="1">
      <c r="A434" s="7" t="inlineStr">
        <is>
          <t>Check yourself</t>
        </is>
      </c>
      <c r="B434" s="8" t="inlineStr">
        <is>
          <t>Which ChessLab endpoints need an ownership check?</t>
        </is>
      </c>
    </row>
    <row r="435" ht="16.6" customHeight="1">
      <c r="A435" s="7" t="inlineStr">
        <is>
          <t>Check yourself</t>
        </is>
      </c>
      <c r="B435" s="8" t="inlineStr">
        <is>
          <t>Why is a UUID alone not enough protection?</t>
        </is>
      </c>
    </row>
    <row r="436" ht="29.2" customHeight="1">
      <c r="A436" s="5" t="inlineStr">
        <is>
          <t>Resource</t>
        </is>
      </c>
      <c r="B436" s="6" t="inlineStr">
        <is>
          <t>OWASP API Security Top 10: Broken Object Level Authorization  —  https://owasp.org/API-Security/editions/2023/en/0xa1-broken-object-level-authorization/</t>
        </is>
      </c>
    </row>
    <row r="437" ht="29.2" customHeight="1">
      <c r="A437" s="5" t="inlineStr">
        <is>
          <t>Resource</t>
        </is>
      </c>
      <c r="B437" s="6" t="inlineStr">
        <is>
          <t>OWASP: Insecure Direct Object Reference Prevention  —  https://cheatsheetseries.owasp.org/cheatsheets/Insecure_Direct_Object_Reference_Prevention_Cheat_Sheet.html</t>
        </is>
      </c>
    </row>
    <row r="439" ht="22" customHeight="1">
      <c r="A439" s="54" t="inlineStr">
        <is>
          <t>L21</t>
        </is>
      </c>
      <c r="B439" s="54" t="inlineStr">
        <is>
          <t>CORS explained (and why it is not security for your API)   ·   Beginner   ·   about 30 min   ·   used in P3, P5</t>
        </is>
      </c>
    </row>
    <row r="440">
      <c r="B440" s="55" t="inlineStr">
        <is>
          <t>↑ back to Lessons index</t>
        </is>
      </c>
    </row>
    <row r="441" ht="29.2" customHeight="1">
      <c r="A441" s="56" t="inlineStr">
        <is>
          <t>Why it matters</t>
        </is>
      </c>
      <c r="B441" s="57" t="inlineStr">
        <is>
          <t>The first deployment of almost every full-stack app fails with a CORS error. Understanding it turns a scary red console message into a 2-minute fix.</t>
        </is>
      </c>
    </row>
    <row r="442" ht="29.2" customHeight="1">
      <c r="A442" s="5" t="inlineStr">
        <is>
          <t>Concept 1</t>
        </is>
      </c>
      <c r="B442" s="9" t="inlineStr">
        <is>
          <t>The browser blocks JavaScript on origin A from reading responses from origin B unless B says it is allowed via Access-Control-Allow-Origin headers.</t>
        </is>
      </c>
    </row>
    <row r="443" ht="29.2" customHeight="1">
      <c r="A443" s="5" t="inlineStr">
        <is>
          <t>Concept 2</t>
        </is>
      </c>
      <c r="B443" s="9" t="inlineStr">
        <is>
          <t>For requests with an Authorization header or JSON body, the browser first sends a 'preflight' OPTIONS request; the server must answer with the allowed origin, methods and headers.</t>
        </is>
      </c>
    </row>
    <row r="444" ht="29.2" customHeight="1">
      <c r="A444" s="5" t="inlineStr">
        <is>
          <t>Concept 3</t>
        </is>
      </c>
      <c r="B444" s="9" t="inlineStr">
        <is>
          <t>FastAPI's CORSMiddleware(allow_origins=[...], allow_methods=[...], allow_headers=['Authorization','Content-Type']) handles it. List exact origins (https://your-app.vercel.app), never '*', when sending credentials or tokens.</t>
        </is>
      </c>
    </row>
    <row r="445" ht="16.6" customHeight="1">
      <c r="A445" s="5" t="inlineStr">
        <is>
          <t>Concept 4</t>
        </is>
      </c>
      <c r="B445" s="9" t="inlineStr">
        <is>
          <t>CORS only restricts BROWSERS. curl, scripts and attackers ignore it. Your security comes from tokens and ownership checks, not from CORS.</t>
        </is>
      </c>
    </row>
    <row r="446" ht="29.2" customHeight="1">
      <c r="A446" s="5" t="inlineStr">
        <is>
          <t>Concept 5</t>
        </is>
      </c>
      <c r="B446" s="9" t="inlineStr">
        <is>
          <t>Gotcha: if the server crashes with an unhandled 500, the error response may lack CORS headers and the browser reports a misleading 'CORS error'. Look at the API logs first.</t>
        </is>
      </c>
    </row>
    <row r="447" ht="16.6" customHeight="1">
      <c r="A447" s="5" t="inlineStr">
        <is>
          <t>Concept 6</t>
        </is>
      </c>
      <c r="B447" s="9" t="inlineStr">
        <is>
          <t>Vercel preview deployments have different URLs; add them deliberately (or use a staging API) instead of allowing everything.</t>
        </is>
      </c>
    </row>
    <row r="448" ht="29.2" customHeight="1">
      <c r="A448" s="58" t="inlineStr">
        <is>
          <t>In ChessLab</t>
        </is>
      </c>
      <c r="B448" s="59" t="inlineStr">
        <is>
          <t>ALLOWED_ORIGINS is a comma-separated env var. Locally it is http://localhost:5180; in production it is your exact Vercel URL. We verified the preflight returns access-control-allow-origin for the configured origin.</t>
        </is>
      </c>
    </row>
    <row r="449" ht="16.6" customHeight="1">
      <c r="A449" s="5" t="inlineStr">
        <is>
          <t>Common mistake</t>
        </is>
      </c>
      <c r="B449" s="9" t="inlineStr">
        <is>
          <t>Setting allow_origins=['*'] to 'make it work'.</t>
        </is>
      </c>
    </row>
    <row r="450" ht="16.6" customHeight="1">
      <c r="A450" s="5" t="inlineStr">
        <is>
          <t>Common mistake</t>
        </is>
      </c>
      <c r="B450" s="9" t="inlineStr">
        <is>
          <t>Trailing slash in the origin (https://x.vercel.app/ does not match https://x.vercel.app).</t>
        </is>
      </c>
    </row>
    <row r="451" ht="16.6" customHeight="1">
      <c r="A451" s="5" t="inlineStr">
        <is>
          <t>Common mistake</t>
        </is>
      </c>
      <c r="B451" s="9" t="inlineStr">
        <is>
          <t>Debugging CORS when the real problem is a 500 on the server.</t>
        </is>
      </c>
    </row>
    <row r="452" ht="16.6" customHeight="1">
      <c r="A452" s="7" t="inlineStr">
        <is>
          <t>Check yourself</t>
        </is>
      </c>
      <c r="B452" s="8" t="inlineStr">
        <is>
          <t>Why does curl work while the browser shows a CORS error?</t>
        </is>
      </c>
    </row>
    <row r="453" ht="16.6" customHeight="1">
      <c r="A453" s="7" t="inlineStr">
        <is>
          <t>Check yourself</t>
        </is>
      </c>
      <c r="B453" s="8" t="inlineStr">
        <is>
          <t>What is a preflight request?</t>
        </is>
      </c>
    </row>
    <row r="454" ht="16.6" customHeight="1">
      <c r="A454" s="7" t="inlineStr">
        <is>
          <t>Check yourself</t>
        </is>
      </c>
      <c r="B454" s="8" t="inlineStr">
        <is>
          <t>Where do you set the production origin?</t>
        </is>
      </c>
    </row>
    <row r="455" ht="16.6" customHeight="1">
      <c r="A455" s="5" t="inlineStr">
        <is>
          <t>Resource</t>
        </is>
      </c>
      <c r="B455" s="6" t="inlineStr">
        <is>
          <t>MDN: Cross-Origin Resource Sharing (CORS)  —  https://developer.mozilla.org/en-US/docs/Web/HTTP/CORS</t>
        </is>
      </c>
    </row>
    <row r="456" ht="16.6" customHeight="1">
      <c r="A456" s="5" t="inlineStr">
        <is>
          <t>Resource</t>
        </is>
      </c>
      <c r="B456" s="6" t="inlineStr">
        <is>
          <t>FastAPI: CORS  —  https://fastapi.tiangolo.com/tutorial/cors/</t>
        </is>
      </c>
    </row>
    <row r="458" ht="22" customHeight="1">
      <c r="A458" s="54" t="inlineStr">
        <is>
          <t>L22</t>
        </is>
      </c>
      <c r="B458" s="54" t="inlineStr">
        <is>
          <t>Error handling and a stable error contract   ·   Beginner   ·   about 30 min   ·   used in P3 and every API phase</t>
        </is>
      </c>
    </row>
    <row r="459">
      <c r="B459" s="55" t="inlineStr">
        <is>
          <t>↑ back to Lessons index</t>
        </is>
      </c>
    </row>
    <row r="460" ht="16.6" customHeight="1">
      <c r="A460" s="56" t="inlineStr">
        <is>
          <t>Why it matters</t>
        </is>
      </c>
      <c r="B460" s="57" t="inlineStr">
        <is>
          <t>Users need clear messages, the frontend needs machine-readable codes, and you need logs. Tracebacks must never reach the browser.</t>
        </is>
      </c>
    </row>
    <row r="461" ht="16.6" customHeight="1">
      <c r="A461" s="5" t="inlineStr">
        <is>
          <t>Concept 1</t>
        </is>
      </c>
      <c r="B461" s="9" t="inlineStr">
        <is>
          <t>One error shape for the whole API: {"error": {"code": "INVALID_PGN", "message": "Illegal move Ke3 at ply 3."}}.</t>
        </is>
      </c>
    </row>
    <row r="462" ht="29.2" customHeight="1">
      <c r="A462" s="5" t="inlineStr">
        <is>
          <t>Concept 2</t>
        </is>
      </c>
      <c r="B462" s="9" t="inlineStr">
        <is>
          <t>Codes are stable identifiers the frontend can switch on (ILLEGAL_MOVE, IMPORT_RATE_LIMITED, AUTH_INVALID, NO_PUZZLE_AVAILABLE). Messages are for humans and may change.</t>
        </is>
      </c>
    </row>
    <row r="463" ht="29.2" customHeight="1">
      <c r="A463" s="5" t="inlineStr">
        <is>
          <t>Concept 3</t>
        </is>
      </c>
      <c r="B463" s="9" t="inlineStr">
        <is>
          <t>Raise ApiError(status, code, message) for expected problems; let unexpected exceptions reach a catch-all handler that logs the traceback with a request path and returns a generic 500.</t>
        </is>
      </c>
    </row>
    <row r="464" ht="16.6" customHeight="1">
      <c r="A464" s="5" t="inlineStr">
        <is>
          <t>Concept 4</t>
        </is>
      </c>
      <c r="B464" s="9" t="inlineStr">
        <is>
          <t>Validation errors from Pydantic are converted into the same shape (VALIDATION_FAILED).</t>
        </is>
      </c>
    </row>
    <row r="465" ht="29.2" customHeight="1">
      <c r="A465" s="5" t="inlineStr">
        <is>
          <t>Concept 5</t>
        </is>
      </c>
      <c r="B465" s="9" t="inlineStr">
        <is>
          <t>Classify errors in background jobs: PermanentError (bad input, user not found: never retry) vs RetryableError (timeouts, 429, 5xx: retry with backoff).</t>
        </is>
      </c>
    </row>
    <row r="466" ht="29.2" customHeight="1">
      <c r="A466" s="5" t="inlineStr">
        <is>
          <t>Concept 6</t>
        </is>
      </c>
      <c r="B466" s="9" t="inlineStr">
        <is>
          <t>In the UI, show errors next to the action that failed, with a retry button when retrying makes sense, and keep the user's work (the game position) intact.</t>
        </is>
      </c>
    </row>
    <row r="467" ht="29.2" customHeight="1">
      <c r="A467" s="58" t="inlineStr">
        <is>
          <t>In ChessLab</t>
        </is>
      </c>
      <c r="B467" s="59" t="inlineStr">
        <is>
          <t>app/errors.py defines ApiError and three handlers. The frontend ApiError class carries status, code and message. Worker errors map to job.error_code.</t>
        </is>
      </c>
    </row>
    <row r="468" ht="16.6" customHeight="1">
      <c r="A468" s="5" t="inlineStr">
        <is>
          <t>Common mistake</t>
        </is>
      </c>
      <c r="B468" s="9" t="inlineStr">
        <is>
          <t>Returning raw exception text (can leak SQL or file paths).</t>
        </is>
      </c>
    </row>
    <row r="469" ht="16.6" customHeight="1">
      <c r="A469" s="5" t="inlineStr">
        <is>
          <t>Common mistake</t>
        </is>
      </c>
      <c r="B469" s="9" t="inlineStr">
        <is>
          <t>Catching all exceptions and doing nothing ('except: pass').</t>
        </is>
      </c>
    </row>
    <row r="470" ht="16.6" customHeight="1">
      <c r="A470" s="5" t="inlineStr">
        <is>
          <t>Common mistake</t>
        </is>
      </c>
      <c r="B470" s="9" t="inlineStr">
        <is>
          <t>Retrying errors that can never succeed.</t>
        </is>
      </c>
    </row>
    <row r="471" ht="16.6" customHeight="1">
      <c r="A471" s="7" t="inlineStr">
        <is>
          <t>Check yourself</t>
        </is>
      </c>
      <c r="B471" s="8" t="inlineStr">
        <is>
          <t>Which ChessLab errors are retryable?</t>
        </is>
      </c>
    </row>
    <row r="472" ht="16.6" customHeight="1">
      <c r="A472" s="7" t="inlineStr">
        <is>
          <t>Check yourself</t>
        </is>
      </c>
      <c r="B472" s="8" t="inlineStr">
        <is>
          <t>Where are tracebacks visible, and where are they deliberately hidden?</t>
        </is>
      </c>
    </row>
    <row r="473" ht="16.6" customHeight="1">
      <c r="A473" s="5" t="inlineStr">
        <is>
          <t>Resource</t>
        </is>
      </c>
      <c r="B473" s="6" t="inlineStr">
        <is>
          <t>FastAPI: Handling Errors  —  https://fastapi.tiangolo.com/tutorial/handling-errors/</t>
        </is>
      </c>
    </row>
    <row r="474" ht="16.6" customHeight="1">
      <c r="A474" s="5" t="inlineStr">
        <is>
          <t>Resource</t>
        </is>
      </c>
      <c r="B474" s="6" t="inlineStr">
        <is>
          <t>RFC 9457: Problem Details for HTTP APIs  —  https://www.rfc-editor.org/rfc/rfc9457</t>
        </is>
      </c>
    </row>
    <row r="476" ht="22" customHeight="1">
      <c r="A476" s="54" t="inlineStr">
        <is>
          <t>L23</t>
        </is>
      </c>
      <c r="B476" s="54" t="inlineStr">
        <is>
          <t>Testing: unit, integration and end-to-end tests with pytest   ·   Intermediate   ·   about 120 min   ·   used in P3, P6, P8, P10, P11, P12</t>
        </is>
      </c>
    </row>
    <row r="477">
      <c r="B477" s="55" t="inlineStr">
        <is>
          <t>↑ back to Lessons index</t>
        </is>
      </c>
    </row>
    <row r="478" ht="29.2" customHeight="1">
      <c r="A478" s="56" t="inlineStr">
        <is>
          <t>Why it matters</t>
        </is>
      </c>
      <c r="B478" s="57" t="inlineStr">
        <is>
          <t>Tests let you change code without fear, prove claims ('two workers never take the same job') and are one of the strongest signals in a portfolio.</t>
        </is>
      </c>
    </row>
    <row r="479" ht="16.6" customHeight="1">
      <c r="A479" s="5" t="inlineStr">
        <is>
          <t>Concept 1</t>
        </is>
      </c>
      <c r="B479" s="9" t="inlineStr">
        <is>
          <t>Unit tests check one pure function with known inputs (knight_fork_candidates on a FEN). They are fast and need no database.</t>
        </is>
      </c>
    </row>
    <row r="480" ht="29.2" customHeight="1">
      <c r="A480" s="5" t="inlineStr">
        <is>
          <t>Concept 2</t>
        </is>
      </c>
      <c r="B480" s="9" t="inlineStr">
        <is>
          <t>Integration tests check real boundaries: API + Postgres. Locking, JSONB and ON CONFLICT behave differently (or don't exist) in SQLite, so test against real Postgres.</t>
        </is>
      </c>
    </row>
    <row r="481" ht="16.6" customHeight="1">
      <c r="A481" s="5" t="inlineStr">
        <is>
          <t>Concept 3</t>
        </is>
      </c>
      <c r="B481" s="9" t="inlineStr">
        <is>
          <t>End-to-end (e2e) tests drive a real browser through a user journey (Playwright).</t>
        </is>
      </c>
    </row>
    <row r="482" ht="16.6" customHeight="1">
      <c r="A482" s="5" t="inlineStr">
        <is>
          <t>Concept 4</t>
        </is>
      </c>
      <c r="B482" s="9" t="inlineStr">
        <is>
          <t>The testing pyramid: many unit tests, fewer integration tests, a handful of e2e tests.</t>
        </is>
      </c>
    </row>
    <row r="483" ht="29.2" customHeight="1">
      <c r="A483" s="5" t="inlineStr">
        <is>
          <t>Concept 5</t>
        </is>
      </c>
      <c r="B483" s="9" t="inlineStr">
        <is>
          <t>pytest basics: files named test_*.py, functions named test_*, plain 'assert'. Run 'uv run pytest -q'. 'pytest -k fork' runs matching tests; '-x' stops at first failure.</t>
        </is>
      </c>
    </row>
    <row r="484" ht="29.2" customHeight="1">
      <c r="A484" s="5" t="inlineStr">
        <is>
          <t>Concept 6</t>
        </is>
      </c>
      <c r="B484" s="9" t="inlineStr">
        <is>
          <t>Fixtures provide setup: 'client' (TestClient), 'auth' (creates a guest and returns headers), 'fork_puzzle'. autouse fixtures run for every test (cleaning tables).</t>
        </is>
      </c>
    </row>
    <row r="485" ht="29.2" customHeight="1">
      <c r="A485" s="5" t="inlineStr">
        <is>
          <t>Concept 7</t>
        </is>
      </c>
      <c r="B485" s="9" t="inlineStr">
        <is>
          <t>Test doubles: FakeEvaluator returns scripted engine evaluations, so detector logic is tested without Stockfish, deterministically, in milliseconds.</t>
        </is>
      </c>
    </row>
    <row r="486" ht="29.2" customHeight="1">
      <c r="A486" s="5" t="inlineStr">
        <is>
          <t>Concept 8</t>
        </is>
      </c>
      <c r="B486" s="9" t="inlineStr">
        <is>
          <t>Write NEGATIVE tests, not only positive ones: pinned knight, defended pieces, capturable forking knight, equally good actual move, illegal engine line.</t>
        </is>
      </c>
    </row>
    <row r="487" ht="16.6" customHeight="1">
      <c r="A487" s="5" t="inlineStr">
        <is>
          <t>Concept 9</t>
        </is>
      </c>
      <c r="B487" s="9" t="inlineStr">
        <is>
          <t>A regression test reproduces a bug you fixed (test_simultaneous_practice_starts_do_not_crash) so it can never come back silently.</t>
        </is>
      </c>
    </row>
    <row r="488" ht="29.2" customHeight="1">
      <c r="A488" s="58" t="inlineStr">
        <is>
          <t>In ChessLab</t>
        </is>
      </c>
      <c r="B488" s="59" t="inlineStr">
        <is>
          <t>services/backend/tests has 43 tests (verified passing): detector logic, grading, Elo, PGN parsing, guards, and Postgres-backed API tests including ownership, idempotency, SKIP LOCKED, stale-worker fencing, cancellation, practice flow and deletion.</t>
        </is>
      </c>
    </row>
    <row r="489" ht="16.6" customHeight="1">
      <c r="A489" s="5" t="inlineStr">
        <is>
          <t>Common mistake</t>
        </is>
      </c>
      <c r="B489" s="9" t="inlineStr">
        <is>
          <t>Only testing the happy path.</t>
        </is>
      </c>
    </row>
    <row r="490" ht="16.6" customHeight="1">
      <c r="A490" s="5" t="inlineStr">
        <is>
          <t>Common mistake</t>
        </is>
      </c>
      <c r="B490" s="9" t="inlineStr">
        <is>
          <t>Tests that depend on the internet (use recorded fixtures; run live smoke checks separately).</t>
        </is>
      </c>
    </row>
    <row r="491" ht="16.6" customHeight="1">
      <c r="A491" s="5" t="inlineStr">
        <is>
          <t>Common mistake</t>
        </is>
      </c>
      <c r="B491" s="9" t="inlineStr">
        <is>
          <t>Tests that share state and pass or fail depending on order (we TRUNCATE between tests).</t>
        </is>
      </c>
    </row>
    <row r="492" ht="16.6" customHeight="1">
      <c r="A492" s="7" t="inlineStr">
        <is>
          <t>Check yourself</t>
        </is>
      </c>
      <c r="B492" s="8" t="inlineStr">
        <is>
          <t>Why do the queue tests need real Postgres?</t>
        </is>
      </c>
    </row>
    <row r="493" ht="16.6" customHeight="1">
      <c r="A493" s="7" t="inlineStr">
        <is>
          <t>Check yourself</t>
        </is>
      </c>
      <c r="B493" s="8" t="inlineStr">
        <is>
          <t>What does FakeEvaluator let you test that Stockfish would make slow or flaky?</t>
        </is>
      </c>
    </row>
    <row r="494" ht="16.6" customHeight="1">
      <c r="A494" s="7" t="inlineStr">
        <is>
          <t>Check yourself</t>
        </is>
      </c>
      <c r="B494" s="8" t="inlineStr">
        <is>
          <t>Name three negative test cases for the fork detector.</t>
        </is>
      </c>
    </row>
    <row r="495" ht="16.6" customHeight="1">
      <c r="A495" s="5" t="inlineStr">
        <is>
          <t>Resource</t>
        </is>
      </c>
      <c r="B495" s="6" t="inlineStr">
        <is>
          <t>pytest: Get Started  —  https://docs.pytest.org/en/stable/getting-started.html</t>
        </is>
      </c>
    </row>
    <row r="496" ht="16.6" customHeight="1">
      <c r="A496" s="5" t="inlineStr">
        <is>
          <t>Resource</t>
        </is>
      </c>
      <c r="B496" s="6" t="inlineStr">
        <is>
          <t>pytest: Fixtures  —  https://docs.pytest.org/en/stable/how-to/fixtures.html</t>
        </is>
      </c>
    </row>
    <row r="497" ht="16.6" customHeight="1">
      <c r="A497" s="5" t="inlineStr">
        <is>
          <t>Resource</t>
        </is>
      </c>
      <c r="B497" s="6" t="inlineStr">
        <is>
          <t>Martin Fowler: The Practical Test Pyramid  —  https://martinfowler.com/articles/practical-test-pyramid.html</t>
        </is>
      </c>
    </row>
    <row r="499" ht="22" customHeight="1">
      <c r="A499" s="54" t="inlineStr">
        <is>
          <t>L24</t>
        </is>
      </c>
      <c r="B499" s="54" t="inlineStr">
        <is>
          <t>Frontend testing: Vitest for logic, Playwright for real browsers   ·   Intermediate   ·   about 60 min   ·   used in P4, P9, P14</t>
        </is>
      </c>
    </row>
    <row r="500">
      <c r="B500" s="55" t="inlineStr">
        <is>
          <t>↑ back to Lessons index</t>
        </is>
      </c>
    </row>
    <row r="501" ht="16.6" customHeight="1">
      <c r="A501" s="56" t="inlineStr">
        <is>
          <t>Why it matters</t>
        </is>
      </c>
      <c r="B501" s="57" t="inlineStr">
        <is>
          <t>Board interaction, workers and routing only fail in a real browser. Playwright checks the journey a recruiter will take.</t>
        </is>
      </c>
    </row>
    <row r="502" ht="16.6" customHeight="1">
      <c r="A502" s="5" t="inlineStr">
        <is>
          <t>Concept 1</t>
        </is>
      </c>
      <c r="B502" s="9" t="inlineStr">
        <is>
          <t>Vitest runs TypeScript unit tests with the same config as Vite: describe/it/expect. Test pure helpers (isPromotion, buildPgn, statusOf).</t>
        </is>
      </c>
    </row>
    <row r="503" ht="29.2" customHeight="1">
      <c r="A503" s="5" t="inlineStr">
        <is>
          <t>Concept 2</t>
        </is>
      </c>
      <c r="B503" s="9" t="inlineStr">
        <is>
          <t>Playwright launches Chromium, opens your dev server and acts like a user: page.goto('/play'), getByRole('button', {name: 'Start game'}).click(), expect(...).toBeVisible().</t>
        </is>
      </c>
    </row>
    <row r="504" ht="29.2" customHeight="1">
      <c r="A504" s="5" t="inlineStr">
        <is>
          <t>Concept 3</t>
        </is>
      </c>
      <c r="B504" s="9" t="inlineStr">
        <is>
          <t>Prefer accessible locators (getByRole, getByLabel) over CSS selectors: they also check that your UI is accessible. react-chessboard squares can be clicked with [data-square="e2"].</t>
        </is>
      </c>
    </row>
    <row r="505" ht="16.6" customHeight="1">
      <c r="A505" s="5" t="inlineStr">
        <is>
          <t>Concept 4</t>
        </is>
      </c>
      <c r="B505" s="9" t="inlineStr">
        <is>
          <t>Auto-waiting: Playwright waits for elements; use expect(...).toHaveCount(1, {timeout: 20000}) for slow things like an engine reply.</t>
        </is>
      </c>
    </row>
    <row r="506" ht="29.2" customHeight="1">
      <c r="A506" s="5" t="inlineStr">
        <is>
          <t>Concept 5</t>
        </is>
      </c>
      <c r="B506" s="9" t="inlineStr">
        <is>
          <t>webServer in playwright.config.ts starts 'npm run dev' automatically. reuseExistingServer must not accidentally reuse a DIFFERENT app on the same port (this happened during verification on this machine: port 5173 belonged to another project).</t>
        </is>
      </c>
    </row>
    <row r="507" ht="16.6" customHeight="1">
      <c r="A507" s="5" t="inlineStr">
        <is>
          <t>Concept 6</t>
        </is>
      </c>
      <c r="B507" s="9" t="inlineStr">
        <is>
          <t>Keep frontend-only e2e tests in CI; run full-stack e2e locally (or against a seeded staging environment).</t>
        </is>
      </c>
    </row>
    <row r="508" ht="29.2" customHeight="1">
      <c r="A508" s="58" t="inlineStr">
        <is>
          <t>In ChessLab</t>
        </is>
      </c>
      <c r="B508" s="59" t="inlineStr">
        <is>
          <t>e2e/play.spec.ts (Stockfish move as Black, original engine move, deep-link routing) and e2e/fullstack.spec.ts (play -&gt; resign -&gt; review -&gt; practice -&gt; progress, plus the public demo) all passed in Chromium during verification.</t>
        </is>
      </c>
    </row>
    <row r="509" ht="16.6" customHeight="1">
      <c r="A509" s="5" t="inlineStr">
        <is>
          <t>Common mistake</t>
        </is>
      </c>
      <c r="B509" s="9" t="inlineStr">
        <is>
          <t>Fixed sleeps (waitForTimeout) instead of waiting for a condition.</t>
        </is>
      </c>
    </row>
    <row r="510" ht="16.6" customHeight="1">
      <c r="A510" s="5" t="inlineStr">
        <is>
          <t>Common mistake</t>
        </is>
      </c>
      <c r="B510" s="9" t="inlineStr">
        <is>
          <t>Selecting by brittle CSS classes.</t>
        </is>
      </c>
    </row>
    <row r="511" ht="16.6" customHeight="1">
      <c r="A511" s="5" t="inlineStr">
        <is>
          <t>Common mistake</t>
        </is>
      </c>
      <c r="B511" s="9" t="inlineStr">
        <is>
          <t>Snapshot tests that copy the implementation and break on every change.</t>
        </is>
      </c>
    </row>
    <row r="512" ht="16.6" customHeight="1">
      <c r="A512" s="7" t="inlineStr">
        <is>
          <t>Check yourself</t>
        </is>
      </c>
      <c r="B512" s="8" t="inlineStr">
        <is>
          <t>Why test with getByRole instead of .className selectors?</t>
        </is>
      </c>
    </row>
    <row r="513" ht="16.6" customHeight="1">
      <c r="A513" s="7" t="inlineStr">
        <is>
          <t>Check yourself</t>
        </is>
      </c>
      <c r="B513" s="8" t="inlineStr">
        <is>
          <t>Which journeys run in CI and which only locally?</t>
        </is>
      </c>
    </row>
    <row r="514" ht="16.6" customHeight="1">
      <c r="A514" s="5" t="inlineStr">
        <is>
          <t>Resource</t>
        </is>
      </c>
      <c r="B514" s="6" t="inlineStr">
        <is>
          <t>Vitest: Getting Started  —  https://vitest.dev/guide/</t>
        </is>
      </c>
    </row>
    <row r="515" ht="16.6" customHeight="1">
      <c r="A515" s="5" t="inlineStr">
        <is>
          <t>Resource</t>
        </is>
      </c>
      <c r="B515" s="6" t="inlineStr">
        <is>
          <t>Playwright: Getting started  —  https://playwright.dev/docs/intro</t>
        </is>
      </c>
    </row>
    <row r="516" ht="16.6" customHeight="1">
      <c r="A516" s="5" t="inlineStr">
        <is>
          <t>Resource</t>
        </is>
      </c>
      <c r="B516" s="6" t="inlineStr">
        <is>
          <t>Playwright: Locators  —  https://playwright.dev/docs/locators</t>
        </is>
      </c>
    </row>
    <row r="517" ht="16.6" customHeight="1">
      <c r="A517" s="5" t="inlineStr">
        <is>
          <t>Resource</t>
        </is>
      </c>
      <c r="B517" s="6" t="inlineStr">
        <is>
          <t>Testing Library: Guiding principles  —  https://testing-library.com/docs/guiding-principles</t>
        </is>
      </c>
    </row>
    <row r="519" ht="22" customHeight="1">
      <c r="A519" s="54" t="inlineStr">
        <is>
          <t>L25</t>
        </is>
      </c>
      <c r="B519" s="54" t="inlineStr">
        <is>
          <t>Docker images for the backend: Dockerfile, layers, non-root, one image with two commands   ·   Intermediate   ·   about 60 min   ·   used in P5, P6</t>
        </is>
      </c>
    </row>
    <row r="520">
      <c r="B520" s="55" t="inlineStr">
        <is>
          <t>↑ back to Lessons index</t>
        </is>
      </c>
    </row>
    <row r="521" ht="16.6" customHeight="1">
      <c r="A521" s="56" t="inlineStr">
        <is>
          <t>Why it matters</t>
        </is>
      </c>
      <c r="B521" s="57" t="inlineStr">
        <is>
          <t>Render runs your backend from a Docker image. The same image must work on your laptop, in CI and in production, with Stockfish inside it.</t>
        </is>
      </c>
    </row>
    <row r="522" ht="29.2" customHeight="1">
      <c r="A522" s="5" t="inlineStr">
        <is>
          <t>Concept 1</t>
        </is>
      </c>
      <c r="B522" s="9" t="inlineStr">
        <is>
          <t>A Dockerfile is a recipe: FROM python:3.12-slim-bookworm, RUN apt-get install stockfish, COPY requirements.txt, RUN pip install, COPY . ., CMD [...].</t>
        </is>
      </c>
    </row>
    <row r="523" ht="16.6" customHeight="1">
      <c r="A523" s="5" t="inlineStr">
        <is>
          <t>Concept 2</t>
        </is>
      </c>
      <c r="B523" s="9" t="inlineStr">
        <is>
          <t>Layers are cached: copy requirements.txt and install dependencies BEFORE copying your code, so code changes don't reinstall everything.</t>
        </is>
      </c>
    </row>
    <row r="524" ht="41.8" customHeight="1">
      <c r="A524" s="5" t="inlineStr">
        <is>
          <t>Concept 3</t>
        </is>
      </c>
      <c r="B524" s="9" t="inlineStr">
        <is>
          <t>Install Stockfish from Debian's package archive: pinned with the base image, compiled for generic x86-64 Linux (no unsupported CPU instruction surprises), installed at /usr/games/stockfish. Record its version (it reported 'Stockfish 15.1' during verification). If you later want the newest Stockfish, download an official Linux release binary in the Dockerfile and record its checksum.</t>
        </is>
      </c>
    </row>
    <row r="525" ht="16.6" customHeight="1">
      <c r="A525" s="5" t="inlineStr">
        <is>
          <t>Concept 4</t>
        </is>
      </c>
      <c r="B525" s="9" t="inlineStr">
        <is>
          <t>Run as a non-root user (useradd + USER appuser): if the app is compromised, the attacker has fewer permissions.</t>
        </is>
      </c>
    </row>
    <row r="526" ht="29.2" customHeight="1">
      <c r="A526" s="5" t="inlineStr">
        <is>
          <t>Concept 5</t>
        </is>
      </c>
      <c r="B526" s="9" t="inlineStr">
        <is>
          <t>One image, two commands: the API uses the default CMD (uvicorn ... --port ${PORT:-8000}); the worker overrides it with python -m app.worker. Same code, same versions, guaranteed compatible.</t>
        </is>
      </c>
    </row>
    <row r="527" ht="16.6" customHeight="1">
      <c r="A527" s="5" t="inlineStr">
        <is>
          <t>Concept 6</t>
        </is>
      </c>
      <c r="B527" s="9" t="inlineStr">
        <is>
          <t>Bind to 0.0.0.0 and the platform's PORT so the platform's router can reach the server.</t>
        </is>
      </c>
    </row>
    <row r="528" ht="16.6" customHeight="1">
      <c r="A528" s="5" t="inlineStr">
        <is>
          <t>Concept 7</t>
        </is>
      </c>
      <c r="B528" s="9" t="inlineStr">
        <is>
          <t>.dockerignore excludes .venv, caches and .env from the image.</t>
        </is>
      </c>
    </row>
    <row r="529" ht="16.6" customHeight="1">
      <c r="A529" s="58" t="inlineStr">
        <is>
          <t>In ChessLab</t>
        </is>
      </c>
      <c r="B529" s="59" t="inlineStr">
        <is>
          <t>services/backend/Dockerfile was built and run during verification; the worker inside it analysed real games with Stockfish 15.1.</t>
        </is>
      </c>
    </row>
    <row r="530" ht="16.6" customHeight="1">
      <c r="A530" s="5" t="inlineStr">
        <is>
          <t>Common mistake</t>
        </is>
      </c>
      <c r="B530" s="9" t="inlineStr">
        <is>
          <t>Binding to 127.0.0.1 inside a container (unreachable from outside).</t>
        </is>
      </c>
    </row>
    <row r="531" ht="16.6" customHeight="1">
      <c r="A531" s="5" t="inlineStr">
        <is>
          <t>Common mistake</t>
        </is>
      </c>
      <c r="B531" s="9" t="inlineStr">
        <is>
          <t>Copying .env into the image.</t>
        </is>
      </c>
    </row>
    <row r="532" ht="16.6" customHeight="1">
      <c r="A532" s="5" t="inlineStr">
        <is>
          <t>Common mistake</t>
        </is>
      </c>
      <c r="B532" s="9" t="inlineStr">
        <is>
          <t>Building a separate, slightly different image for the worker.</t>
        </is>
      </c>
    </row>
    <row r="533" ht="16.6" customHeight="1">
      <c r="A533" s="7" t="inlineStr">
        <is>
          <t>Check yourself</t>
        </is>
      </c>
      <c r="B533" s="8" t="inlineStr">
        <is>
          <t>Why copy requirements.txt before the rest of the code?</t>
        </is>
      </c>
    </row>
    <row r="534" ht="16.6" customHeight="1">
      <c r="A534" s="7" t="inlineStr">
        <is>
          <t>Check yourself</t>
        </is>
      </c>
      <c r="B534" s="8" t="inlineStr">
        <is>
          <t>How does the worker container run different code from the API container?</t>
        </is>
      </c>
    </row>
    <row r="535" ht="16.6" customHeight="1">
      <c r="A535" s="5" t="inlineStr">
        <is>
          <t>Resource</t>
        </is>
      </c>
      <c r="B535" s="6" t="inlineStr">
        <is>
          <t>Dockerfile reference  —  https://docs.docker.com/reference/dockerfile/</t>
        </is>
      </c>
    </row>
    <row r="536" ht="16.6" customHeight="1">
      <c r="A536" s="5" t="inlineStr">
        <is>
          <t>Resource</t>
        </is>
      </c>
      <c r="B536" s="6" t="inlineStr">
        <is>
          <t>Docker: Building best practices  —  https://docs.docker.com/build/building/best-practices/</t>
        </is>
      </c>
    </row>
    <row r="537" ht="16.6" customHeight="1">
      <c r="A537" s="5" t="inlineStr">
        <is>
          <t>Resource</t>
        </is>
      </c>
      <c r="B537" s="6" t="inlineStr">
        <is>
          <t>Debian package: stockfish  —  https://packages.debian.org/bookworm/stockfish</t>
        </is>
      </c>
    </row>
    <row r="539" ht="22" customHeight="1">
      <c r="A539" s="54" t="inlineStr">
        <is>
          <t>L26</t>
        </is>
      </c>
      <c r="B539" s="54" t="inlineStr">
        <is>
          <t>Docker Compose for a local multi-service stack   ·   Beginner   ·   about 40 min   ·   used in P2, P6, P14</t>
        </is>
      </c>
    </row>
    <row r="540">
      <c r="B540" s="55" t="inlineStr">
        <is>
          <t>↑ back to Lessons index</t>
        </is>
      </c>
    </row>
    <row r="541" ht="29.2" customHeight="1">
      <c r="A541" s="56" t="inlineStr">
        <is>
          <t>Why it matters</t>
        </is>
      </c>
      <c r="B541" s="57" t="inlineStr">
        <is>
          <t>One command starts Postgres, the API and the worker exactly as they will run in production, which catches networking and configuration problems early.</t>
        </is>
      </c>
    </row>
    <row r="542" ht="29.2" customHeight="1">
      <c r="A542" s="5" t="inlineStr">
        <is>
          <t>Concept 1</t>
        </is>
      </c>
      <c r="B542" s="9" t="inlineStr">
        <is>
          <t>compose.yaml lists services (db, api, worker), their images or build folders, environment variables, ports, volumes, health checks and start order (depends_on with condition: service_healthy).</t>
        </is>
      </c>
    </row>
    <row r="543" ht="29.2" customHeight="1">
      <c r="A543" s="5" t="inlineStr">
        <is>
          <t>Concept 2</t>
        </is>
      </c>
      <c r="B543" s="9" t="inlineStr">
        <is>
          <t>'docker compose up --build' builds and starts everything; '-d' runs in the background; 'docker compose logs -f worker' streams logs; 'docker compose exec api sh' opens a shell inside a container; 'docker compose down' stops (add -v to delete data).</t>
        </is>
      </c>
    </row>
    <row r="544" ht="16.6" customHeight="1">
      <c r="A544" s="5" t="inlineStr">
        <is>
          <t>Concept 3</t>
        </is>
      </c>
      <c r="B544" s="9" t="inlineStr">
        <is>
          <t>Service names are hostnames on the Compose network: the API connects to db:5432.</t>
        </is>
      </c>
    </row>
    <row r="545" ht="16.6" customHeight="1">
      <c r="A545" s="5" t="inlineStr">
        <is>
          <t>Concept 4</t>
        </is>
      </c>
      <c r="B545" s="9" t="inlineStr">
        <is>
          <t>Migrations run once in the api command (alembic upgrade head &amp;&amp; uvicorn ...); the worker waits for the api to be healthy.</t>
        </is>
      </c>
    </row>
    <row r="546" ht="16.6" customHeight="1">
      <c r="A546" s="5" t="inlineStr">
        <is>
          <t>Concept 5</t>
        </is>
      </c>
      <c r="B546" s="9" t="inlineStr">
        <is>
          <t>stop_grace_period gives the worker time to finish a job after SIGTERM.</t>
        </is>
      </c>
    </row>
    <row r="547" ht="29.2" customHeight="1">
      <c r="A547" s="58" t="inlineStr">
        <is>
          <t>In ChessLab</t>
        </is>
      </c>
      <c r="B547" s="59" t="inlineStr">
        <is>
          <t>The full compose stack was started during verification: db -&gt; migrations -&gt; api healthy -&gt; worker; the full Playwright journey passed against it.</t>
        </is>
      </c>
    </row>
    <row r="548" ht="16.6" customHeight="1">
      <c r="A548" s="5" t="inlineStr">
        <is>
          <t>Common mistake</t>
        </is>
      </c>
      <c r="B548" s="9" t="inlineStr">
        <is>
          <t>Forgetting --build after changing Python code (old image keeps running).</t>
        </is>
      </c>
    </row>
    <row r="549" ht="16.6" customHeight="1">
      <c r="A549" s="5" t="inlineStr">
        <is>
          <t>Common mistake</t>
        </is>
      </c>
      <c r="B549" s="9" t="inlineStr">
        <is>
          <t>Exposing the database port in production (Compose is for local development only).</t>
        </is>
      </c>
    </row>
    <row r="550" ht="16.6" customHeight="1">
      <c r="A550" s="7" t="inlineStr">
        <is>
          <t>Check yourself</t>
        </is>
      </c>
      <c r="B550" s="8" t="inlineStr">
        <is>
          <t>How does the worker know the database is ready?</t>
        </is>
      </c>
    </row>
    <row r="551" ht="16.6" customHeight="1">
      <c r="A551" s="7" t="inlineStr">
        <is>
          <t>Check yourself</t>
        </is>
      </c>
      <c r="B551" s="8" t="inlineStr">
        <is>
          <t>Which command shows only the worker's logs?</t>
        </is>
      </c>
    </row>
    <row r="552" ht="16.6" customHeight="1">
      <c r="A552" s="5" t="inlineStr">
        <is>
          <t>Resource</t>
        </is>
      </c>
      <c r="B552" s="6" t="inlineStr">
        <is>
          <t>Docker Compose overview  —  https://docs.docker.com/compose/</t>
        </is>
      </c>
    </row>
    <row r="553" ht="16.6" customHeight="1">
      <c r="A553" s="5" t="inlineStr">
        <is>
          <t>Resource</t>
        </is>
      </c>
      <c r="B553" s="6" t="inlineStr">
        <is>
          <t>Compose file reference  —  https://docs.docker.com/reference/compose-file/</t>
        </is>
      </c>
    </row>
    <row r="555" ht="22" customHeight="1">
      <c r="A555" s="54" t="inlineStr">
        <is>
          <t>L27</t>
        </is>
      </c>
      <c r="B555" s="54" t="inlineStr">
        <is>
          <t>Background jobs: why web requests must stay short   ·   Intermediate   ·   about 45 min   ·   used in P6, P7, P8</t>
        </is>
      </c>
    </row>
    <row r="556">
      <c r="B556" s="55" t="inlineStr">
        <is>
          <t>↑ back to Lessons index</t>
        </is>
      </c>
    </row>
    <row r="557" ht="29.2" customHeight="1">
      <c r="A557" s="56" t="inlineStr">
        <is>
          <t>Why it matters</t>
        </is>
      </c>
      <c r="B557" s="57" t="inlineStr">
        <is>
          <t>Analysing a game with Stockfish takes seconds; importing 200 games takes minutes. Doing that inside a web request would time out, block other users and lose work on restarts.</t>
        </is>
      </c>
    </row>
    <row r="558" ht="29.2" customHeight="1">
      <c r="A558" s="5" t="inlineStr">
        <is>
          <t>Concept 1</t>
        </is>
      </c>
      <c r="B558" s="9" t="inlineStr">
        <is>
          <t>The pattern: the API records the request (a row in jobs) and returns immediately (202 + job id). A separate worker process picks up jobs and does the slow work. The client polls for status.</t>
        </is>
      </c>
    </row>
    <row r="559" ht="29.2" customHeight="1">
      <c r="A559" s="5" t="inlineStr">
        <is>
          <t>Concept 2</t>
        </is>
      </c>
      <c r="B559" s="9" t="inlineStr">
        <is>
          <t>Benefits: requests stay fast; work survives API restarts; you can add more workers; you can prioritise (a just-finished game before a 200-game import) and retry failures.</t>
        </is>
      </c>
    </row>
    <row r="560" ht="29.2" customHeight="1">
      <c r="A560" s="5" t="inlineStr">
        <is>
          <t>Concept 3</t>
        </is>
      </c>
      <c r="B560" s="9" t="inlineStr">
        <is>
          <t>Durability: the queue is a Postgres table, so jobs survive crashes and deploys. No extra infrastructure (no Redis/RabbitMQ) to run or pay for.</t>
        </is>
      </c>
    </row>
    <row r="561" ht="29.2" customHeight="1">
      <c r="A561" s="5" t="inlineStr">
        <is>
          <t>Concept 4</t>
        </is>
      </c>
      <c r="B561" s="9" t="inlineStr">
        <is>
          <t>Granularity: one job per game (not one job for 200 games) so progress is visible, failures are isolated, and interactive work can jump ahead.</t>
        </is>
      </c>
    </row>
    <row r="562" ht="16.6" customHeight="1">
      <c r="A562" s="5" t="inlineStr">
        <is>
          <t>Concept 5</t>
        </is>
      </c>
      <c r="B562" s="9" t="inlineStr">
        <is>
          <t>Progress and cancellation: the worker writes progress JSON and checks a cancel flag at safe points (between positions).</t>
        </is>
      </c>
    </row>
    <row r="563" ht="29.2" customHeight="1">
      <c r="A563" s="5" t="inlineStr">
        <is>
          <t>Concept 6</t>
        </is>
      </c>
      <c r="B563" s="9" t="inlineStr">
        <is>
          <t>Priority with aging: effective priority = priority + minutes waiting / 10 (capped), so big imports are not starved forever by interactive jobs.</t>
        </is>
      </c>
    </row>
    <row r="564" ht="29.2" customHeight="1">
      <c r="A564" s="58" t="inlineStr">
        <is>
          <t>In ChessLab</t>
        </is>
      </c>
      <c r="B564" s="59" t="inlineStr">
        <is>
          <t>app/jobs/queue.py (enqueue/claim/heartbeat/complete/fail), app/jobs/handlers.py (analyze_game, import_lichess) and app/worker.py (the loop). Saving a played game enqueues analysis with priority 10; imports use priority 0.</t>
        </is>
      </c>
    </row>
    <row r="565" ht="16.6" customHeight="1">
      <c r="A565" s="5" t="inlineStr">
        <is>
          <t>Common mistake</t>
        </is>
      </c>
      <c r="B565" s="9" t="inlineStr">
        <is>
          <t>Starting threads inside the API process for background work (lost on restart, competes with requests).</t>
        </is>
      </c>
    </row>
    <row r="566" ht="16.6" customHeight="1">
      <c r="A566" s="5" t="inlineStr">
        <is>
          <t>Common mistake</t>
        </is>
      </c>
      <c r="B566" s="9" t="inlineStr">
        <is>
          <t>One giant job that runs for an hour and cannot be resumed.</t>
        </is>
      </c>
    </row>
    <row r="567" ht="16.6" customHeight="1">
      <c r="A567" s="5" t="inlineStr">
        <is>
          <t>Common mistake</t>
        </is>
      </c>
      <c r="B567" s="9" t="inlineStr">
        <is>
          <t>No way to see why a job failed.</t>
        </is>
      </c>
    </row>
    <row r="568" ht="16.6" customHeight="1">
      <c r="A568" s="7" t="inlineStr">
        <is>
          <t>Check yourself</t>
        </is>
      </c>
      <c r="B568" s="8" t="inlineStr">
        <is>
          <t>What does the client do after receiving a job id?</t>
        </is>
      </c>
    </row>
    <row r="569" ht="16.6" customHeight="1">
      <c r="A569" s="7" t="inlineStr">
        <is>
          <t>Check yourself</t>
        </is>
      </c>
      <c r="B569" s="8" t="inlineStr">
        <is>
          <t>Why is each imported game its own analysis job?</t>
        </is>
      </c>
    </row>
    <row r="570" ht="16.6" customHeight="1">
      <c r="A570" s="5" t="inlineStr">
        <is>
          <t>Resource</t>
        </is>
      </c>
      <c r="B570" s="6" t="inlineStr">
        <is>
          <t>Render: Background workers  —  https://render.com/docs/background-workers</t>
        </is>
      </c>
    </row>
    <row r="571" ht="16.6" customHeight="1">
      <c r="A571" s="5" t="inlineStr">
        <is>
          <t>Resource</t>
        </is>
      </c>
      <c r="B571" s="6" t="inlineStr">
        <is>
          <t>Brandur: Transactionally staged job drains in Postgres  —  https://brandur.org/job-drain</t>
        </is>
      </c>
    </row>
    <row r="573" ht="22" customHeight="1">
      <c r="A573" s="54" t="inlineStr">
        <is>
          <t>L28</t>
        </is>
      </c>
      <c r="B573" s="54" t="inlineStr">
        <is>
          <t>Postgres as a job queue: row locks, FOR UPDATE SKIP LOCKED and leases   ·   Advanced   ·   about 75 min   ·   used in P6</t>
        </is>
      </c>
    </row>
    <row r="574">
      <c r="B574" s="55" t="inlineStr">
        <is>
          <t>↑ back to Lessons index</t>
        </is>
      </c>
    </row>
    <row r="575" ht="16.6" customHeight="1">
      <c r="A575" s="56" t="inlineStr">
        <is>
          <t>Why it matters</t>
        </is>
      </c>
      <c r="B575" s="57" t="inlineStr">
        <is>
          <t>This is the most 'senior' engineering idea in the project and a favourite interview topic: how do several workers safely share one queue?</t>
        </is>
      </c>
    </row>
    <row r="576" ht="16.6" customHeight="1">
      <c r="A576" s="5" t="inlineStr">
        <is>
          <t>Concept 1</t>
        </is>
      </c>
      <c r="B576" s="9" t="inlineStr">
        <is>
          <t>Problem: two workers run 'SELECT the next queued job' at the same moment and both get job 7. Both analyse the same game.</t>
        </is>
      </c>
    </row>
    <row r="577" ht="16.6" customHeight="1">
      <c r="A577" s="5" t="inlineStr">
        <is>
          <t>Concept 2</t>
        </is>
      </c>
      <c r="B577" s="9" t="inlineStr">
        <is>
          <t>SELECT ... FOR UPDATE locks the selected row until the transaction ends. Another worker trying to lock it would wait.</t>
        </is>
      </c>
    </row>
    <row r="578" ht="29.2" customHeight="1">
      <c r="A578" s="5" t="inlineStr">
        <is>
          <t>Concept 3</t>
        </is>
      </c>
      <c r="B578" s="9" t="inlineStr">
        <is>
          <t>SKIP LOCKED tells the second worker: don't wait, skip rows someone else has locked and take the next one. Combined: UPDATE jobs SET status='running' WHERE id = (SELECT id ... FOR UPDATE SKIP LOCKED LIMIT 1) RETURNING ... claims exactly one job atomically.</t>
        </is>
      </c>
    </row>
    <row r="579" ht="16.6" customHeight="1">
      <c r="A579" s="5" t="inlineStr">
        <is>
          <t>Concept 4</t>
        </is>
      </c>
      <c r="B579" s="9" t="inlineStr">
        <is>
          <t>Keep the claim transaction SHORT: claim and commit, then do the heavy work outside any transaction.</t>
        </is>
      </c>
    </row>
    <row r="580" ht="29.2" customHeight="1">
      <c r="A580" s="5" t="inlineStr">
        <is>
          <t>Concept 5</t>
        </is>
      </c>
      <c r="B580" s="9" t="inlineStr">
        <is>
          <t>Leases: when claimed, a job gets lease_expires_at = now() + 60 s. The worker extends it with heartbeats. If the worker crashes, the lease expires and another worker reclaims the job. This is 'at-least-once' delivery.</t>
        </is>
      </c>
    </row>
    <row r="581" ht="29.2" customHeight="1">
      <c r="A581" s="5" t="inlineStr">
        <is>
          <t>Concept 6</t>
        </is>
      </c>
      <c r="B581" s="9" t="inlineStr">
        <is>
          <t>Fencing token: attempts increments on each claim; every later update says WHERE id = :id AND attempts = :attempts. A slow, stale worker whose lease was taken over updates 0 rows and its late result is ignored.</t>
        </is>
      </c>
    </row>
    <row r="582" ht="16.6" customHeight="1">
      <c r="A582" s="5" t="inlineStr">
        <is>
          <t>Concept 7</t>
        </is>
      </c>
      <c r="B582" s="9" t="inlineStr">
        <is>
          <t>Exhausted leases: a job that keeps crashing workers is failed after max_attempts so it does not loop forever.</t>
        </is>
      </c>
    </row>
    <row r="583" ht="29.2" customHeight="1">
      <c r="A583" s="58" t="inlineStr">
        <is>
          <t>In ChessLab</t>
        </is>
      </c>
      <c r="B583" s="59" t="inlineStr">
        <is>
          <t>CLAIM_SQL in app/jobs/queue.py. tests/test_api.py proves 4 threads claiming 30 jobs never get duplicates, and a stale worker cannot overwrite a newer attempt.</t>
        </is>
      </c>
    </row>
    <row r="584" ht="16.6" customHeight="1">
      <c r="A584" s="5" t="inlineStr">
        <is>
          <t>Common mistake</t>
        </is>
      </c>
      <c r="B584" s="9" t="inlineStr">
        <is>
          <t>Holding the lock during the whole analysis (blocks, and a crash leaves the job stuck).</t>
        </is>
      </c>
    </row>
    <row r="585" ht="16.6" customHeight="1">
      <c r="A585" s="5" t="inlineStr">
        <is>
          <t>Common mistake</t>
        </is>
      </c>
      <c r="B585" s="9" t="inlineStr">
        <is>
          <t>No lease (a crashed worker's job stays 'running' forever).</t>
        </is>
      </c>
    </row>
    <row r="586" ht="16.6" customHeight="1">
      <c r="A586" s="5" t="inlineStr">
        <is>
          <t>Common mistake</t>
        </is>
      </c>
      <c r="B586" s="9" t="inlineStr">
        <is>
          <t>Assuming exactly-once delivery: handlers must be idempotent (lesson L29).</t>
        </is>
      </c>
    </row>
    <row r="587" ht="16.6" customHeight="1">
      <c r="A587" s="7" t="inlineStr">
        <is>
          <t>Check yourself</t>
        </is>
      </c>
      <c r="B587" s="8" t="inlineStr">
        <is>
          <t>Explain SKIP LOCKED to a friend in two sentences.</t>
        </is>
      </c>
    </row>
    <row r="588" ht="16.6" customHeight="1">
      <c r="A588" s="7" t="inlineStr">
        <is>
          <t>Check yourself</t>
        </is>
      </c>
      <c r="B588" s="8" t="inlineStr">
        <is>
          <t>What happens to a running job when its worker is killed?</t>
        </is>
      </c>
    </row>
    <row r="589" ht="16.6" customHeight="1">
      <c r="A589" s="7" t="inlineStr">
        <is>
          <t>Check yourself</t>
        </is>
      </c>
      <c r="B589" s="8" t="inlineStr">
        <is>
          <t>How does the attempts column act as a fencing token?</t>
        </is>
      </c>
    </row>
    <row r="590" ht="16.6" customHeight="1">
      <c r="A590" s="5" t="inlineStr">
        <is>
          <t>Resource</t>
        </is>
      </c>
      <c r="B590" s="6" t="inlineStr">
        <is>
          <t>PostgreSQL: SELECT ... The Locking Clause  —  https://www.postgresql.org/docs/current/sql-select.html#SQL-FOR-UPDATE-SHARE</t>
        </is>
      </c>
    </row>
    <row r="591" ht="16.6" customHeight="1">
      <c r="A591" s="5" t="inlineStr">
        <is>
          <t>Resource</t>
        </is>
      </c>
      <c r="B591" s="6" t="inlineStr">
        <is>
          <t>PostgreSQL: Explicit Locking  —  https://www.postgresql.org/docs/current/explicit-locking.html</t>
        </is>
      </c>
    </row>
    <row r="592" ht="29.2" customHeight="1">
      <c r="A592" s="5" t="inlineStr">
        <is>
          <t>Resource</t>
        </is>
      </c>
      <c r="B592" s="6" t="inlineStr">
        <is>
          <t>Martin Kleppmann: How to do distributed locking (fencing tokens)  —  https://martin.kleppmann.com/2016/02/08/how-to-do-distributed-locking.html</t>
        </is>
      </c>
    </row>
    <row r="594" ht="22" customHeight="1">
      <c r="A594" s="54" t="inlineStr">
        <is>
          <t>L29</t>
        </is>
      </c>
      <c r="B594" s="54" t="inlineStr">
        <is>
          <t>Idempotency, retries, exponential backoff with jitter   ·   Intermediate   ·   about 45 min   ·   used in P6, P7, P10</t>
        </is>
      </c>
    </row>
    <row r="595">
      <c r="B595" s="55" t="inlineStr">
        <is>
          <t>↑ back to Lessons index</t>
        </is>
      </c>
    </row>
    <row r="596" ht="16.6" customHeight="1">
      <c r="A596" s="56" t="inlineStr">
        <is>
          <t>Why it matters</t>
        </is>
      </c>
      <c r="B596" s="57" t="inlineStr">
        <is>
          <t>Networks fail, users double-click, workers crash mid-job. Systems that can safely repeat operations are the ones that stay correct.</t>
        </is>
      </c>
    </row>
    <row r="597" ht="16.6" customHeight="1">
      <c r="A597" s="5" t="inlineStr">
        <is>
          <t>Concept 1</t>
        </is>
      </c>
      <c r="B597" s="9" t="inlineStr">
        <is>
          <t>An operation is idempotent if doing it twice has the same effect as doing it once.</t>
        </is>
      </c>
    </row>
    <row r="598" ht="29.2" customHeight="1">
      <c r="A598" s="5" t="inlineStr">
        <is>
          <t>Concept 2</t>
        </is>
      </c>
      <c r="B598" s="9" t="inlineStr">
        <is>
          <t>Make writes idempotent with natural keys and unique constraints: a played game's source_game_id is a hash of its moves, so saving it twice returns the same game; enqueue uses dedupe_key 'analyze:&lt;game&gt;:&lt;pipeline&gt;' so analysis is queued once.</t>
        </is>
      </c>
    </row>
    <row r="599" ht="29.2" customHeight="1">
      <c r="A599" s="5" t="inlineStr">
        <is>
          <t>Concept 3</t>
        </is>
      </c>
      <c r="B599" s="9" t="inlineStr">
        <is>
          <t>Make handlers idempotent: analyze_game deletes and rewrites evidence for its analysis run; import uses ON CONFLICT DO NOTHING; the rating update is guarded by an UPDATE ... WHERE rating_applied = false.</t>
        </is>
      </c>
    </row>
    <row r="600" ht="29.2" customHeight="1">
      <c r="A600" s="5" t="inlineStr">
        <is>
          <t>Concept 4</t>
        </is>
      </c>
      <c r="B600" s="9" t="inlineStr">
        <is>
          <t>Retry only retryable errors (timeouts, 429, 5xx). Use exponential backoff (5 s, 10 s, 20 s ... capped) plus random jitter so many clients don't retry in lockstep. Honour Retry-After or the provider's guidance (Lichess: wait a full minute after 429).</t>
        </is>
      </c>
    </row>
    <row r="601" ht="16.6" customHeight="1">
      <c r="A601" s="5" t="inlineStr">
        <is>
          <t>Concept 5</t>
        </is>
      </c>
      <c r="B601" s="9" t="inlineStr">
        <is>
          <t>Cap attempts and record the final error so a human can inspect it.</t>
        </is>
      </c>
    </row>
    <row r="602" ht="16.6" customHeight="1">
      <c r="A602" s="58" t="inlineStr">
        <is>
          <t>In ChessLab</t>
        </is>
      </c>
      <c r="B602" s="59" t="inlineStr">
        <is>
          <t>queue.fail() computes min(600, 5 * 2**attempts) + random jitter. The worker distinguishes PermanentError and RetryableError.</t>
        </is>
      </c>
    </row>
    <row r="603" ht="16.6" customHeight="1">
      <c r="A603" s="5" t="inlineStr">
        <is>
          <t>Common mistake</t>
        </is>
      </c>
      <c r="B603" s="9" t="inlineStr">
        <is>
          <t>Retrying a malformed PGN forever.</t>
        </is>
      </c>
    </row>
    <row r="604" ht="16.6" customHeight="1">
      <c r="A604" s="5" t="inlineStr">
        <is>
          <t>Common mistake</t>
        </is>
      </c>
      <c r="B604" s="9" t="inlineStr">
        <is>
          <t>Appending evidence rows on every retry (duplicates).</t>
        </is>
      </c>
    </row>
    <row r="605" ht="16.6" customHeight="1">
      <c r="A605" s="5" t="inlineStr">
        <is>
          <t>Common mistake</t>
        </is>
      </c>
      <c r="B605" s="9" t="inlineStr">
        <is>
          <t>Immediate, synchronized retries that hammer a struggling provider.</t>
        </is>
      </c>
    </row>
    <row r="606" ht="16.6" customHeight="1">
      <c r="A606" s="7" t="inlineStr">
        <is>
          <t>Check yourself</t>
        </is>
      </c>
      <c r="B606" s="8" t="inlineStr">
        <is>
          <t>Show two places in ChessLab where a unique constraint provides idempotency.</t>
        </is>
      </c>
    </row>
    <row r="607" ht="16.6" customHeight="1">
      <c r="A607" s="7" t="inlineStr">
        <is>
          <t>Check yourself</t>
        </is>
      </c>
      <c r="B607" s="8" t="inlineStr">
        <is>
          <t>Why add jitter to backoff?</t>
        </is>
      </c>
    </row>
    <row r="608" ht="16.6" customHeight="1">
      <c r="A608" s="5" t="inlineStr">
        <is>
          <t>Resource</t>
        </is>
      </c>
      <c r="B608" s="6" t="inlineStr">
        <is>
          <t>Stripe: Designing robust and predictable APIs with idempotency  —  https://stripe.com/blog/idempotency</t>
        </is>
      </c>
    </row>
    <row r="609" ht="29.2" customHeight="1">
      <c r="A609" s="5" t="inlineStr">
        <is>
          <t>Resource</t>
        </is>
      </c>
      <c r="B609" s="6" t="inlineStr">
        <is>
          <t>AWS Builders' Library: Timeouts, retries and backoff with jitter  —  https://aws.amazon.com/builders-library/timeouts-retries-and-backoff-with-jitter/</t>
        </is>
      </c>
    </row>
    <row r="610" ht="16.6" customHeight="1">
      <c r="A610" s="5" t="inlineStr">
        <is>
          <t>Resource</t>
        </is>
      </c>
      <c r="B610" s="6" t="inlineStr">
        <is>
          <t>Brandur: Implementing Stripe-like Idempotency Keys in Postgres  —  https://brandur.org/idempotency-keys</t>
        </is>
      </c>
    </row>
    <row r="612" ht="22" customHeight="1">
      <c r="A612" s="54" t="inlineStr">
        <is>
          <t>L30</t>
        </is>
      </c>
      <c r="B612" s="54" t="inlineStr">
        <is>
          <t>Race conditions and why constraints beat Python checks (a real bug from this project)   ·   Intermediate   ·   about 40 min   ·   used in P10, P11</t>
        </is>
      </c>
    </row>
    <row r="613">
      <c r="B613" s="55" t="inlineStr">
        <is>
          <t>↑ back to Lessons index</t>
        </is>
      </c>
    </row>
    <row r="614" ht="29.2" customHeight="1">
      <c r="A614" s="56" t="inlineStr">
        <is>
          <t>Why it matters</t>
        </is>
      </c>
      <c r="B614" s="57" t="inlineStr">
        <is>
          <t>Concurrency bugs pass every single-user test and then fail in production. ChessLab's verification run hit one, which makes a great interview story.</t>
        </is>
      </c>
    </row>
    <row r="615" ht="29.2" customHeight="1">
      <c r="A615" s="5" t="inlineStr">
        <is>
          <t>Concept 1</t>
        </is>
      </c>
      <c r="B615" s="9" t="inlineStr">
        <is>
          <t>Check-then-act race: 'row = get(); if row is None: insert()'. Two requests run get() at the same time, both see None, both insert, the second violates the primary key and returns 500.</t>
        </is>
      </c>
    </row>
    <row r="616" ht="29.2" customHeight="1">
      <c r="A616" s="5" t="inlineStr">
        <is>
          <t>Concept 2</t>
        </is>
      </c>
      <c r="B616" s="9" t="inlineStr">
        <is>
          <t>What happened here: React StrictMode (development) started the practice page effect twice, firing two POST /v1/practice/sessions requests simultaneously. Both tried to create the visitor's concept_ratings row. Result: psycopg.errors.UniqueViolation -&gt; HTTP 500.</t>
        </is>
      </c>
    </row>
    <row r="617" ht="29.2" customHeight="1">
      <c r="A617" s="5" t="inlineStr">
        <is>
          <t>Concept 3</t>
        </is>
      </c>
      <c r="B617" s="9" t="inlineStr">
        <is>
          <t>Fix 1: atomic get-or-create in the database: INSERT ... ON CONFLICT DO NOTHING, then SELECT. Whatever the timing, exactly one row exists and nobody crashes.</t>
        </is>
      </c>
    </row>
    <row r="618" ht="29.2" customHeight="1">
      <c r="A618" s="5" t="inlineStr">
        <is>
          <t>Concept 4</t>
        </is>
      </c>
      <c r="B618" s="9" t="inlineStr">
        <is>
          <t>Fix 2: lost updates. Two sessions finishing at once could both read rating 1500 and both write their own update, losing one. Lock the row (SELECT ... FOR UPDATE via with_for_update=True) while updating.</t>
        </is>
      </c>
    </row>
    <row r="619" ht="29.2" customHeight="1">
      <c r="A619" s="5" t="inlineStr">
        <is>
          <t>Concept 5</t>
        </is>
      </c>
      <c r="B619" s="9" t="inlineStr">
        <is>
          <t>Fix 3: exactly-once effects: 'UPDATE practice_sessions SET rating_applied = true WHERE id = :id AND rating_applied = false' returns rowcount 1 only for the first caller.</t>
        </is>
      </c>
    </row>
    <row r="620" ht="16.6" customHeight="1">
      <c r="A620" s="5" t="inlineStr">
        <is>
          <t>Concept 6</t>
        </is>
      </c>
      <c r="B620" s="9" t="inlineStr">
        <is>
          <t>Always add a regression test that runs the operation concurrently (ThreadPoolExecutor) to prove the fix.</t>
        </is>
      </c>
    </row>
    <row r="621" ht="16.6" customHeight="1">
      <c r="A621" s="58" t="inlineStr">
        <is>
          <t>In ChessLab</t>
        </is>
      </c>
      <c r="B621" s="59" t="inlineStr">
        <is>
          <t>learning/selector.py concept_rating() and api/practice.py _finish(). tests/test_api.py::test_simultaneous_practice_starts_do_not_crash.</t>
        </is>
      </c>
    </row>
    <row r="622" ht="16.6" customHeight="1">
      <c r="A622" s="5" t="inlineStr">
        <is>
          <t>Common mistake</t>
        </is>
      </c>
      <c r="B622" s="9" t="inlineStr">
        <is>
          <t>'Fixing' it by removing StrictMode: the race also happens with double clicks or retries in production.</t>
        </is>
      </c>
    </row>
    <row r="623" ht="16.6" customHeight="1">
      <c r="A623" s="5" t="inlineStr">
        <is>
          <t>Common mistake</t>
        </is>
      </c>
      <c r="B623" s="9" t="inlineStr">
        <is>
          <t>Catching IntegrityError and ignoring it without understanding which row exists.</t>
        </is>
      </c>
    </row>
    <row r="624" ht="16.6" customHeight="1">
      <c r="A624" s="7" t="inlineStr">
        <is>
          <t>Check yourself</t>
        </is>
      </c>
      <c r="B624" s="8" t="inlineStr">
        <is>
          <t>Describe the check-then-act race in your own words.</t>
        </is>
      </c>
    </row>
    <row r="625" ht="16.6" customHeight="1">
      <c r="A625" s="7" t="inlineStr">
        <is>
          <t>Check yourself</t>
        </is>
      </c>
      <c r="B625" s="8" t="inlineStr">
        <is>
          <t>Why is ON CONFLICT DO NOTHING safe under concurrency while the Python if-check is not?</t>
        </is>
      </c>
    </row>
    <row r="626" ht="16.6" customHeight="1">
      <c r="A626" s="5" t="inlineStr">
        <is>
          <t>Resource</t>
        </is>
      </c>
      <c r="B626" s="6" t="inlineStr">
        <is>
          <t>PostgreSQL: Transaction Isolation  —  https://www.postgresql.org/docs/current/transaction-iso.html</t>
        </is>
      </c>
    </row>
    <row r="627" ht="16.6" customHeight="1">
      <c r="A627" s="5" t="inlineStr">
        <is>
          <t>Resource</t>
        </is>
      </c>
      <c r="B627" s="6" t="inlineStr">
        <is>
          <t>Designing Data-Intensive Applications (book), chapter 7  —  https://dataintensive.net/</t>
        </is>
      </c>
    </row>
    <row r="629" ht="22" customHeight="1">
      <c r="A629" s="54" t="inlineStr">
        <is>
          <t>L31</t>
        </is>
      </c>
      <c r="B629" s="54" t="inlineStr">
        <is>
          <t>Polling vs WebSockets, and UI states for asynchronous work   ·   Beginner   ·   about 30 min   ·   used in P6, P7, P9</t>
        </is>
      </c>
    </row>
    <row r="630">
      <c r="B630" s="55" t="inlineStr">
        <is>
          <t>↑ back to Lessons index</t>
        </is>
      </c>
    </row>
    <row r="631" ht="16.6" customHeight="1">
      <c r="A631" s="56" t="inlineStr">
        <is>
          <t>Why it matters</t>
        </is>
      </c>
      <c r="B631" s="57" t="inlineStr">
        <is>
          <t>The UI must show 'analysing...', progress, failure and success for work that finishes later, without hammering the server.</t>
        </is>
      </c>
    </row>
    <row r="632" ht="29.2" customHeight="1">
      <c r="A632" s="5" t="inlineStr">
        <is>
          <t>Concept 1</t>
        </is>
      </c>
      <c r="B632" s="9" t="inlineStr">
        <is>
          <t>Polling: ask 'is it done yet?' every few seconds with normal GET requests. Simple, works through every proxy, survives reconnects, and is perfect for turn-based, low-frequency updates.</t>
        </is>
      </c>
    </row>
    <row r="633" ht="29.2" customHeight="1">
      <c r="A633" s="5" t="inlineStr">
        <is>
          <t>Concept 2</t>
        </is>
      </c>
      <c r="B633" s="9" t="inlineStr">
        <is>
          <t>WebSockets keep a connection open for server push. They add complexity (connection state, reconnects, scaling) that ChessLab does not need.</t>
        </is>
      </c>
    </row>
    <row r="634" ht="29.2" customHeight="1">
      <c r="A634" s="5" t="inlineStr">
        <is>
          <t>Concept 3</t>
        </is>
      </c>
      <c r="B634" s="9" t="inlineStr">
        <is>
          <t>Good polling: stop at terminal states (succeeded/failed/cancelled); back off over time (1.5 s growing to 10 s); slow down when the tab is hidden (document.hidden); back off harder after errors; stop on unmount.</t>
        </is>
      </c>
    </row>
    <row r="635" ht="29.2" customHeight="1">
      <c r="A635" s="5" t="inlineStr">
        <is>
          <t>Concept 4</t>
        </is>
      </c>
      <c r="B635" s="9" t="inlineStr">
        <is>
          <t>Model each async screen as explicit states: idle -&gt; submitting -&gt; queued -&gt; running(progress) -&gt; succeeded | partial | failed | cancelled. Render something specific for each state, including 'you can leave this page'.</t>
        </is>
      </c>
    </row>
    <row r="636" ht="16.6" customHeight="1">
      <c r="A636" s="58" t="inlineStr">
        <is>
          <t>In ChessLab</t>
        </is>
      </c>
      <c r="B636" s="59" t="inlineStr">
        <is>
          <t>src/hooks/usePolling.ts implements all of the above and is used by ReviewPage and ImportPage.</t>
        </is>
      </c>
    </row>
    <row r="637" ht="16.6" customHeight="1">
      <c r="A637" s="5" t="inlineStr">
        <is>
          <t>Common mistake</t>
        </is>
      </c>
      <c r="B637" s="9" t="inlineStr">
        <is>
          <t>Polling every 200 ms forever.</t>
        </is>
      </c>
    </row>
    <row r="638" ht="16.6" customHeight="1">
      <c r="A638" s="5" t="inlineStr">
        <is>
          <t>Common mistake</t>
        </is>
      </c>
      <c r="B638" s="9" t="inlineStr">
        <is>
          <t>Spinners with no explanation and no failure state.</t>
        </is>
      </c>
    </row>
    <row r="639" ht="16.6" customHeight="1">
      <c r="A639" s="7" t="inlineStr">
        <is>
          <t>Check yourself</t>
        </is>
      </c>
      <c r="B639" s="8" t="inlineStr">
        <is>
          <t>List the terminal states of an analysis.</t>
        </is>
      </c>
    </row>
    <row r="640" ht="16.6" customHeight="1">
      <c r="A640" s="7" t="inlineStr">
        <is>
          <t>Check yourself</t>
        </is>
      </c>
      <c r="B640" s="8" t="inlineStr">
        <is>
          <t>Why is polling enough for ChessLab?</t>
        </is>
      </c>
    </row>
    <row r="641" ht="16.6" customHeight="1">
      <c r="A641" s="5" t="inlineStr">
        <is>
          <t>Resource</t>
        </is>
      </c>
      <c r="B641" s="6" t="inlineStr">
        <is>
          <t>MDN: Page Visibility API  —  https://developer.mozilla.org/en-US/docs/Web/API/Page_Visibility_API</t>
        </is>
      </c>
    </row>
    <row r="642" ht="16.6" customHeight="1">
      <c r="A642" s="5" t="inlineStr">
        <is>
          <t>Resource</t>
        </is>
      </c>
      <c r="B642" s="6" t="inlineStr">
        <is>
          <t>MDN: WebSockets API  —  https://developer.mozilla.org/en-US/docs/Web/API/WebSockets_API</t>
        </is>
      </c>
    </row>
    <row r="644" ht="22" customHeight="1">
      <c r="A644" s="54" t="inlineStr">
        <is>
          <t>L32</t>
        </is>
      </c>
      <c r="B644" s="54" t="inlineStr">
        <is>
          <t>Using third-party APIs politely: Lichess and Chess.com   ·   Intermediate   ·   about 45 min   ·   used in P7, S1</t>
        </is>
      </c>
    </row>
    <row r="645">
      <c r="B645" s="55" t="inlineStr">
        <is>
          <t>↑ back to Lessons index</t>
        </is>
      </c>
    </row>
    <row r="646" ht="29.2" customHeight="1">
      <c r="A646" s="56" t="inlineStr">
        <is>
          <t>Why it matters</t>
        </is>
      </c>
      <c r="B646" s="57" t="inlineStr">
        <is>
          <t>Your app depends on other people's servers. Good citizenship (rate limits, identification, caching) keeps you from getting blocked and makes failures graceful.</t>
        </is>
      </c>
    </row>
    <row r="647" ht="29.2" customHeight="1">
      <c r="A647" s="5" t="inlineStr">
        <is>
          <t>Concept 1</t>
        </is>
      </c>
      <c r="B647" s="9" t="inlineStr">
        <is>
          <t>Read the docs and the rules. Lichess asks for one request at a time and a full minute pause after HTTP 429. Chess.com's published-data API is read-only, public and asks for serial access.</t>
        </is>
      </c>
    </row>
    <row r="648" ht="16.6" customHeight="1">
      <c r="A648" s="5" t="inlineStr">
        <is>
          <t>Concept 2</t>
        </is>
      </c>
      <c r="B648" s="9" t="inlineStr">
        <is>
          <t>Identify yourself with a User-Agent containing a contact address.</t>
        </is>
      </c>
    </row>
    <row r="649" ht="29.2" customHeight="1">
      <c r="A649" s="5" t="inlineStr">
        <is>
          <t>Concept 3</t>
        </is>
      </c>
      <c r="B649" s="9" t="inlineStr">
        <is>
          <t>Streaming responses: Lichess's game export is NDJSON (one JSON object per line), streamed. Read it line by line with httpx's client.stream() + iter_lines(), so you can stop after N games without downloading everything.</t>
        </is>
      </c>
    </row>
    <row r="650" ht="16.6" customHeight="1">
      <c r="A650" s="5" t="inlineStr">
        <is>
          <t>Concept 4</t>
        </is>
      </c>
      <c r="B650" s="9" t="inlineStr">
        <is>
          <t>Timeouts on every request (connect and read). A request without a timeout can hang a worker forever.</t>
        </is>
      </c>
    </row>
    <row r="651" ht="16.6" customHeight="1">
      <c r="A651" s="5" t="inlineStr">
        <is>
          <t>Concept 5</t>
        </is>
      </c>
      <c r="B651" s="9" t="inlineStr">
        <is>
          <t>Map provider responses to your error classes: 404 -&gt; PermanentError(USER_NOT_FOUND); 429/5xx/timeouts -&gt; RetryableError.</t>
        </is>
      </c>
    </row>
    <row r="652" ht="29.2" customHeight="1">
      <c r="A652" s="5" t="inlineStr">
        <is>
          <t>Concept 6</t>
        </is>
      </c>
      <c r="B652" s="9" t="inlineStr">
        <is>
          <t>Normalize: convert each provider's shape (Lichess: players.white.user.name, createdAt in ms; Chess.com: white.username, end_time in s, rules='chess') into one internal ProviderGame.</t>
        </is>
      </c>
    </row>
    <row r="653" ht="29.2" customHeight="1">
      <c r="A653" s="5" t="inlineStr">
        <is>
          <t>Concept 7</t>
        </is>
      </c>
      <c r="B653" s="9" t="inlineStr">
        <is>
          <t>Security: only call fixed, allowlisted domains; validate usernames with a strict pattern before putting them in a URL; never fetch URLs found in uploaded files.</t>
        </is>
      </c>
    </row>
    <row r="654" ht="29.2" customHeight="1">
      <c r="A654" s="5" t="inlineStr">
        <is>
          <t>Concept 8</t>
        </is>
      </c>
      <c r="B654" s="9" t="inlineStr">
        <is>
          <t>Tests must not depend on the live API: use recorded fixture responses in CI and a separate manual smoke check (both importers were verified live while building this plan).</t>
        </is>
      </c>
    </row>
    <row r="655" ht="29.2" customHeight="1">
      <c r="A655" s="58" t="inlineStr">
        <is>
          <t>In ChessLab</t>
        </is>
      </c>
      <c r="B655" s="59" t="inlineStr">
        <is>
          <t>app/importers/lichess.py (verified live: 3 games fetched and parsed, and 'user not found' mapped correctly) and app/importers/chesscom.py (stretch S1, verified live).</t>
        </is>
      </c>
    </row>
    <row r="656" ht="16.6" customHeight="1">
      <c r="A656" s="5" t="inlineStr">
        <is>
          <t>Common mistake</t>
        </is>
      </c>
      <c r="B656" s="9" t="inlineStr">
        <is>
          <t>Parallel requests 'to be faster' (gets you rate-limited).</t>
        </is>
      </c>
    </row>
    <row r="657" ht="16.6" customHeight="1">
      <c r="A657" s="5" t="inlineStr">
        <is>
          <t>Common mistake</t>
        </is>
      </c>
      <c r="B657" s="9" t="inlineStr">
        <is>
          <t>No User-Agent.</t>
        </is>
      </c>
    </row>
    <row r="658" ht="16.6" customHeight="1">
      <c r="A658" s="5" t="inlineStr">
        <is>
          <t>Common mistake</t>
        </is>
      </c>
      <c r="B658" s="9" t="inlineStr">
        <is>
          <t>Building URLs from unvalidated user input.</t>
        </is>
      </c>
    </row>
    <row r="659" ht="16.6" customHeight="1">
      <c r="A659" s="7" t="inlineStr">
        <is>
          <t>Check yourself</t>
        </is>
      </c>
      <c r="B659" s="8" t="inlineStr">
        <is>
          <t>What does NDJSON let you do that a single JSON array would not?</t>
        </is>
      </c>
    </row>
    <row r="660" ht="16.6" customHeight="1">
      <c r="A660" s="7" t="inlineStr">
        <is>
          <t>Check yourself</t>
        </is>
      </c>
      <c r="B660" s="8" t="inlineStr">
        <is>
          <t>How does ChessLab react to a Lichess 429?</t>
        </is>
      </c>
    </row>
    <row r="661" ht="16.6" customHeight="1">
      <c r="A661" s="5" t="inlineStr">
        <is>
          <t>Resource</t>
        </is>
      </c>
      <c r="B661" s="6" t="inlineStr">
        <is>
          <t>Lichess API documentation  —  https://lichess.org/api</t>
        </is>
      </c>
    </row>
    <row r="662" ht="16.6" customHeight="1">
      <c r="A662" s="5" t="inlineStr">
        <is>
          <t>Resource</t>
        </is>
      </c>
      <c r="B662" s="6" t="inlineStr">
        <is>
          <t>Lichess API tips  —  https://lichess.org/page/api-tips</t>
        </is>
      </c>
    </row>
    <row r="663" ht="16.6" customHeight="1">
      <c r="A663" s="5" t="inlineStr">
        <is>
          <t>Resource</t>
        </is>
      </c>
      <c r="B663" s="6" t="inlineStr">
        <is>
          <t>Chess.com Published-Data API  —  https://www.chess.com/news/view/published-data-api</t>
        </is>
      </c>
    </row>
    <row r="664" ht="16.6" customHeight="1">
      <c r="A664" s="5" t="inlineStr">
        <is>
          <t>Resource</t>
        </is>
      </c>
      <c r="B664" s="6" t="inlineStr">
        <is>
          <t>HTTPX: Streaming responses  —  https://www.python-httpx.org/quickstart/#streaming-responses</t>
        </is>
      </c>
    </row>
    <row r="665" ht="16.6" customHeight="1">
      <c r="A665" s="5" t="inlineStr">
        <is>
          <t>Resource</t>
        </is>
      </c>
      <c r="B665" s="6" t="inlineStr">
        <is>
          <t>NDJSON specification  —  https://github.com/ndjson/ndjson-spec</t>
        </is>
      </c>
    </row>
    <row r="667" ht="22" customHeight="1">
      <c r="A667" s="54" t="inlineStr">
        <is>
          <t>L33</t>
        </is>
      </c>
      <c r="B667" s="54" t="inlineStr">
        <is>
          <t>Parsing untrusted input safely (PGN uploads)   ·   Intermediate   ·   about 30 min   ·   used in P6, P7</t>
        </is>
      </c>
    </row>
    <row r="668">
      <c r="B668" s="55" t="inlineStr">
        <is>
          <t>↑ back to Lessons index</t>
        </is>
      </c>
    </row>
    <row r="669" ht="16.6" customHeight="1">
      <c r="A669" s="56" t="inlineStr">
        <is>
          <t>Why it matters</t>
        </is>
      </c>
      <c r="B669" s="57" t="inlineStr">
        <is>
          <t>Anything a user sends can be malformed, huge or malicious. Validate at the boundary, bound the work, and report problems per item.</t>
        </is>
      </c>
    </row>
    <row r="670" ht="29.2" customHeight="1">
      <c r="A670" s="5" t="inlineStr">
        <is>
          <t>Concept 1</t>
        </is>
      </c>
      <c r="B670" s="9" t="inlineStr">
        <is>
          <t>Bound everything: bytes (2 MB), games per upload (200), plies per game (400). Read at most limit+1 bytes so you can detect 'too large' without reading a 5 GB file.</t>
        </is>
      </c>
    </row>
    <row r="671" ht="29.2" customHeight="1">
      <c r="A671" s="5" t="inlineStr">
        <is>
          <t>Concept 2</t>
        </is>
      </c>
      <c r="B671" s="9" t="inlineStr">
        <is>
          <t>Replay, don't trust: re-parse PGN with python-chess and replay every move from the starting position; reject illegal moves. Never trust a FEN the client claims is 'current'.</t>
        </is>
      </c>
    </row>
    <row r="672" ht="16.6" customHeight="1">
      <c r="A672" s="5" t="inlineStr">
        <is>
          <t>Concept 3</t>
        </is>
      </c>
      <c r="B672" s="9" t="inlineStr">
        <is>
          <t>python-chess does not raise on bad moves; it records them in game.errors and stops. Check game.errors.</t>
        </is>
      </c>
    </row>
    <row r="673" ht="16.6" customHeight="1">
      <c r="A673" s="5" t="inlineStr">
        <is>
          <t>Concept 4</t>
        </is>
      </c>
      <c r="B673" s="9" t="inlineStr">
        <is>
          <t>Reject unsupported variants via the Variant header; allow 'From Position' (custom start) only if the start position is valid.</t>
        </is>
      </c>
    </row>
    <row r="674" ht="16.6" customHeight="1">
      <c r="A674" s="5" t="inlineStr">
        <is>
          <t>Concept 5</t>
        </is>
      </c>
      <c r="B674" s="9" t="inlineStr">
        <is>
          <t>Return per-game errors (game 3: illegal move ...), so one bad game doesn't reject a whole upload.</t>
        </is>
      </c>
    </row>
    <row r="675" ht="29.2" customHeight="1">
      <c r="A675" s="5" t="inlineStr">
        <is>
          <t>Concept 6</t>
        </is>
      </c>
      <c r="B675" s="9" t="inlineStr">
        <is>
          <t>Treat headers (player names, events) as untrusted text: truncate, and render them as text (React escapes by default; never use dangerouslySetInnerHTML).</t>
        </is>
      </c>
    </row>
    <row r="676" ht="16.6" customHeight="1">
      <c r="A676" s="58" t="inlineStr">
        <is>
          <t>In ChessLab</t>
        </is>
      </c>
      <c r="B676" s="59" t="inlineStr">
        <is>
          <t>app/domain/pgn.py parse_single() and iter_games(); POST /v1/games re-validates games played in the browser before storing them.</t>
        </is>
      </c>
    </row>
    <row r="677" ht="16.6" customHeight="1">
      <c r="A677" s="5" t="inlineStr">
        <is>
          <t>Common mistake</t>
        </is>
      </c>
      <c r="B677" s="9" t="inlineStr">
        <is>
          <t>Trusting the browser's game result or position.</t>
        </is>
      </c>
    </row>
    <row r="678" ht="16.6" customHeight="1">
      <c r="A678" s="5" t="inlineStr">
        <is>
          <t>Common mistake</t>
        </is>
      </c>
      <c r="B678" s="9" t="inlineStr">
        <is>
          <t>Loading the whole upload into memory without a limit.</t>
        </is>
      </c>
    </row>
    <row r="679" ht="16.6" customHeight="1">
      <c r="A679" s="7" t="inlineStr">
        <is>
          <t>Check yourself</t>
        </is>
      </c>
      <c r="B679" s="8" t="inlineStr">
        <is>
          <t>Why does the server re-validate a game the browser already validated?</t>
        </is>
      </c>
    </row>
    <row r="680" ht="16.6" customHeight="1">
      <c r="A680" s="7" t="inlineStr">
        <is>
          <t>Check yourself</t>
        </is>
      </c>
      <c r="B680" s="8" t="inlineStr">
        <is>
          <t>How do you detect an oversized upload without reading all of it?</t>
        </is>
      </c>
    </row>
    <row r="681" ht="16.6" customHeight="1">
      <c r="A681" s="5" t="inlineStr">
        <is>
          <t>Resource</t>
        </is>
      </c>
      <c r="B681" s="6" t="inlineStr">
        <is>
          <t>OWASP Input Validation Cheat Sheet  —  https://cheatsheetseries.owasp.org/cheatsheets/Input_Validation_Cheat_Sheet.html</t>
        </is>
      </c>
    </row>
    <row r="682" ht="16.6" customHeight="1">
      <c r="A682" s="5" t="inlineStr">
        <is>
          <t>Resource</t>
        </is>
      </c>
      <c r="B682" s="6" t="inlineStr">
        <is>
          <t>python-chess: PGN parsing  —  https://python-chess.readthedocs.io/en/latest/pgn.html</t>
        </is>
      </c>
    </row>
    <row r="684" ht="22" customHeight="1">
      <c r="A684" s="54" t="inlineStr">
        <is>
          <t>L34</t>
        </is>
      </c>
      <c r="B684" s="54" t="inlineStr">
        <is>
          <t>python-chess deep dive: boards, moves, attacks, pins and engines   ·   Intermediate   ·   about 90 min   ·   used in P6, P8, P10</t>
        </is>
      </c>
    </row>
    <row r="685">
      <c r="B685" s="55" t="inlineStr">
        <is>
          <t>↑ back to Lessons index</t>
        </is>
      </c>
    </row>
    <row r="686" ht="16.6" customHeight="1">
      <c r="A686" s="56" t="inlineStr">
        <is>
          <t>Why it matters</t>
        </is>
      </c>
      <c r="B686" s="57" t="inlineStr">
        <is>
          <t>python-chess is the backbone of the server-side chess logic: rules, PGN, attack maps and the Stockfish connection.</t>
        </is>
      </c>
    </row>
    <row r="687" ht="29.2" customHeight="1">
      <c r="A687" s="5" t="inlineStr">
        <is>
          <t>Concept 1</t>
        </is>
      </c>
      <c r="B687" s="9" t="inlineStr">
        <is>
          <t>chess.Board(fen) holds a position AND a move stack (history). board.push(move) / board.pop(); board.turn is chess.WHITE (True) or chess.BLACK.</t>
        </is>
      </c>
    </row>
    <row r="688" ht="29.2" customHeight="1">
      <c r="A688" s="5" t="inlineStr">
        <is>
          <t>Concept 2</t>
        </is>
      </c>
      <c r="B688" s="9" t="inlineStr">
        <is>
          <t>board.legal_moves is a lazy generator of legal moves; 'move in board.legal_moves' checks legality. Pinned pieces already have no illegal moves listed.</t>
        </is>
      </c>
    </row>
    <row r="689" ht="16.6" customHeight="1">
      <c r="A689" s="5" t="inlineStr">
        <is>
          <t>Concept 3</t>
        </is>
      </c>
      <c r="B689" s="9" t="inlineStr">
        <is>
          <t>chess.Move.from_uci('e7e8q'), move.uci(), board.san(move) (SAN needs the board BEFORE the move).</t>
        </is>
      </c>
    </row>
    <row r="690" ht="41.8" customHeight="1">
      <c r="A690" s="5" t="inlineStr">
        <is>
          <t>Concept 4</t>
        </is>
      </c>
      <c r="B690" s="9" t="inlineStr">
        <is>
          <t>Attack queries: board.attacks(square) = squares a piece attacks; board.attackers(color, square) = pieces of color attacking a square (that is: defenders, if color is the piece's own color). These are GEOMETRIC: a pinned piece still counts as an attacker. That's why candidates need verification.</t>
        </is>
      </c>
    </row>
    <row r="691" ht="29.2" customHeight="1">
      <c r="A691" s="5" t="inlineStr">
        <is>
          <t>Concept 5</t>
        </is>
      </c>
      <c r="B691" s="9" t="inlineStr">
        <is>
          <t>board.is_pinned(color, square), board.is_check(), board.is_checkmate(), board.is_capture(move), board.gives_check(move), board.piece_at(square), board.pieces(piece_type, color).</t>
        </is>
      </c>
    </row>
    <row r="692" ht="16.6" customHeight="1">
      <c r="A692" s="5" t="inlineStr">
        <is>
          <t>Concept 6</t>
        </is>
      </c>
      <c r="B692" s="9" t="inlineStr">
        <is>
          <t>board.copy(stack=False) copies only the position (cheap) — fine for geometry, wrong for engine analysis where history matters.</t>
        </is>
      </c>
    </row>
    <row r="693" ht="41.8" customHeight="1">
      <c r="A693" s="5" t="inlineStr">
        <is>
          <t>Concept 7</t>
        </is>
      </c>
      <c r="B693" s="9" t="inlineStr">
        <is>
          <t>Engines: chess.engine.SimpleEngine.popen_uci(path) starts Stockfish; engine.configure({'Threads': 1, 'Hash': 32}); engine.analyse(board, chess.engine.Limit(depth=14, time=0.5), root_moves=[move]) evaluates one specific move; engine.play(board, limit) picks a move; engine.quit() at shutdown.</t>
        </is>
      </c>
    </row>
    <row r="694" ht="29.2" customHeight="1">
      <c r="A694" s="5" t="inlineStr">
        <is>
          <t>Concept 8</t>
        </is>
      </c>
      <c r="B694" s="9" t="inlineStr">
        <is>
          <t>info['score'] is a PovScore: .pov(chess.WHITE) gives a Score from White's view; .score(mate_score=100000) converts to an int; .mate() gives mate distance or None. info['pv'] is the principal variation.</t>
        </is>
      </c>
    </row>
    <row r="695" ht="29.2" customHeight="1">
      <c r="A695" s="58" t="inlineStr">
        <is>
          <t>In ChessLab</t>
        </is>
      </c>
      <c r="B695" s="59" t="inlineStr">
        <is>
          <t>analysis/forks.py (attacks/attackers), analysis/engine.py (popen_uci, analyse with root_moves), domain/pgn.py (read_game, mainline_moves), practice/grading.py (legal_moves, is_checkmate).</t>
        </is>
      </c>
    </row>
    <row r="696" ht="16.6" customHeight="1">
      <c r="A696" s="5" t="inlineStr">
        <is>
          <t>Common mistake</t>
        </is>
      </c>
      <c r="B696" s="9" t="inlineStr">
        <is>
          <t>Calling board.san(move) after pushing the move.</t>
        </is>
      </c>
    </row>
    <row r="697" ht="16.6" customHeight="1">
      <c r="A697" s="5" t="inlineStr">
        <is>
          <t>Common mistake</t>
        </is>
      </c>
      <c r="B697" s="9" t="inlineStr">
        <is>
          <t>Forgetting engine.quit() (zombie Stockfish processes).</t>
        </is>
      </c>
    </row>
    <row r="698" ht="16.6" customHeight="1">
      <c r="A698" s="5" t="inlineStr">
        <is>
          <t>Common mistake</t>
        </is>
      </c>
      <c r="B698" s="9" t="inlineStr">
        <is>
          <t>Comparing scores from different points of view.</t>
        </is>
      </c>
    </row>
    <row r="699" ht="16.6" customHeight="1">
      <c r="A699" s="7" t="inlineStr">
        <is>
          <t>Check yourself</t>
        </is>
      </c>
      <c r="B699" s="8" t="inlineStr">
        <is>
          <t>How do you evaluate the move the player ACTUALLY played, not the engine's favourite?</t>
        </is>
      </c>
    </row>
    <row r="700" ht="16.6" customHeight="1">
      <c r="A700" s="7" t="inlineStr">
        <is>
          <t>Check yourself</t>
        </is>
      </c>
      <c r="B700" s="8" t="inlineStr">
        <is>
          <t>Why is board.copy(stack=False) unsuitable for engine analysis?</t>
        </is>
      </c>
    </row>
    <row r="701" ht="16.6" customHeight="1">
      <c r="A701" s="5" t="inlineStr">
        <is>
          <t>Resource</t>
        </is>
      </c>
      <c r="B701" s="6" t="inlineStr">
        <is>
          <t>python-chess: Core  —  https://python-chess.readthedocs.io/en/latest/core.html</t>
        </is>
      </c>
    </row>
    <row r="702" ht="16.6" customHeight="1">
      <c r="A702" s="5" t="inlineStr">
        <is>
          <t>Resource</t>
        </is>
      </c>
      <c r="B702" s="6" t="inlineStr">
        <is>
          <t>python-chess: Engine communication (UCI/XBoard)  —  https://python-chess.readthedocs.io/en/latest/engine.html</t>
        </is>
      </c>
    </row>
    <row r="703" ht="16.6" customHeight="1">
      <c r="A703" s="5" t="inlineStr">
        <is>
          <t>Resource</t>
        </is>
      </c>
      <c r="B703" s="6" t="inlineStr">
        <is>
          <t>python-chess on GitHub  —  https://github.com/niklasf/python-chess</t>
        </is>
      </c>
    </row>
    <row r="705" ht="22" customHeight="1">
      <c r="A705" s="54" t="inlineStr">
        <is>
          <t>L35</t>
        </is>
      </c>
      <c r="B705" s="54" t="inlineStr">
        <is>
          <t>Reading engine evaluations: centipawns, mate scores, point of view and search limits   ·   Intermediate   ·   about 45 min   ·   used in P8, P12, S4</t>
        </is>
      </c>
    </row>
    <row r="706">
      <c r="B706" s="55" t="inlineStr">
        <is>
          <t>↑ back to Lessons index</t>
        </is>
      </c>
    </row>
    <row r="707" ht="16.6" customHeight="1">
      <c r="A707" s="56" t="inlineStr">
        <is>
          <t>Why it matters</t>
        </is>
      </c>
      <c r="B707" s="57" t="inlineStr">
        <is>
          <t>Wrongly compared scores produce wrong 'mistakes'. This lesson prevents the most common analysis bugs.</t>
        </is>
      </c>
    </row>
    <row r="708" ht="29.2" customHeight="1">
      <c r="A708" s="5" t="inlineStr">
        <is>
          <t>Concept 1</t>
        </is>
      </c>
      <c r="B708" s="9" t="inlineStr">
        <is>
          <t>A centipawn (cp) is 1/100 of a pawn. +150 means 'the side to move is better by roughly a pawn and a half' in the engine's judgement. It is NOT a material count and NOT a win probability.</t>
        </is>
      </c>
    </row>
    <row r="709" ht="29.2" customHeight="1">
      <c r="A709" s="5" t="inlineStr">
        <is>
          <t>Concept 2</t>
        </is>
      </c>
      <c r="B709" s="9" t="inlineStr">
        <is>
          <t>Point of view (POV): always compare scores from the SAME side. ChessLab converts everything to the perspective of the player to move before their move.</t>
        </is>
      </c>
    </row>
    <row r="710" ht="29.2" customHeight="1">
      <c r="A710" s="5" t="inlineStr">
        <is>
          <t>Concept 3</t>
        </is>
      </c>
      <c r="B710" s="9" t="inlineStr">
        <is>
          <t>Mate scores are different in kind: 'mate in 3' is not 'a very large cp'. Store mate separately; convert to a large number (100000) only for comparisons.</t>
        </is>
      </c>
    </row>
    <row r="711" ht="29.2" customHeight="1">
      <c r="A711" s="5" t="inlineStr">
        <is>
          <t>Concept 4</t>
        </is>
      </c>
      <c r="B711" s="9" t="inlineStr">
        <is>
          <t>Search limits: depth (plies) and time. Results depend on both and on the machine; store the limits with every finding and say 'best found at this budget'.</t>
        </is>
      </c>
    </row>
    <row r="712" ht="29.2" customHeight="1">
      <c r="A712" s="5" t="inlineStr">
        <is>
          <t>Concept 5</t>
        </is>
      </c>
      <c r="B712" s="9" t="inlineStr">
        <is>
          <t>Principal variation (PV): the engine's expected best line. It is a prediction under limited search, not a proven forced sequence. Replay it to check legality before showing it.</t>
        </is>
      </c>
    </row>
    <row r="713" ht="29.2" customHeight="1">
      <c r="A713" s="5" t="inlineStr">
        <is>
          <t>Concept 6</t>
        </is>
      </c>
      <c r="B713" s="9" t="inlineStr">
        <is>
          <t>root_moves=[move] forces the engine to evaluate one specific move, which is how you score the player's actual move against a candidate fairly (same depth, same time).</t>
        </is>
      </c>
    </row>
    <row r="714" ht="41.8" customHeight="1">
      <c r="A714" s="5" t="inlineStr">
        <is>
          <t>Concept 7</t>
        </is>
      </c>
      <c r="B714" s="9" t="inlineStr">
        <is>
          <t>Endgame trap discovered during verification: in a position with only a knight against a rook, winning the rook leads to 'knight vs nothing', a dead draw, so Stockfish scored the fork as about 0 and the detector correctly did NOT call it a big miss. Test positions need enough material (add pawns) for 'winning material' to matter.</t>
        </is>
      </c>
    </row>
    <row r="715" ht="29.2" customHeight="1">
      <c r="A715" s="58" t="inlineStr">
        <is>
          <t>In ChessLab</t>
        </is>
      </c>
      <c r="B715" s="59" t="inlineStr">
        <is>
          <t>verify.py compares cand_eval.cp - actual_eval.cp (same POV, same limit) against MISS_THRESHOLD_CP = 150 and stores cp, mate, limits and the PV.</t>
        </is>
      </c>
    </row>
    <row r="716" ht="16.6" customHeight="1">
      <c r="A716" s="5" t="inlineStr">
        <is>
          <t>Common mistake</t>
        </is>
      </c>
      <c r="B716" s="9" t="inlineStr">
        <is>
          <t>Subtracting a White-POV score from a Black-POV score.</t>
        </is>
      </c>
    </row>
    <row r="717" ht="16.6" customHeight="1">
      <c r="A717" s="5" t="inlineStr">
        <is>
          <t>Common mistake</t>
        </is>
      </c>
      <c r="B717" s="9" t="inlineStr">
        <is>
          <t>Treating '+3.0' as 'won 3 pawns'.</t>
        </is>
      </c>
    </row>
    <row r="718" ht="16.6" customHeight="1">
      <c r="A718" s="5" t="inlineStr">
        <is>
          <t>Common mistake</t>
        </is>
      </c>
      <c r="B718" s="9" t="inlineStr">
        <is>
          <t>Caching evaluations without the limits and engine version in the key.</t>
        </is>
      </c>
    </row>
    <row r="719" ht="16.6" customHeight="1">
      <c r="A719" s="7" t="inlineStr">
        <is>
          <t>Check yourself</t>
        </is>
      </c>
      <c r="B719" s="8" t="inlineStr">
        <is>
          <t>Why must cp_candidate and cp_actual come from the same search limits?</t>
        </is>
      </c>
    </row>
    <row r="720" ht="16.6" customHeight="1">
      <c r="A720" s="7" t="inlineStr">
        <is>
          <t>Check yourself</t>
        </is>
      </c>
      <c r="B720" s="8" t="inlineStr">
        <is>
          <t>Why did the bare knight-vs-rook test position produce no finding with real Stockfish?</t>
        </is>
      </c>
    </row>
    <row r="721" ht="16.6" customHeight="1">
      <c r="A721" s="5" t="inlineStr">
        <is>
          <t>Resource</t>
        </is>
      </c>
      <c r="B721" s="6" t="inlineStr">
        <is>
          <t>Chess Programming Wiki: Centipawns  —  https://www.chessprogramming.org/Centipawns</t>
        </is>
      </c>
    </row>
    <row r="722" ht="16.6" customHeight="1">
      <c r="A722" s="5" t="inlineStr">
        <is>
          <t>Resource</t>
        </is>
      </c>
      <c r="B722" s="6" t="inlineStr">
        <is>
          <t>Chess Programming Wiki: Principal Variation  —  https://www.chessprogramming.org/Principal_Variation</t>
        </is>
      </c>
    </row>
    <row r="723" ht="16.6" customHeight="1">
      <c r="A723" s="5" t="inlineStr">
        <is>
          <t>Resource</t>
        </is>
      </c>
      <c r="B723" s="6" t="inlineStr">
        <is>
          <t>Lichess: How are accuracy and win% computed?  —  https://lichess.org/page/accuracy</t>
        </is>
      </c>
    </row>
    <row r="725" ht="22" customHeight="1">
      <c r="A725" s="54" t="inlineStr">
        <is>
          <t>L36</t>
        </is>
      </c>
      <c r="B725" s="54" t="inlineStr">
        <is>
          <t>Chess tactics the detector understands: forks, hanging pieces, material   ·   Beginner   ·   about 40 min   ·   used in P8, P10, S2</t>
        </is>
      </c>
    </row>
    <row r="726">
      <c r="B726" s="55" t="inlineStr">
        <is>
          <t>↑ back to Lessons index</t>
        </is>
      </c>
    </row>
    <row r="727" ht="16.6" customHeight="1">
      <c r="A727" s="56" t="inlineStr">
        <is>
          <t>Why it matters</t>
        </is>
      </c>
      <c r="B727" s="57" t="inlineStr">
        <is>
          <t>You will write rules about chess ideas and label positions by hand. You need precise definitions, including what does NOT count.</t>
        </is>
      </c>
    </row>
    <row r="728" ht="29.2" customHeight="1">
      <c r="A728" s="5" t="inlineStr">
        <is>
          <t>Concept 1</t>
        </is>
      </c>
      <c r="B728" s="9" t="inlineStr">
        <is>
          <t>Fork: one piece attacks two or more enemy targets at once, so the opponent cannot save both. Knights are the classic forking piece because their attacks can't be blocked.</t>
        </is>
      </c>
    </row>
    <row r="729" ht="29.2" customHeight="1">
      <c r="A729" s="5" t="inlineStr">
        <is>
          <t>Concept 2</t>
        </is>
      </c>
      <c r="B729" s="9" t="inlineStr">
        <is>
          <t>Worthwhile targets in ChessLab: the king (check), any piece worth more than a knight (rook 5, queen 9), or an undefended minor piece. Pawns never count. Two defended bishops are not a fork target set.</t>
        </is>
      </c>
    </row>
    <row r="730" ht="29.2" customHeight="1">
      <c r="A730" s="5" t="inlineStr">
        <is>
          <t>Concept 3</t>
        </is>
      </c>
      <c r="B730" s="9" t="inlineStr">
        <is>
          <t>A fork is only GOOD if it actually wins something: the forking knight might simply be captured, the opponent might answer with a check of their own, or capture with tempo. Hence verification.</t>
        </is>
      </c>
    </row>
    <row r="731" ht="29.2" customHeight="1">
      <c r="A731" s="5" t="inlineStr">
        <is>
          <t>Concept 4</t>
        </is>
      </c>
      <c r="B731" s="9" t="inlineStr">
        <is>
          <t>Missed fork vs allowed fork: 'you could have forked' (missed opportunity) is a different finding from 'your move let the opponent fork you'. Keep them separate.</t>
        </is>
      </c>
    </row>
    <row r="732" ht="29.2" customHeight="1">
      <c r="A732" s="5" t="inlineStr">
        <is>
          <t>Concept 5</t>
        </is>
      </c>
      <c r="B732" s="9" t="inlineStr">
        <is>
          <t>Hanging piece: a piece that can be captured for a net gain (undefended, or attacked by a cheaper piece). A deliberate sacrifice that the engine likes is not a mistake.</t>
        </is>
      </c>
    </row>
    <row r="733" ht="29.2" customHeight="1">
      <c r="A733" s="5" t="inlineStr">
        <is>
          <t>Concept 6</t>
        </is>
      </c>
      <c r="B733" s="9" t="inlineStr">
        <is>
          <t>Material values used for counting: pawn 1, knight 3, bishop 3, rook 5, queen 9, king 0 (can't be captured). They are rough conventions, not truth.</t>
        </is>
      </c>
    </row>
    <row r="734" ht="29.2" customHeight="1">
      <c r="A734" s="58" t="inlineStr">
        <is>
          <t>In ChessLab</t>
        </is>
      </c>
      <c r="B734" s="59" t="inlineStr">
        <is>
          <t>analysis/forks.py encodes the target rules; analysis/verify.py requires a captured target and +2 material (or mate) in the engine line; analysis/hanging.py (stretch) handles the second concept.</t>
        </is>
      </c>
    </row>
    <row r="735" ht="16.6" customHeight="1">
      <c r="A735" s="5" t="inlineStr">
        <is>
          <t>Common mistake</t>
        </is>
      </c>
      <c r="B735" s="9" t="inlineStr">
        <is>
          <t>Counting a fork on two defended pieces of equal value to the knight.</t>
        </is>
      </c>
    </row>
    <row r="736" ht="16.6" customHeight="1">
      <c r="A736" s="5" t="inlineStr">
        <is>
          <t>Common mistake</t>
        </is>
      </c>
      <c r="B736" s="9" t="inlineStr">
        <is>
          <t>Counting a fork when the knight is simply lost.</t>
        </is>
      </c>
    </row>
    <row r="737" ht="16.6" customHeight="1">
      <c r="A737" s="5" t="inlineStr">
        <is>
          <t>Common mistake</t>
        </is>
      </c>
      <c r="B737" s="9" t="inlineStr">
        <is>
          <t>Merging 'missed' and 'allowed' tactics in statistics.</t>
        </is>
      </c>
    </row>
    <row r="738" ht="16.6" customHeight="1">
      <c r="A738" s="7" t="inlineStr">
        <is>
          <t>Check yourself</t>
        </is>
      </c>
      <c r="B738" s="8" t="inlineStr">
        <is>
          <t>Give one example of a geometric fork that is not a real fork.</t>
        </is>
      </c>
    </row>
    <row r="739" ht="16.6" customHeight="1">
      <c r="A739" s="7" t="inlineStr">
        <is>
          <t>Check yourself</t>
        </is>
      </c>
      <c r="B739" s="8" t="inlineStr">
        <is>
          <t>Why don't pawns count as targets?</t>
        </is>
      </c>
    </row>
    <row r="740" ht="16.6" customHeight="1">
      <c r="A740" s="5" t="inlineStr">
        <is>
          <t>Resource</t>
        </is>
      </c>
      <c r="B740" s="6" t="inlineStr">
        <is>
          <t>Lichess Practice: Knight forks  —  https://lichess.org/practice/fundamental-tactics/the-fork/Qj281y1p</t>
        </is>
      </c>
    </row>
    <row r="741" ht="16.6" customHeight="1">
      <c r="A741" s="5" t="inlineStr">
        <is>
          <t>Resource</t>
        </is>
      </c>
      <c r="B741" s="6" t="inlineStr">
        <is>
          <t>Lichess puzzle themes  —  https://lichess.org/training/themes</t>
        </is>
      </c>
    </row>
    <row r="742" ht="16.6" customHeight="1">
      <c r="A742" s="5" t="inlineStr">
        <is>
          <t>Resource</t>
        </is>
      </c>
      <c r="B742" s="6" t="inlineStr">
        <is>
          <t>Chess Programming Wiki: Point Value  —  https://www.chessprogramming.org/Point_Value</t>
        </is>
      </c>
    </row>
    <row r="744" ht="22" customHeight="1">
      <c r="A744" s="54" t="inlineStr">
        <is>
          <t>L37</t>
        </is>
      </c>
      <c r="B744" s="54" t="inlineStr">
        <is>
          <t>What 'AI' means in ChessLab: search, rules, verification, learner models and (optionally) LLMs   ·   Beginner   ·   about 45 min   ·   used in P8, P11, P12, S3, S6</t>
        </is>
      </c>
    </row>
    <row r="745">
      <c r="B745" s="55" t="inlineStr">
        <is>
          <t>↑ back to Lessons index</t>
        </is>
      </c>
    </row>
    <row r="746" ht="16.6" customHeight="1">
      <c r="A746" s="56" t="inlineStr">
        <is>
          <t>Why it matters</t>
        </is>
      </c>
      <c r="B746" s="57" t="inlineStr">
        <is>
          <t>You will be asked 'where is the AI?'. A precise, honest answer is far more impressive than buzzwords.</t>
        </is>
      </c>
    </row>
    <row r="747" ht="29.2" customHeight="1">
      <c r="A747" s="5" t="inlineStr">
        <is>
          <t>Concept 1</t>
        </is>
      </c>
      <c r="B747" s="9" t="inlineStr">
        <is>
          <t>Classical AI (search): Stockfish searches millions of positions with alpha-beta and a learned NNUE evaluation. It supplies chess strength; you integrate it, you don't train it.</t>
        </is>
      </c>
    </row>
    <row r="748" ht="29.2" customHeight="1">
      <c r="A748" s="5" t="inlineStr">
        <is>
          <t>Concept 2</t>
        </is>
      </c>
      <c r="B748" s="9" t="inlineStr">
        <is>
          <t>Symbolic/rule-based AI: your fork detector encodes chess knowledge as rules (candidate generation) and uses the engine as an oracle to verify them. This hybrid is easy to explain and audit.</t>
        </is>
      </c>
    </row>
    <row r="749" ht="29.2" customHeight="1">
      <c r="A749" s="5" t="inlineStr">
        <is>
          <t>Concept 3</t>
        </is>
      </c>
      <c r="B749" s="9" t="inlineStr">
        <is>
          <t>Learner modelling (statistical AI): the Elo model predicts P(solve) for a player and a puzzle, updates from evidence, and drives adaptive practice. Later you can compare it with logistic regression (machine learning) on held-out data.</t>
        </is>
      </c>
    </row>
    <row r="750" ht="16.6" customHeight="1">
      <c r="A750" s="5" t="inlineStr">
        <is>
          <t>Concept 4</t>
        </is>
      </c>
      <c r="B750" s="9" t="inlineStr">
        <is>
          <t>Generative AI (LLM): optionally rephrases verified explanations. It is a writer, never a judge: it never decides what is true.</t>
        </is>
      </c>
    </row>
    <row r="751" ht="29.2" customHeight="1">
      <c r="A751" s="5" t="inlineStr">
        <is>
          <t>Concept 5</t>
        </is>
      </c>
      <c r="B751" s="9" t="inlineStr">
        <is>
          <t>Evaluation is part of AI engineering: precision/recall on independently labelled data, calibration of predictions, leakage control. This is what separates a demo from an AI system.</t>
        </is>
      </c>
    </row>
    <row r="752" ht="29.2" customHeight="1">
      <c r="A752" s="5" t="inlineStr">
        <is>
          <t>Concept 6</t>
        </is>
      </c>
      <c r="B752" s="9" t="inlineStr">
        <is>
          <t>Honest framing for your README: 'ChessLab does not train a stronger engine than Stockfish. It turns engine analysis into verified, explainable lessons and adaptive practice, and measures how well that works.'</t>
        </is>
      </c>
    </row>
    <row r="753" ht="16.6" customHeight="1">
      <c r="A753" s="58" t="inlineStr">
        <is>
          <t>In ChessLab</t>
        </is>
      </c>
      <c r="B753" s="59" t="inlineStr">
        <is>
          <t>The Start Here sheet's architecture section and the Methodology page both use this framing.</t>
        </is>
      </c>
    </row>
    <row r="754" ht="16.6" customHeight="1">
      <c r="A754" s="5" t="inlineStr">
        <is>
          <t>Common mistake</t>
        </is>
      </c>
      <c r="B754" s="9" t="inlineStr">
        <is>
          <t>Calling everything 'AI-powered' without saying what model does what.</t>
        </is>
      </c>
    </row>
    <row r="755" ht="16.6" customHeight="1">
      <c r="A755" s="5" t="inlineStr">
        <is>
          <t>Common mistake</t>
        </is>
      </c>
      <c r="B755" s="9" t="inlineStr">
        <is>
          <t>Letting an LLM decide whether a tactic exists.</t>
        </is>
      </c>
    </row>
    <row r="756" ht="16.6" customHeight="1">
      <c r="A756" s="7" t="inlineStr">
        <is>
          <t>Check yourself</t>
        </is>
      </c>
      <c r="B756" s="8" t="inlineStr">
        <is>
          <t>Which ChessLab component is search, which is rules, which is a learned/statistical model?</t>
        </is>
      </c>
    </row>
    <row r="757" ht="16.6" customHeight="1">
      <c r="A757" s="7" t="inlineStr">
        <is>
          <t>Check yourself</t>
        </is>
      </c>
      <c r="B757" s="8" t="inlineStr">
        <is>
          <t>Why is the LLM not allowed to pick moves?</t>
        </is>
      </c>
    </row>
    <row r="758" ht="16.6" customHeight="1">
      <c r="A758" s="5" t="inlineStr">
        <is>
          <t>Resource</t>
        </is>
      </c>
      <c r="B758" s="6" t="inlineStr">
        <is>
          <t>Russell &amp; Norvig, AI: A Modern Approach (book site)  —  https://aima.cs.berkeley.edu/</t>
        </is>
      </c>
    </row>
    <row r="759" ht="16.6" customHeight="1">
      <c r="A759" s="5" t="inlineStr">
        <is>
          <t>Resource</t>
        </is>
      </c>
      <c r="B759" s="6" t="inlineStr">
        <is>
          <t>Maia Chess: human-like chess AI research  —  https://www.maiachess.com/</t>
        </is>
      </c>
    </row>
    <row r="760" ht="16.6" customHeight="1">
      <c r="A760" s="5" t="inlineStr">
        <is>
          <t>Resource</t>
        </is>
      </c>
      <c r="B760" s="6" t="inlineStr">
        <is>
          <t>Stockfish NNUE (Chess Programming Wiki)  —  https://www.chessprogramming.org/Stockfish_NNUE</t>
        </is>
      </c>
    </row>
    <row r="762" ht="22" customHeight="1">
      <c r="A762" s="54" t="inlineStr">
        <is>
          <t>L38</t>
        </is>
      </c>
      <c r="B762" s="54" t="inlineStr">
        <is>
          <t>Two-stage detection: cheap high-recall candidates, then expensive high-precision verification   ·   Intermediate   ·   about 40 min   ·   used in P8, S2</t>
        </is>
      </c>
    </row>
    <row r="763">
      <c r="B763" s="55" t="inlineStr">
        <is>
          <t>↑ back to Lessons index</t>
        </is>
      </c>
    </row>
    <row r="764" ht="29.2" customHeight="1">
      <c r="A764" s="56" t="inlineStr">
        <is>
          <t>Why it matters</t>
        </is>
      </c>
      <c r="B764" s="57" t="inlineStr">
        <is>
          <t>This pattern appears everywhere in AI systems (search engines, fraud detection, recommender systems). It is how you keep both cost and false positives low.</t>
        </is>
      </c>
    </row>
    <row r="765" ht="29.2" customHeight="1">
      <c r="A765" s="5" t="inlineStr">
        <is>
          <t>Concept 1</t>
        </is>
      </c>
      <c r="B765" s="9" t="inlineStr">
        <is>
          <t>Stage 1 (generate): a fast, generous filter that rarely misses true cases (high recall) but lets through many false ones. For forks: every legal knight move that attacks two worthwhile targets.</t>
        </is>
      </c>
    </row>
    <row r="766" ht="29.2" customHeight="1">
      <c r="A766" s="5" t="inlineStr">
        <is>
          <t>Concept 2</t>
        </is>
      </c>
      <c r="B766" s="9" t="inlineStr">
        <is>
          <t>Stage 2 (verify): an expensive, strict check applied only to candidates (high precision). For forks: engine evaluation of the candidate and the actual move, PV legality replay, captured target, material gain &gt;= 2 or mate, gap &gt;= 150 cp.</t>
        </is>
      </c>
    </row>
    <row r="767" ht="29.2" customHeight="1">
      <c r="A767" s="5" t="inlineStr">
        <is>
          <t>Concept 3</t>
        </is>
      </c>
      <c r="B767" s="9" t="inlineStr">
        <is>
          <t>Budgeting: limit candidates per position (3), time per evaluation (0.5 s) and depth (14). Most positions have no candidate, so the engine is called rarely. During verification, a 14-ply opening took 14 engine calls and 3.7 s; a 40-ply engine game took about 2 s.</t>
        </is>
      </c>
    </row>
    <row r="768" ht="29.2" customHeight="1">
      <c r="A768" s="5" t="inlineStr">
        <is>
          <t>Concept 4</t>
        </is>
      </c>
      <c r="B768" s="9" t="inlineStr">
        <is>
          <t>Coverage honesty: if budgets cause you to skip positions, store how many were analysed and say 'detections at this budget', never 'all your mistakes'.</t>
        </is>
      </c>
    </row>
    <row r="769" ht="16.6" customHeight="1">
      <c r="A769" s="5" t="inlineStr">
        <is>
          <t>Concept 5</t>
        </is>
      </c>
      <c r="B769" s="9" t="inlineStr">
        <is>
          <t>Deduplication: the same unresolved fork available on consecutive turns is one missed idea, not several.</t>
        </is>
      </c>
    </row>
    <row r="770" ht="16.6" customHeight="1">
      <c r="A770" s="5" t="inlineStr">
        <is>
          <t>Concept 6</t>
        </is>
      </c>
      <c r="B770" s="9" t="inlineStr">
        <is>
          <t>Thresholds are parameters: freeze them before your final evaluation (lesson L45).</t>
        </is>
      </c>
    </row>
    <row r="771" ht="16.6" customHeight="1">
      <c r="A771" s="58" t="inlineStr">
        <is>
          <t>In ChessLab</t>
        </is>
      </c>
      <c r="B771" s="59" t="inlineStr">
        <is>
          <t>pipeline.py analyze_game(): candidates -&gt; verify -&gt; dedupe -&gt; evidence records. Coverage is stored on analysis_runs.</t>
        </is>
      </c>
    </row>
    <row r="772" ht="16.6" customHeight="1">
      <c r="A772" s="5" t="inlineStr">
        <is>
          <t>Common mistake</t>
        </is>
      </c>
      <c r="B772" s="9" t="inlineStr">
        <is>
          <t>Running the engine on every legal move of every position (slow, expensive).</t>
        </is>
      </c>
    </row>
    <row r="773" ht="16.6" customHeight="1">
      <c r="A773" s="5" t="inlineStr">
        <is>
          <t>Common mistake</t>
        </is>
      </c>
      <c r="B773" s="9" t="inlineStr">
        <is>
          <t>Reporting stage-1 candidates as findings.</t>
        </is>
      </c>
    </row>
    <row r="774" ht="16.6" customHeight="1">
      <c r="A774" s="7" t="inlineStr">
        <is>
          <t>Check yourself</t>
        </is>
      </c>
      <c r="B774" s="8" t="inlineStr">
        <is>
          <t>Which stage determines precision? Which determines recall?</t>
        </is>
      </c>
    </row>
    <row r="775" ht="16.6" customHeight="1">
      <c r="A775" s="7" t="inlineStr">
        <is>
          <t>Check yourself</t>
        </is>
      </c>
      <c r="B775" s="8" t="inlineStr">
        <is>
          <t>What is stored so a reader knows the coverage?</t>
        </is>
      </c>
    </row>
    <row r="776" ht="29.2" customHeight="1">
      <c r="A776" s="5" t="inlineStr">
        <is>
          <t>Resource</t>
        </is>
      </c>
      <c r="B776" s="6" t="inlineStr">
        <is>
          <t>Google ML Crash Course: Classification (precision/recall)  —  https://developers.google.com/machine-learning/crash-course/classification/accuracy-precision-recall</t>
        </is>
      </c>
    </row>
    <row r="778" ht="22" customHeight="1">
      <c r="A778" s="54" t="inlineStr">
        <is>
          <t>L39</t>
        </is>
      </c>
      <c r="B778" s="54" t="inlineStr">
        <is>
          <t>Evidence before prose: versioned structured records   ·   Intermediate   ·   about 30 min   ·   used in P8, P9, S3</t>
        </is>
      </c>
    </row>
    <row r="779">
      <c r="B779" s="55" t="inlineStr">
        <is>
          <t>↑ back to Lessons index</t>
        </is>
      </c>
    </row>
    <row r="780" ht="29.2" customHeight="1">
      <c r="A780" s="56" t="inlineStr">
        <is>
          <t>Why it matters</t>
        </is>
      </c>
      <c r="B780" s="57" t="inlineStr">
        <is>
          <t>If explanations are generated from structured, verified data, you can test them, re-render them, translate them, audit them and evaluate them. Free text cannot be audited.</t>
        </is>
      </c>
    </row>
    <row r="781" ht="29.2" customHeight="1">
      <c r="A781" s="5" t="inlineStr">
        <is>
          <t>Concept 1</t>
        </is>
      </c>
      <c r="B781" s="9" t="inlineStr">
        <is>
          <t>An evidence record stores what was observed and verified: position (fen_before), actual move, candidate move, targets, verified line (UCI and SAN), scores (cp and mate, same POV), material gain, engine limits, pipeline version and explanation template version.</t>
        </is>
      </c>
    </row>
    <row r="782" ht="29.2" customHeight="1">
      <c r="A782" s="5" t="inlineStr">
        <is>
          <t>Concept 2</t>
        </is>
      </c>
      <c r="B782" s="9" t="inlineStr">
        <is>
          <t>Versioning: PIPELINE_VERSION ('forks-v1') and EXPLANATION_VERSION ('fork-template-v1'). When logic changes, bump the version; old results remain interpretable and can be recomputed.</t>
        </is>
      </c>
    </row>
    <row r="783" ht="16.6" customHeight="1">
      <c r="A783" s="5" t="inlineStr">
        <is>
          <t>Concept 3</t>
        </is>
      </c>
      <c r="B783" s="9" t="inlineStr">
        <is>
          <t>Uniqueness: one analysis run per (game, pipeline_version); one evidence row per (run, ply, concept).</t>
        </is>
      </c>
    </row>
    <row r="784" ht="16.6" customHeight="1">
      <c r="A784" s="5" t="inlineStr">
        <is>
          <t>Concept 4</t>
        </is>
      </c>
      <c r="B784" s="9" t="inlineStr">
        <is>
          <t>Replay before accepting: every stored line is replayed for legality.</t>
        </is>
      </c>
    </row>
    <row r="785" ht="16.6" customHeight="1">
      <c r="A785" s="5" t="inlineStr">
        <is>
          <t>Concept 5</t>
        </is>
      </c>
      <c r="B785" s="9" t="inlineStr">
        <is>
          <t>Prose is a VIEW of the record: the template (or an optional LLM) renders text from fields; nothing in the text may go beyond the fields.</t>
        </is>
      </c>
    </row>
    <row r="786" ht="29.2" customHeight="1">
      <c r="A786" s="58" t="inlineStr">
        <is>
          <t>In ChessLab</t>
        </is>
      </c>
      <c r="B786" s="59" t="inlineStr">
        <is>
          <t>models.TacticalEvidence and pipeline.to_record(). The review UI shows the explanation AND lets the user step through the stored line on the board.</t>
        </is>
      </c>
    </row>
    <row r="787" ht="16.6" customHeight="1">
      <c r="A787" s="5" t="inlineStr">
        <is>
          <t>Common mistake</t>
        </is>
      </c>
      <c r="B787" s="9" t="inlineStr">
        <is>
          <t>Storing only a generated paragraph.</t>
        </is>
      </c>
    </row>
    <row r="788" ht="16.6" customHeight="1">
      <c r="A788" s="5" t="inlineStr">
        <is>
          <t>Common mistake</t>
        </is>
      </c>
      <c r="B788" s="9" t="inlineStr">
        <is>
          <t>Changing detection logic without bumping the version (mixed, incomparable results).</t>
        </is>
      </c>
    </row>
    <row r="789" ht="16.6" customHeight="1">
      <c r="A789" s="7" t="inlineStr">
        <is>
          <t>Check yourself</t>
        </is>
      </c>
      <c r="B789" s="8" t="inlineStr">
        <is>
          <t>Which fields would you need to re-render an explanation in another language?</t>
        </is>
      </c>
    </row>
    <row r="790" ht="16.6" customHeight="1">
      <c r="A790" s="7" t="inlineStr">
        <is>
          <t>Check yourself</t>
        </is>
      </c>
      <c r="B790" s="8" t="inlineStr">
        <is>
          <t>Why is the engine limit part of the evidence?</t>
        </is>
      </c>
    </row>
    <row r="791" ht="16.6" customHeight="1">
      <c r="A791" s="5" t="inlineStr">
        <is>
          <t>Resource</t>
        </is>
      </c>
      <c r="B791" s="6" t="inlineStr">
        <is>
          <t>Google: People + AI Guidebook (explainability)  —  https://pair.withgoogle.com/guidebook/</t>
        </is>
      </c>
    </row>
    <row r="793" ht="22" customHeight="1">
      <c r="A793" s="54" t="inlineStr">
        <is>
          <t>L40</t>
        </is>
      </c>
      <c r="B793" s="54" t="inlineStr">
        <is>
          <t>Template-based natural language generation   ·   Beginner   ·   about 25 min   ·   used in P9</t>
        </is>
      </c>
    </row>
    <row r="794">
      <c r="B794" s="55" t="inlineStr">
        <is>
          <t>↑ back to Lessons index</t>
        </is>
      </c>
    </row>
    <row r="795" ht="16.6" customHeight="1">
      <c r="A795" s="56" t="inlineStr">
        <is>
          <t>Why it matters</t>
        </is>
      </c>
      <c r="B795" s="57" t="inlineStr">
        <is>
          <t>Deterministic templates give correct, consistent, testable explanations at zero cost, which is the right default before any LLM.</t>
        </is>
      </c>
    </row>
    <row r="796" ht="29.2" customHeight="1">
      <c r="A796" s="5" t="inlineStr">
        <is>
          <t>Concept 1</t>
        </is>
      </c>
      <c r="B796" s="9" t="inlineStr">
        <is>
          <t>A template is a sentence with slots filled from verified fields: 'On {move_phrase}, the knight move {candidate_san} was available. It attacks the {targets} at the same time...'.</t>
        </is>
      </c>
    </row>
    <row r="797" ht="16.6" customHeight="1">
      <c r="A797" s="5" t="inlineStr">
        <is>
          <t>Concept 2</t>
        </is>
      </c>
      <c r="B797" s="9" t="inlineStr">
        <is>
          <t>Render only supported slots; omit a sentence if its data is missing (no reply in the line -&gt; skip the 'After the reply' sentence).</t>
        </is>
      </c>
    </row>
    <row r="798" ht="16.6" customHeight="1">
      <c r="A798" s="5" t="inlineStr">
        <is>
          <t>Concept 3</t>
        </is>
      </c>
      <c r="B798" s="9" t="inlineStr">
        <is>
          <t>Language that matches the evidence: 'Best line found at search depth 14; this is strong evidence, not a mathematical proof.'</t>
        </is>
      </c>
    </row>
    <row r="799" ht="16.6" customHeight="1">
      <c r="A799" s="5" t="inlineStr">
        <is>
          <t>Concept 4</t>
        </is>
      </c>
      <c r="B799" s="9" t="inlineStr">
        <is>
          <t>Unit-test templates with fixed inputs; version them (EXPLANATION_VERSION).</t>
        </is>
      </c>
    </row>
    <row r="800" ht="29.2" customHeight="1">
      <c r="A800" s="5" t="inlineStr">
        <is>
          <t>Concept 5</t>
        </is>
      </c>
      <c r="B800" s="9" t="inlineStr">
        <is>
          <t>During verification the first wording 'At move 18. the knight move...' read badly; changing the template once improved every stored explanation's next render. That's the power of templates.</t>
        </is>
      </c>
    </row>
    <row r="801" ht="16.6" customHeight="1">
      <c r="A801" s="58" t="inlineStr">
        <is>
          <t>In ChessLab</t>
        </is>
      </c>
      <c r="B801" s="59" t="inlineStr">
        <is>
          <t>app/explain/templates.py explain_fork(), move_phrase(), join_targets(), gain_text().</t>
        </is>
      </c>
    </row>
    <row r="802" ht="16.6" customHeight="1">
      <c r="A802" s="5" t="inlineStr">
        <is>
          <t>Common mistake</t>
        </is>
      </c>
      <c r="B802" s="9" t="inlineStr">
        <is>
          <t>Claims the data doesn't support ('this lost you the game').</t>
        </is>
      </c>
    </row>
    <row r="803" ht="16.6" customHeight="1">
      <c r="A803" s="5" t="inlineStr">
        <is>
          <t>Common mistake</t>
        </is>
      </c>
      <c r="B803" s="9" t="inlineStr">
        <is>
          <t>Hard-coding wording in the frontend so it diverges from the backend.</t>
        </is>
      </c>
    </row>
    <row r="804" ht="16.6" customHeight="1">
      <c r="A804" s="7" t="inlineStr">
        <is>
          <t>Check yourself</t>
        </is>
      </c>
      <c r="B804" s="8" t="inlineStr">
        <is>
          <t>What does the template say when the line forces mate?</t>
        </is>
      </c>
    </row>
    <row r="805" ht="16.6" customHeight="1">
      <c r="A805" s="5" t="inlineStr">
        <is>
          <t>Resource</t>
        </is>
      </c>
      <c r="B805" s="6" t="inlineStr">
        <is>
          <t>Reiter &amp; Dale: Building Natural Language Generation Systems (overview)  —  https://ehudreiter.com/2016/12/18/nlg-vs-templates/</t>
        </is>
      </c>
    </row>
    <row r="807" ht="22" customHeight="1">
      <c r="A807" s="54" t="inlineStr">
        <is>
          <t>L41</t>
        </is>
      </c>
      <c r="B807" s="54" t="inlineStr">
        <is>
          <t>Datasets done right: the Lichess puzzle database, licences, provenance and sampling   ·   Intermediate   ·   about 60 min   ·   used in P10, P12</t>
        </is>
      </c>
    </row>
    <row r="808">
      <c r="B808" s="55" t="inlineStr">
        <is>
          <t>↑ back to Lessons index</t>
        </is>
      </c>
    </row>
    <row r="809" ht="29.2" customHeight="1">
      <c r="A809" s="56" t="inlineStr">
        <is>
          <t>Why it matters</t>
        </is>
      </c>
      <c r="B809" s="57" t="inlineStr">
        <is>
          <t>Practice quality depends on data quality. Recording where data came from and how it was filtered makes your results reproducible and your claims credible.</t>
        </is>
      </c>
    </row>
    <row r="810" ht="29.2" customHeight="1">
      <c r="A810" s="5" t="inlineStr">
        <is>
          <t>Concept 1</t>
        </is>
      </c>
      <c r="B810" s="9" t="inlineStr">
        <is>
          <t>The Lichess puzzle database is CC0 (public domain) and has millions of rows: PuzzleId, FEN, Moves, Rating, RatingDeviation, Popularity, NbPlays, Themes, GameUrl, OpeningTags.</t>
        </is>
      </c>
    </row>
    <row r="811" ht="29.2" customHeight="1">
      <c r="A811" s="5" t="inlineStr">
        <is>
          <t>Concept 2</t>
        </is>
      </c>
      <c r="B811" s="9" t="inlineStr">
        <is>
          <t>Setup move: the FEN is the position BEFORE the opponent's last move. Moves[0] is that opponent move; apply it to get the position shown to the solver. The solver's answer starts at Moves[1] and alternates with forced opponent replies.</t>
        </is>
      </c>
    </row>
    <row r="812" ht="29.2" customHeight="1">
      <c r="A812" s="5" t="inlineStr">
        <is>
          <t>Concept 3</t>
        </is>
      </c>
      <c r="B812" s="9" t="inlineStr">
        <is>
          <t>Filter for quality: enough plays (NbPlays &gt;= 300), reliable rating (RatingDeviation &lt;= 90), liked by players (Popularity &gt;= 80). Validate that every move is legal.</t>
        </is>
      </c>
    </row>
    <row r="813" ht="16.6" customHeight="1">
      <c r="A813" s="5" t="inlineStr">
        <is>
          <t>Concept 4</t>
        </is>
      </c>
      <c r="B813" s="9" t="inlineStr">
        <is>
          <t>Concept mapping: theme 'fork' AND the solver's first move is a knight move -&gt; knight_fork; 'hangingPiece' -&gt; hanging_piece.</t>
        </is>
      </c>
    </row>
    <row r="814" ht="29.2" customHeight="1">
      <c r="A814" s="5" t="inlineStr">
        <is>
          <t>Concept 5</t>
        </is>
      </c>
      <c r="B814" s="9" t="inlineStr">
        <is>
          <t>Stratified reservoir sampling: keep a uniform random sample per rating band (600-800, 800-1000, ...) while streaming the file once, without holding millions of rows in memory.</t>
        </is>
      </c>
    </row>
    <row r="815" ht="29.2" customHeight="1">
      <c r="A815" s="5" t="inlineStr">
        <is>
          <t>Concept 6</t>
        </is>
      </c>
      <c r="B815" s="9" t="inlineStr">
        <is>
          <t>Deterministic pools by hashing the puzzle id: 10% eval (never served), 10% assessment (blind tests), 80% practice. The same puzzle always lands in the same pool.</t>
        </is>
      </c>
    </row>
    <row r="816" ht="29.2" customHeight="1">
      <c r="A816" s="5" t="inlineStr">
        <is>
          <t>Concept 7</t>
        </is>
      </c>
      <c r="B816" s="9" t="inlineStr">
        <is>
          <t>Manifest: dataset version, source URL, licence, filters, counts per concept and pool, sha256 checksum of the output. Commit the manifest and the small subset, never the full dump.</t>
        </is>
      </c>
    </row>
    <row r="817" ht="16.6" customHeight="1">
      <c r="A817" s="5" t="inlineStr">
        <is>
          <t>Concept 8</t>
        </is>
      </c>
      <c r="B817" s="9" t="inlineStr">
        <is>
          <t>Streaming decompression: the file is .csv.zst; Python's zstandard library decompresses as you read.</t>
        </is>
      </c>
    </row>
    <row r="818" ht="29.2" customHeight="1">
      <c r="A818" s="58" t="inlineStr">
        <is>
          <t>In ChessLab</t>
        </is>
      </c>
      <c r="B818" s="59" t="inlineStr">
        <is>
          <t>evaluation/prepare_puzzles.py (verified on a synthetic sample: filtering, playable FEN and manifest all correct) and app/seed.py (idempotent load: inserted 1 then 0 on re-run).</t>
        </is>
      </c>
    </row>
    <row r="819" ht="16.6" customHeight="1">
      <c r="A819" s="5" t="inlineStr">
        <is>
          <t>Common mistake</t>
        </is>
      </c>
      <c r="B819" s="9" t="inlineStr">
        <is>
          <t>Showing the solver the position before the setup move (the puzzle makes no sense).</t>
        </is>
      </c>
    </row>
    <row r="820" ht="16.6" customHeight="1">
      <c r="A820" s="5" t="inlineStr">
        <is>
          <t>Common mistake</t>
        </is>
      </c>
      <c r="B820" s="9" t="inlineStr">
        <is>
          <t>Loading all 5M+ rows into production.</t>
        </is>
      </c>
    </row>
    <row r="821" ht="16.6" customHeight="1">
      <c r="A821" s="5" t="inlineStr">
        <is>
          <t>Common mistake</t>
        </is>
      </c>
      <c r="B821" s="9" t="inlineStr">
        <is>
          <t>Serving evaluation puzzles in practice (leakage).</t>
        </is>
      </c>
    </row>
    <row r="822" ht="16.6" customHeight="1">
      <c r="A822" s="7" t="inlineStr">
        <is>
          <t>Check yourself</t>
        </is>
      </c>
      <c r="B822" s="8" t="inlineStr">
        <is>
          <t>Which move does the solver play first?</t>
        </is>
      </c>
    </row>
    <row r="823" ht="16.6" customHeight="1">
      <c r="A823" s="7" t="inlineStr">
        <is>
          <t>Check yourself</t>
        </is>
      </c>
      <c r="B823" s="8" t="inlineStr">
        <is>
          <t>Why use a hash of the id instead of random() to assign pools?</t>
        </is>
      </c>
    </row>
    <row r="824" ht="16.6" customHeight="1">
      <c r="A824" s="5" t="inlineStr">
        <is>
          <t>Resource</t>
        </is>
      </c>
      <c r="B824" s="6" t="inlineStr">
        <is>
          <t>Lichess open database: puzzles  —  https://database.lichess.org/#puzzles</t>
        </is>
      </c>
    </row>
    <row r="825" ht="16.6" customHeight="1">
      <c r="A825" s="5" t="inlineStr">
        <is>
          <t>Resource</t>
        </is>
      </c>
      <c r="B825" s="6" t="inlineStr">
        <is>
          <t>Wikipedia: Reservoir sampling  —  https://en.wikipedia.org/wiki/Reservoir_sampling</t>
        </is>
      </c>
    </row>
    <row r="826" ht="16.6" customHeight="1">
      <c r="A826" s="5" t="inlineStr">
        <is>
          <t>Resource</t>
        </is>
      </c>
      <c r="B826" s="6" t="inlineStr">
        <is>
          <t>python-zstandard  —  https://python-zstandard.readthedocs.io/</t>
        </is>
      </c>
    </row>
    <row r="827" ht="16.6" customHeight="1">
      <c r="A827" s="5" t="inlineStr">
        <is>
          <t>Resource</t>
        </is>
      </c>
      <c r="B827" s="6" t="inlineStr">
        <is>
          <t>Datasheets for Datasets (paper)  —  https://arxiv.org/abs/1803.09010</t>
        </is>
      </c>
    </row>
    <row r="829" ht="22" customHeight="1">
      <c r="A829" s="54" t="inlineStr">
        <is>
          <t>L42</t>
        </is>
      </c>
      <c r="B829" s="54" t="inlineStr">
        <is>
          <t>Elo and the logistic function as a learner model   ·   Intermediate   ·   about 45 min   ·   used in P11, S6</t>
        </is>
      </c>
    </row>
    <row r="830">
      <c r="B830" s="55" t="inlineStr">
        <is>
          <t>↑ back to Lessons index</t>
        </is>
      </c>
    </row>
    <row r="831" ht="29.2" customHeight="1">
      <c r="A831" s="56" t="inlineStr">
        <is>
          <t>Why it matters</t>
        </is>
      </c>
      <c r="B831" s="57" t="inlineStr">
        <is>
          <t>A simple, interpretable model that predicts how likely a player is to solve a puzzle is the engine of adaptive practice, and the baseline any fancier model must beat.</t>
        </is>
      </c>
    </row>
    <row r="832" ht="29.2" customHeight="1">
      <c r="A832" s="5" t="inlineStr">
        <is>
          <t>Concept 1</t>
        </is>
      </c>
      <c r="B832" s="9" t="inlineStr">
        <is>
          <t>Expected score: P(solve) = 1 / (1 + 10 ** ((puzzle_rating - concept_rating) / 400)). Equal ratings -&gt; 50%; a player 400 points stronger -&gt; 10/11 (about 91%).</t>
        </is>
      </c>
    </row>
    <row r="833" ht="16.6" customHeight="1">
      <c r="A833" s="5" t="inlineStr">
        <is>
          <t>Concept 2</t>
        </is>
      </c>
      <c r="B833" s="9" t="inlineStr">
        <is>
          <t>This is a logistic (S-shaped) function of the rating gap: the same family as logistic regression.</t>
        </is>
      </c>
    </row>
    <row r="834" ht="29.2" customHeight="1">
      <c r="A834" s="5" t="inlineStr">
        <is>
          <t>Concept 3</t>
        </is>
      </c>
      <c r="B834" s="9" t="inlineStr">
        <is>
          <t>Update after each eligible attempt: new = old + K * (result - expected), result = 1 if solved first try without hints, else 0. Surprising results move the rating more.</t>
        </is>
      </c>
    </row>
    <row r="835" ht="16.6" customHeight="1">
      <c r="A835" s="5" t="inlineStr">
        <is>
          <t>Concept 4</t>
        </is>
      </c>
      <c r="B835" s="9" t="inlineStr">
        <is>
          <t>K schedule: K = 40 for the first 10 attempts (provisional: learn fast), then 20 (stable).</t>
        </is>
      </c>
    </row>
    <row r="836" ht="29.2" customHeight="1">
      <c r="A836" s="5" t="inlineStr">
        <is>
          <t>Concept 5</t>
        </is>
      </c>
      <c r="B836" s="9" t="inlineStr">
        <is>
          <t>Inverse for selection: the puzzle rating that gives a target probability p is concept_rating + 400 * log10(1/p - 1). For p = 0.7 that is about 147 points BELOW the player's rating.</t>
        </is>
      </c>
    </row>
    <row r="837" ht="29.2" customHeight="1">
      <c r="A837" s="5" t="inlineStr">
        <is>
          <t>Concept 6</t>
        </is>
      </c>
      <c r="B837" s="9" t="inlineStr">
        <is>
          <t>Scope honestly: this is a local, provisional, per-concept practice scale. It is not the player's Elo, FIDE or Lichess rating. Don't update the public puzzle ratings.</t>
        </is>
      </c>
    </row>
    <row r="838" ht="29.2" customHeight="1">
      <c r="A838" s="5" t="inlineStr">
        <is>
          <t>Concept 7</t>
        </is>
      </c>
      <c r="B838" s="9" t="inlineStr">
        <is>
          <t>Multi-theme puzzles: attribute each to ONE primary concept, or exclude it from concept updates, so one result isn't counted as several separate skill measurements.</t>
        </is>
      </c>
    </row>
    <row r="839" ht="16.6" customHeight="1">
      <c r="A839" s="5" t="inlineStr">
        <is>
          <t>Concept 8</t>
        </is>
      </c>
      <c r="B839" s="9" t="inlineStr">
        <is>
          <t>Save the prediction BEFORE the attempt (predicted_p, rating_before, model_version) so you can later measure calibration.</t>
        </is>
      </c>
    </row>
    <row r="840" ht="16.6" customHeight="1">
      <c r="A840" s="58" t="inlineStr">
        <is>
          <t>In ChessLab</t>
        </is>
      </c>
      <c r="B840" s="59" t="inlineStr">
        <is>
          <t>app/learning/elo.py (unit-tested), selector.py uses target_puzzle_rating; practice.py applies exactly one update per session.</t>
        </is>
      </c>
    </row>
    <row r="841" ht="16.6" customHeight="1">
      <c r="A841" s="5" t="inlineStr">
        <is>
          <t>Common mistake</t>
        </is>
      </c>
      <c r="B841" s="9" t="inlineStr">
        <is>
          <t>Updating the rating on every move or every retry of the same puzzle.</t>
        </is>
      </c>
    </row>
    <row r="842" ht="16.6" customHeight="1">
      <c r="A842" s="5" t="inlineStr">
        <is>
          <t>Common mistake</t>
        </is>
      </c>
      <c r="B842" s="9" t="inlineStr">
        <is>
          <t>Computing the prediction after you know the result.</t>
        </is>
      </c>
    </row>
    <row r="843" ht="16.6" customHeight="1">
      <c r="A843" s="5" t="inlineStr">
        <is>
          <t>Common mistake</t>
        </is>
      </c>
      <c r="B843" s="9" t="inlineStr">
        <is>
          <t>Labelling the number 'your Elo'.</t>
        </is>
      </c>
    </row>
    <row r="844" ht="16.6" customHeight="1">
      <c r="A844" s="7" t="inlineStr">
        <is>
          <t>Check yourself</t>
        </is>
      </c>
      <c r="B844" s="8" t="inlineStr">
        <is>
          <t>Compute P(solve) for concept 1500 vs puzzle 1700.</t>
        </is>
      </c>
    </row>
    <row r="845" ht="16.6" customHeight="1">
      <c r="A845" s="7" t="inlineStr">
        <is>
          <t>Check yourself</t>
        </is>
      </c>
      <c r="B845" s="8" t="inlineStr">
        <is>
          <t>Why is K larger for new players?</t>
        </is>
      </c>
    </row>
    <row r="846" ht="16.6" customHeight="1">
      <c r="A846" s="5" t="inlineStr">
        <is>
          <t>Resource</t>
        </is>
      </c>
      <c r="B846" s="6" t="inlineStr">
        <is>
          <t>Wikipedia: Elo rating system (theory)  —  https://en.wikipedia.org/wiki/Elo_rating_system#Theory</t>
        </is>
      </c>
    </row>
    <row r="847" ht="29.2" customHeight="1">
      <c r="A847" s="5" t="inlineStr">
        <is>
          <t>Resource</t>
        </is>
      </c>
      <c r="B847" s="6" t="inlineStr">
        <is>
          <t>Pelánek: Applications of the Elo rating system in adaptive educational systems (paper)  —  https://www.fi.muni.cz/~xpelanek/publications/CAE-elo.pdf</t>
        </is>
      </c>
    </row>
    <row r="849" ht="22" customHeight="1">
      <c r="A849" s="54" t="inlineStr">
        <is>
          <t>L43</t>
        </is>
      </c>
      <c r="B849" s="54" t="inlineStr">
        <is>
          <t>Adaptive practice: target difficulty, exploration and spacing   ·   Intermediate   ·   about 30 min   ·   used in P10, P11</t>
        </is>
      </c>
    </row>
    <row r="850">
      <c r="B850" s="55" t="inlineStr">
        <is>
          <t>↑ back to Lessons index</t>
        </is>
      </c>
    </row>
    <row r="851" ht="16.6" customHeight="1">
      <c r="A851" s="56" t="inlineStr">
        <is>
          <t>Why it matters</t>
        </is>
      </c>
      <c r="B851" s="57" t="inlineStr">
        <is>
          <t>Practice that is too easy teaches nothing; too hard discourages. A small, explainable selection policy beats a random puzzle feed.</t>
        </is>
      </c>
    </row>
    <row r="852" ht="16.6" customHeight="1">
      <c r="A852" s="5" t="inlineStr">
        <is>
          <t>Concept 1</t>
        </is>
      </c>
      <c r="B852" s="9" t="inlineStr">
        <is>
          <t>Target success band: choose puzzles where predicted P(solve) is around 70% (a tunable product choice, typically 60-80%).</t>
        </is>
      </c>
    </row>
    <row r="853" ht="16.6" customHeight="1">
      <c r="A853" s="5" t="inlineStr">
        <is>
          <t>Concept 2</t>
        </is>
      </c>
      <c r="B853" s="9" t="inlineStr">
        <is>
          <t>Widening windows: look for unseen puzzles within ±75 rating points of the target, then ±150, ±300... so you always find something.</t>
        </is>
      </c>
    </row>
    <row r="854" ht="16.6" customHeight="1">
      <c r="A854" s="5" t="inlineStr">
        <is>
          <t>Concept 3</t>
        </is>
      </c>
      <c r="B854" s="9" t="inlineStr">
        <is>
          <t>Exploration: 15% of the time aim at 50% to test whether the player has improved (otherwise the rating can get stuck).</t>
        </is>
      </c>
    </row>
    <row r="855" ht="29.2" customHeight="1">
      <c r="A855" s="5" t="inlineStr">
        <is>
          <t>Concept 4</t>
        </is>
      </c>
      <c r="B855" s="9" t="inlineStr">
        <is>
          <t>Exclusions: never repeat a puzzle; never serve evaluation puzzles; serve assessment puzzles only in assessment mode with the theme hidden.</t>
        </is>
      </c>
    </row>
    <row r="856" ht="16.6" customHeight="1">
      <c r="A856" s="5" t="inlineStr">
        <is>
          <t>Concept 5</t>
        </is>
      </c>
      <c r="B856" s="9" t="inlineStr">
        <is>
          <t>Log the selection reason ('target_p70_window150') and the predicted probability for every session.</t>
        </is>
      </c>
    </row>
    <row r="857" ht="29.2" customHeight="1">
      <c r="A857" s="5" t="inlineStr">
        <is>
          <t>Concept 6</t>
        </is>
      </c>
      <c r="B857" s="9" t="inlineStr">
        <is>
          <t>Later improvements (optional): spaced review of concepts not practised recently; avoid sending a struggling player endlessly into their weakest theme.</t>
        </is>
      </c>
    </row>
    <row r="858" ht="16.6" customHeight="1">
      <c r="A858" s="58" t="inlineStr">
        <is>
          <t>In ChessLab</t>
        </is>
      </c>
      <c r="B858" s="59" t="inlineStr">
        <is>
          <t>app/learning/selector.py choose().</t>
        </is>
      </c>
    </row>
    <row r="859" ht="16.6" customHeight="1">
      <c r="A859" s="5" t="inlineStr">
        <is>
          <t>Common mistake</t>
        </is>
      </c>
      <c r="B859" s="9" t="inlineStr">
        <is>
          <t>Revealing the concept on assessment exercises (measures pattern-cueing, not recognition).</t>
        </is>
      </c>
    </row>
    <row r="860" ht="16.6" customHeight="1">
      <c r="A860" s="5" t="inlineStr">
        <is>
          <t>Common mistake</t>
        </is>
      </c>
      <c r="B860" s="9" t="inlineStr">
        <is>
          <t>Interpreting 'solving easier puzzles' as improvement.</t>
        </is>
      </c>
    </row>
    <row r="861" ht="16.6" customHeight="1">
      <c r="A861" s="7" t="inlineStr">
        <is>
          <t>Check yourself</t>
        </is>
      </c>
      <c r="B861" s="8" t="inlineStr">
        <is>
          <t>Why hide the theme in assessment mode?</t>
        </is>
      </c>
    </row>
    <row r="862" ht="16.6" customHeight="1">
      <c r="A862" s="7" t="inlineStr">
        <is>
          <t>Check yourself</t>
        </is>
      </c>
      <c r="B862" s="8" t="inlineStr">
        <is>
          <t>What does the 15% exploration do for the rating?</t>
        </is>
      </c>
    </row>
    <row r="863" ht="16.6" customHeight="1">
      <c r="A863" s="5" t="inlineStr">
        <is>
          <t>Resource</t>
        </is>
      </c>
      <c r="B863" s="6" t="inlineStr">
        <is>
          <t>Wikipedia: Zone of proximal development  —  https://en.wikipedia.org/wiki/Zone_of_proximal_development</t>
        </is>
      </c>
    </row>
    <row r="864" ht="16.6" customHeight="1">
      <c r="A864" s="5" t="inlineStr">
        <is>
          <t>Resource</t>
        </is>
      </c>
      <c r="B864" s="6" t="inlineStr">
        <is>
          <t>Wikipedia: Spaced repetition  —  https://en.wikipedia.org/wiki/Spaced_repetition</t>
        </is>
      </c>
    </row>
    <row r="866" ht="22" customHeight="1">
      <c r="A866" s="54" t="inlineStr">
        <is>
          <t>L44</t>
        </is>
      </c>
      <c r="B866" s="54" t="inlineStr">
        <is>
          <t>Evaluating a detector: confusion matrix, precision, recall and confidence intervals   ·   Intermediate   ·   about 60 min   ·   used in P12</t>
        </is>
      </c>
    </row>
    <row r="867">
      <c r="B867" s="55" t="inlineStr">
        <is>
          <t>↑ back to Lessons index</t>
        </is>
      </c>
    </row>
    <row r="868" ht="16.6" customHeight="1">
      <c r="A868" s="56" t="inlineStr">
        <is>
          <t>Why it matters</t>
        </is>
      </c>
      <c r="B868" s="57" t="inlineStr">
        <is>
          <t>'My detector works' is a claim. Precision and recall with honest intervals on independently labelled data is evidence.</t>
        </is>
      </c>
    </row>
    <row r="869" ht="29.2" customHeight="1">
      <c r="A869" s="5" t="inlineStr">
        <is>
          <t>Concept 1</t>
        </is>
      </c>
      <c r="B869" s="9" t="inlineStr">
        <is>
          <t>Confusion matrix: TP (detector says missed fork, label agrees), FP (detector says yes, label says no), FN (detector says no, label says yes), TN.</t>
        </is>
      </c>
    </row>
    <row r="870" ht="16.6" customHeight="1">
      <c r="A870" s="5" t="inlineStr">
        <is>
          <t>Concept 2</t>
        </is>
      </c>
      <c r="B870" s="9" t="inlineStr">
        <is>
          <t>Precision = TP / (TP + FP): when ChessLab says 'you missed a fork', how often is it right? This matters most for user trust.</t>
        </is>
      </c>
    </row>
    <row r="871" ht="16.6" customHeight="1">
      <c r="A871" s="5" t="inlineStr">
        <is>
          <t>Concept 3</t>
        </is>
      </c>
      <c r="B871" s="9" t="inlineStr">
        <is>
          <t>Recall = TP / (TP + FN): of all real missed forks, how many did we find?</t>
        </is>
      </c>
    </row>
    <row r="872" ht="16.6" customHeight="1">
      <c r="A872" s="5" t="inlineStr">
        <is>
          <t>Concept 4</t>
        </is>
      </c>
      <c r="B872" s="9" t="inlineStr">
        <is>
          <t>F1 = harmonic mean of precision and recall. Report all three plus the raw counts.</t>
        </is>
      </c>
    </row>
    <row r="873" ht="29.2" customHeight="1">
      <c r="A873" s="5" t="inlineStr">
        <is>
          <t>Concept 5</t>
        </is>
      </c>
      <c r="B873" s="9" t="inlineStr">
        <is>
          <t>Confidence intervals: with small samples, 8/10 = 80% could easily be 49%-94%. The Wilson score interval is accurate for small n; always report it.</t>
        </is>
      </c>
    </row>
    <row r="874" ht="29.2" customHeight="1">
      <c r="A874" s="5" t="inlineStr">
        <is>
          <t>Concept 6</t>
        </is>
      </c>
      <c r="B874" s="9" t="inlineStr">
        <is>
          <t>Prevalence matters: precision depends on how common true cases are. Estimate it on a sample that reflects real games (ordinary turns + detector positives together), and keep 'hard challenge sets' (pinned attackers, sacrifices, capturable knights) as separate reports.</t>
        </is>
      </c>
    </row>
    <row r="875" ht="29.2" customHeight="1">
      <c r="A875" s="5" t="inlineStr">
        <is>
          <t>Concept 7</t>
        </is>
      </c>
      <c r="B875" s="9" t="inlineStr">
        <is>
          <t>Independent labels: you (and ideally a second reviewer) label positions WITHOUT seeing the detector's answer. Measure agreement on a subset and adjudicate disagreements. If you are the only reviewer, say so.</t>
        </is>
      </c>
    </row>
    <row r="876" ht="16.6" customHeight="1">
      <c r="A876" s="58" t="inlineStr">
        <is>
          <t>In ChessLab</t>
        </is>
      </c>
      <c r="B876" s="59" t="inlineStr">
        <is>
          <t>evaluation/metrics.py (Confusion, wilson_interval; unit-tested) and evaluation/run_eval.py real-games mode, plus the labels template CSV.</t>
        </is>
      </c>
    </row>
    <row r="877" ht="16.6" customHeight="1">
      <c r="A877" s="5" t="inlineStr">
        <is>
          <t>Common mistake</t>
        </is>
      </c>
      <c r="B877" s="9" t="inlineStr">
        <is>
          <t>Labelling with the detector's output visible (anchoring).</t>
        </is>
      </c>
    </row>
    <row r="878" ht="16.6" customHeight="1">
      <c r="A878" s="5" t="inlineStr">
        <is>
          <t>Common mistake</t>
        </is>
      </c>
      <c r="B878" s="9" t="inlineStr">
        <is>
          <t>Reporting accuracy on a set where 95% of positions are 'no fork' (a detector that always says no gets 95%).</t>
        </is>
      </c>
    </row>
    <row r="879" ht="16.6" customHeight="1">
      <c r="A879" s="5" t="inlineStr">
        <is>
          <t>Common mistake</t>
        </is>
      </c>
      <c r="B879" s="9" t="inlineStr">
        <is>
          <t>Tuning thresholds on the test set.</t>
        </is>
      </c>
    </row>
    <row r="880" ht="16.6" customHeight="1">
      <c r="A880" s="7" t="inlineStr">
        <is>
          <t>Check yourself</t>
        </is>
      </c>
      <c r="B880" s="8" t="inlineStr">
        <is>
          <t>Compute precision and recall for TP=8, FP=2, FN=4.</t>
        </is>
      </c>
    </row>
    <row r="881" ht="16.6" customHeight="1">
      <c r="A881" s="7" t="inlineStr">
        <is>
          <t>Check yourself</t>
        </is>
      </c>
      <c r="B881" s="8" t="inlineStr">
        <is>
          <t>Why can accuracy be misleading here?</t>
        </is>
      </c>
    </row>
    <row r="882" ht="29.2" customHeight="1">
      <c r="A882" s="5" t="inlineStr">
        <is>
          <t>Resource</t>
        </is>
      </c>
      <c r="B882" s="6" t="inlineStr">
        <is>
          <t>Google ML Crash Course: Accuracy, precision, recall  —  https://developers.google.com/machine-learning/crash-course/classification/accuracy-precision-recall</t>
        </is>
      </c>
    </row>
    <row r="883" ht="16.6" customHeight="1">
      <c r="A883" s="5" t="inlineStr">
        <is>
          <t>Resource</t>
        </is>
      </c>
      <c r="B883" s="6" t="inlineStr">
        <is>
          <t>Wikipedia: Wilson score interval  —  https://en.wikipedia.org/wiki/Binomial_proportion_confidence_interval#Wilson_score_interval</t>
        </is>
      </c>
    </row>
    <row r="884" ht="16.6" customHeight="1">
      <c r="A884" s="5" t="inlineStr">
        <is>
          <t>Resource</t>
        </is>
      </c>
      <c r="B884" s="6" t="inlineStr">
        <is>
          <t>Wikipedia: Cohen's kappa (inter-rater agreement)  —  https://en.wikipedia.org/wiki/Cohen%27s_kappa</t>
        </is>
      </c>
    </row>
    <row r="886" ht="22" customHeight="1">
      <c r="A886" s="54" t="inlineStr">
        <is>
          <t>L45</t>
        </is>
      </c>
      <c r="B886" s="54" t="inlineStr">
        <is>
          <t>Data leakage, splits and honest benchmarks   ·   Intermediate   ·   about 40 min   ·   used in P10, P12, S6</t>
        </is>
      </c>
    </row>
    <row r="887">
      <c r="B887" s="55" t="inlineStr">
        <is>
          <t>↑ back to Lessons index</t>
        </is>
      </c>
    </row>
    <row r="888" ht="16.6" customHeight="1">
      <c r="A888" s="56" t="inlineStr">
        <is>
          <t>Why it matters</t>
        </is>
      </c>
      <c r="B888" s="57" t="inlineStr">
        <is>
          <t>Leakage makes results look great and then fail in reality. Avoiding it is the core skill of trustworthy AI evaluation.</t>
        </is>
      </c>
    </row>
    <row r="889" ht="29.2" customHeight="1">
      <c r="A889" s="5" t="inlineStr">
        <is>
          <t>Concept 1</t>
        </is>
      </c>
      <c r="B889" s="9" t="inlineStr">
        <is>
          <t>Leakage = information from the test set influencing the system: tuning thresholds on test positions, practising on evaluation puzzles, or two positions from the same game in train and test.</t>
        </is>
      </c>
    </row>
    <row r="890" ht="16.6" customHeight="1">
      <c r="A890" s="5" t="inlineStr">
        <is>
          <t>Concept 2</t>
        </is>
      </c>
      <c r="B890" s="9" t="inlineStr">
        <is>
          <t>Split by source game (and, for learner models, by player and time), not by individual position. Deduplicate identical positions.</t>
        </is>
      </c>
    </row>
    <row r="891" ht="16.6" customHeight="1">
      <c r="A891" s="5" t="inlineStr">
        <is>
          <t>Concept 3</t>
        </is>
      </c>
      <c r="B891" s="9" t="inlineStr">
        <is>
          <t>Freeze thresholds and pipeline version BEFORE running the final test; record them in the report.</t>
        </is>
      </c>
    </row>
    <row r="892" ht="29.2" customHeight="1">
      <c r="A892" s="5" t="inlineStr">
        <is>
          <t>Concept 4</t>
        </is>
      </c>
      <c r="B892" s="9" t="inlineStr">
        <is>
          <t>Puzzle theme agreement is not real-game accuracy: Lichess themes are generated by software that may share logic with your detector. Report it separately and label it as agreement.</t>
        </is>
      </c>
    </row>
    <row r="893" ht="16.6" customHeight="1">
      <c r="A893" s="5" t="inlineStr">
        <is>
          <t>Concept 5</t>
        </is>
      </c>
      <c r="B893" s="9" t="inlineStr">
        <is>
          <t>Chronological evaluation for learner models: train on earlier attempts, test on later ones; include held-out players to test cold start.</t>
        </is>
      </c>
    </row>
    <row r="894" ht="16.6" customHeight="1">
      <c r="A894" s="58" t="inlineStr">
        <is>
          <t>In ChessLab</t>
        </is>
      </c>
      <c r="B894" s="59" t="inlineStr">
        <is>
          <t>Pools (eval/assessment/practice) are assigned by hash and eval puzzles are never served; run_eval.py records thresholds and version.</t>
        </is>
      </c>
    </row>
    <row r="895" ht="16.6" customHeight="1">
      <c r="A895" s="5" t="inlineStr">
        <is>
          <t>Common mistake</t>
        </is>
      </c>
      <c r="B895" s="9" t="inlineStr">
        <is>
          <t>Re-running the test after every tweak until the number looks good.</t>
        </is>
      </c>
    </row>
    <row r="896" ht="16.6" customHeight="1">
      <c r="A896" s="5" t="inlineStr">
        <is>
          <t>Common mistake</t>
        </is>
      </c>
      <c r="B896" s="9" t="inlineStr">
        <is>
          <t>Random row-level splits of time-ordered attempts.</t>
        </is>
      </c>
    </row>
    <row r="897" ht="16.6" customHeight="1">
      <c r="A897" s="7" t="inlineStr">
        <is>
          <t>Check yourself</t>
        </is>
      </c>
      <c r="B897" s="8" t="inlineStr">
        <is>
          <t>Give two examples of leakage that ChessLab's design prevents.</t>
        </is>
      </c>
    </row>
    <row r="898" ht="16.6" customHeight="1">
      <c r="A898" s="5" t="inlineStr">
        <is>
          <t>Resource</t>
        </is>
      </c>
      <c r="B898" s="6" t="inlineStr">
        <is>
          <t>Wikipedia: Leakage (machine learning)  —  https://en.wikipedia.org/wiki/Leakage_(machine_learning)</t>
        </is>
      </c>
    </row>
    <row r="899" ht="16.6" customHeight="1">
      <c r="A899" s="5" t="inlineStr">
        <is>
          <t>Resource</t>
        </is>
      </c>
      <c r="B899" s="6" t="inlineStr">
        <is>
          <t>scikit-learn: Common pitfalls (data leakage)  —  https://scikit-learn.org/stable/common_pitfalls.html</t>
        </is>
      </c>
    </row>
    <row r="901" ht="22" customHeight="1">
      <c r="A901" s="54" t="inlineStr">
        <is>
          <t>L46</t>
        </is>
      </c>
      <c r="B901" s="54" t="inlineStr">
        <is>
          <t>Probabilistic predictions: calibration, Brier score and log loss   ·   Intermediate   ·   about 40 min   ·   used in P11, P12, S6</t>
        </is>
      </c>
    </row>
    <row r="902">
      <c r="B902" s="55" t="inlineStr">
        <is>
          <t>↑ back to Lessons index</t>
        </is>
      </c>
    </row>
    <row r="903" ht="16.6" customHeight="1">
      <c r="A903" s="56" t="inlineStr">
        <is>
          <t>Why it matters</t>
        </is>
      </c>
      <c r="B903" s="57" t="inlineStr">
        <is>
          <t>The selector relies on 'P(solve) = 70%'. If the model says 70% but players solve 40%, practice is too hard. Calibration measures this.</t>
        </is>
      </c>
    </row>
    <row r="904" ht="29.2" customHeight="1">
      <c r="A904" s="5" t="inlineStr">
        <is>
          <t>Concept 1</t>
        </is>
      </c>
      <c r="B904" s="9" t="inlineStr">
        <is>
          <t>Calibration: among all predictions near 0.7, about 70% should be solved. Group predictions into bins and compare mean predicted vs observed rate (a reliability table/plot).</t>
        </is>
      </c>
    </row>
    <row r="905" ht="16.6" customHeight="1">
      <c r="A905" s="5" t="inlineStr">
        <is>
          <t>Concept 2</t>
        </is>
      </c>
      <c r="B905" s="9" t="inlineStr">
        <is>
          <t>Brier score = mean of (p - y)^2. 0 is perfect; always predicting 0.5 scores 0.25. Lower is better.</t>
        </is>
      </c>
    </row>
    <row r="906" ht="16.6" customHeight="1">
      <c r="A906" s="5" t="inlineStr">
        <is>
          <t>Concept 3</t>
        </is>
      </c>
      <c r="B906" s="9" t="inlineStr">
        <is>
          <t>Log loss = -mean(y*log p + (1-y)*log(1-p)). Punishes confident wrong predictions heavily.</t>
        </is>
      </c>
    </row>
    <row r="907" ht="16.6" customHeight="1">
      <c r="A907" s="5" t="inlineStr">
        <is>
          <t>Concept 4</t>
        </is>
      </c>
      <c r="B907" s="9" t="inlineStr">
        <is>
          <t>Compare against baselines: a constant base rate, and Elo. A more complex model must beat both on held-out data to be adopted.</t>
        </is>
      </c>
    </row>
    <row r="908" ht="16.6" customHeight="1">
      <c r="A908" s="5" t="inlineStr">
        <is>
          <t>Concept 5</t>
        </is>
      </c>
      <c r="B908" s="9" t="inlineStr">
        <is>
          <t>You can only evaluate calibration if you SAVED predictions before attempts (predicted_p).</t>
        </is>
      </c>
    </row>
    <row r="909" ht="16.6" customHeight="1">
      <c r="A909" s="58" t="inlineStr">
        <is>
          <t>In ChessLab</t>
        </is>
      </c>
      <c r="B909" s="59" t="inlineStr">
        <is>
          <t>metrics.brier_score, log_loss, calibration_bins; compare_models.py prints all three for constant, Elo and logistic regression.</t>
        </is>
      </c>
    </row>
    <row r="910" ht="16.6" customHeight="1">
      <c r="A910" s="5" t="inlineStr">
        <is>
          <t>Common mistake</t>
        </is>
      </c>
      <c r="B910" s="9" t="inlineStr">
        <is>
          <t>Judging a probabilistic model only by accuracy at a 0.5 threshold.</t>
        </is>
      </c>
    </row>
    <row r="911" ht="16.6" customHeight="1">
      <c r="A911" s="5" t="inlineStr">
        <is>
          <t>Common mistake</t>
        </is>
      </c>
      <c r="B911" s="9" t="inlineStr">
        <is>
          <t>Evaluating on the same data used to fit.</t>
        </is>
      </c>
    </row>
    <row r="912" ht="16.6" customHeight="1">
      <c r="A912" s="7" t="inlineStr">
        <is>
          <t>Check yourself</t>
        </is>
      </c>
      <c r="B912" s="8" t="inlineStr">
        <is>
          <t>What Brier score does a model get that always predicts 0.5?</t>
        </is>
      </c>
    </row>
    <row r="913" ht="16.6" customHeight="1">
      <c r="A913" s="5" t="inlineStr">
        <is>
          <t>Resource</t>
        </is>
      </c>
      <c r="B913" s="6" t="inlineStr">
        <is>
          <t>scikit-learn: Probability calibration  —  https://scikit-learn.org/stable/modules/calibration.html</t>
        </is>
      </c>
    </row>
    <row r="914" ht="16.6" customHeight="1">
      <c r="A914" s="5" t="inlineStr">
        <is>
          <t>Resource</t>
        </is>
      </c>
      <c r="B914" s="6" t="inlineStr">
        <is>
          <t>Wikipedia: Brier score  —  https://en.wikipedia.org/wiki/Brier_score</t>
        </is>
      </c>
    </row>
    <row r="916" ht="22" customHeight="1">
      <c r="A916" s="54" t="inlineStr">
        <is>
          <t>L47</t>
        </is>
      </c>
      <c r="B916" s="54" t="inlineStr">
        <is>
          <t>Measuring learning honestly: pilots, confounders and causality   ·   Intermediate   ·   about 30 min   ·   used in S5, P14</t>
        </is>
      </c>
    </row>
    <row r="917">
      <c r="B917" s="55" t="inlineStr">
        <is>
          <t>↑ back to Lessons index</t>
        </is>
      </c>
    </row>
    <row r="918" ht="16.6" customHeight="1">
      <c r="A918" s="56" t="inlineStr">
        <is>
          <t>Why it matters</t>
        </is>
      </c>
      <c r="B918" s="57" t="inlineStr">
        <is>
          <t>'Players improved after using ChessLab' is a causal claim. Without care it is almost always unsupported.</t>
        </is>
      </c>
    </row>
    <row r="919" ht="29.2" customHeight="1">
      <c r="A919" s="5" t="inlineStr">
        <is>
          <t>Concept 1</t>
        </is>
      </c>
      <c r="B919" s="9" t="inlineStr">
        <is>
          <t>Confounders: players who volunteer are motivated; anyone practising anything improves; easier post-tests fake improvement; re-testing the same puzzles measures memory.</t>
        </is>
      </c>
    </row>
    <row r="920" ht="29.2" customHeight="1">
      <c r="A920" s="5" t="inlineStr">
        <is>
          <t>Concept 2</t>
        </is>
      </c>
      <c r="B920" s="9" t="inlineStr">
        <is>
          <t>Better design for a small pilot: blind pre-test and post-test with unseen, difficulty-matched puzzles (themes hidden), plus a delayed retest if possible. Record attrition, hints, exposure.</t>
        </is>
      </c>
    </row>
    <row r="921" ht="16.6" customHeight="1">
      <c r="A921" s="5" t="inlineStr">
        <is>
          <t>Concept 3</t>
        </is>
      </c>
      <c r="B921" s="9" t="inlineStr">
        <is>
          <t>With 10-20 players, report descriptive results and individual trajectories, not p-values or causal claims.</t>
        </is>
      </c>
    </row>
    <row r="922" ht="16.6" customHeight="1">
      <c r="A922" s="5" t="inlineStr">
        <is>
          <t>Concept 4</t>
        </is>
      </c>
      <c r="B922" s="9" t="inlineStr">
        <is>
          <t>Consent: explain what is collected, why, for how long, and how to delete it.</t>
        </is>
      </c>
    </row>
    <row r="923" ht="16.6" customHeight="1">
      <c r="A923" s="5" t="inlineStr">
        <is>
          <t>Concept 5</t>
        </is>
      </c>
      <c r="B923" s="9" t="inlineStr">
        <is>
          <t>Negative or null results are still results: explain what you learned and what you'd change.</t>
        </is>
      </c>
    </row>
    <row r="924" ht="16.6" customHeight="1">
      <c r="A924" s="58" t="inlineStr">
        <is>
          <t>In ChessLab</t>
        </is>
      </c>
      <c r="B924" s="59" t="inlineStr">
        <is>
          <t>Stretch phase S5. The Progress page already separates labelled practice, blind assessment and real-game miss rates.</t>
        </is>
      </c>
    </row>
    <row r="925" ht="16.6" customHeight="1">
      <c r="A925" s="5" t="inlineStr">
        <is>
          <t>Common mistake</t>
        </is>
      </c>
      <c r="B925" s="9" t="inlineStr">
        <is>
          <t>Announcing '30% improvement' from 6 players with no control.</t>
        </is>
      </c>
    </row>
    <row r="926" ht="16.6" customHeight="1">
      <c r="A926" s="5" t="inlineStr">
        <is>
          <t>Common mistake</t>
        </is>
      </c>
      <c r="B926" s="9" t="inlineStr">
        <is>
          <t>Using practice puzzles as the post-test.</t>
        </is>
      </c>
    </row>
    <row r="927" ht="16.6" customHeight="1">
      <c r="A927" s="7" t="inlineStr">
        <is>
          <t>Check yourself</t>
        </is>
      </c>
      <c r="B927" s="8" t="inlineStr">
        <is>
          <t>Name three reasons a before/after improvement might not be caused by ChessLab.</t>
        </is>
      </c>
    </row>
    <row r="928" ht="16.6" customHeight="1">
      <c r="A928" s="5" t="inlineStr">
        <is>
          <t>Resource</t>
        </is>
      </c>
      <c r="B928" s="6" t="inlineStr">
        <is>
          <t>Wikipedia: Confounding  —  https://en.wikipedia.org/wiki/Confounding</t>
        </is>
      </c>
    </row>
    <row r="929" ht="16.6" customHeight="1">
      <c r="A929" s="5" t="inlineStr">
        <is>
          <t>Resource</t>
        </is>
      </c>
      <c r="B929" s="6" t="inlineStr">
        <is>
          <t>What Works Clearinghouse: Standards handbook (education evidence)  —  https://ies.ed.gov/ncee/wwc/Handbooks</t>
        </is>
      </c>
    </row>
    <row r="931" ht="22" customHeight="1">
      <c r="A931" s="54" t="inlineStr">
        <is>
          <t>L48</t>
        </is>
      </c>
      <c r="B931" s="54" t="inlineStr">
        <is>
          <t>Deploying to a PaaS: Vercel for the frontend, Render for API, worker and Postgres   ·   Intermediate   ·   about 75 min   ·   used in P5, P14</t>
        </is>
      </c>
    </row>
    <row r="932">
      <c r="B932" s="55" t="inlineStr">
        <is>
          <t>↑ back to Lessons index</t>
        </is>
      </c>
    </row>
    <row r="933" ht="29.2" customHeight="1">
      <c r="A933" s="56" t="inlineStr">
        <is>
          <t>Why it matters</t>
        </is>
      </c>
      <c r="B933" s="57" t="inlineStr">
        <is>
          <t>A live link is the portfolio. Platform-as-a-Service hosts run your code from Git without you managing servers, but you must understand their model to avoid surprises.</t>
        </is>
      </c>
    </row>
    <row r="934" ht="29.2" customHeight="1">
      <c r="A934" s="5" t="inlineStr">
        <is>
          <t>Concept 1</t>
        </is>
      </c>
      <c r="B934" s="9" t="inlineStr">
        <is>
          <t>Static hosting (Vercel): builds apps/web with 'npm run build' and serves dist/ from a global CDN with HTTPS. Every push to main redeploys; pull requests get preview URLs.</t>
        </is>
      </c>
    </row>
    <row r="935" ht="29.2" customHeight="1">
      <c r="A935" s="5" t="inlineStr">
        <is>
          <t>Concept 2</t>
        </is>
      </c>
      <c r="B935" s="9" t="inlineStr">
        <is>
          <t>Long-running services (Render): a Web Service (the API) gets a public HTTPS URL and a PORT env var; a Background Worker has no URL and just runs 'python -m app.worker'; a managed Postgres has internal and external connection strings.</t>
        </is>
      </c>
    </row>
    <row r="936" ht="29.2" customHeight="1">
      <c r="A936" s="5" t="inlineStr">
        <is>
          <t>Concept 3</t>
        </is>
      </c>
      <c r="B936" s="9" t="inlineStr">
        <is>
          <t>Free plans sleep: Render's free web services spin down after inactivity (the first visit then waits ~a minute), and free databases expire. For a reliable recruiter demo use small paid always-on plans. Check current prices; set a monthly budget ceiling.</t>
        </is>
      </c>
    </row>
    <row r="937" ht="16.6" customHeight="1">
      <c r="A937" s="5" t="inlineStr">
        <is>
          <t>Concept 4</t>
        </is>
      </c>
      <c r="B937" s="9" t="inlineStr">
        <is>
          <t>Serverless functions are request-bound with short time limits: wrong for a Stockfish worker. Use a real background worker.</t>
        </is>
      </c>
    </row>
    <row r="938" ht="16.6" customHeight="1">
      <c r="A938" s="5" t="inlineStr">
        <is>
          <t>Concept 5</t>
        </is>
      </c>
      <c r="B938" s="9" t="inlineStr">
        <is>
          <t>Regions: put the API, worker and database in the same region (low latency, free internal network traffic).</t>
        </is>
      </c>
    </row>
    <row r="939" ht="16.6" customHeight="1">
      <c r="A939" s="5" t="inlineStr">
        <is>
          <t>Concept 6</t>
        </is>
      </c>
      <c r="B939" s="9" t="inlineStr">
        <is>
          <t>Internal connection strings (private network) for API/worker -&gt; database. Never expose the database publicly without need.</t>
        </is>
      </c>
    </row>
    <row r="940" ht="16.6" customHeight="1">
      <c r="A940" s="5" t="inlineStr">
        <is>
          <t>Concept 7</t>
        </is>
      </c>
      <c r="B940" s="9" t="inlineStr">
        <is>
          <t>Ephemeral filesystems: anything written to the container disk disappears on redeploy. Durable state belongs in Postgres.</t>
        </is>
      </c>
    </row>
    <row r="941" ht="16.6" customHeight="1">
      <c r="A941" s="5" t="inlineStr">
        <is>
          <t>Concept 8</t>
        </is>
      </c>
      <c r="B941" s="9" t="inlineStr">
        <is>
          <t>Pre-deploy command: run 'alembic upgrade head' once per deploy before new code starts.</t>
        </is>
      </c>
    </row>
    <row r="942" ht="16.6" customHeight="1">
      <c r="A942" s="5" t="inlineStr">
        <is>
          <t>Concept 9</t>
        </is>
      </c>
      <c r="B942" s="9" t="inlineStr">
        <is>
          <t>Infrastructure as code: render.yaml (a Blueprint) records your services so you can recreate them.</t>
        </is>
      </c>
    </row>
    <row r="943" ht="29.2" customHeight="1">
      <c r="A943" s="58" t="inlineStr">
        <is>
          <t>In ChessLab</t>
        </is>
      </c>
      <c r="B943" s="59" t="inlineStr">
        <is>
          <t>Phase 5 deploys a thin slice (sessions + health + playable frontend) BEFORE building features, to surface CORS, env and build problems early. The Config &amp; Env sheet lists every dashboard setting.</t>
        </is>
      </c>
    </row>
    <row r="944" ht="16.6" customHeight="1">
      <c r="A944" s="5" t="inlineStr">
        <is>
          <t>Common mistake</t>
        </is>
      </c>
      <c r="B944" s="9" t="inlineStr">
        <is>
          <t>Deploying only at the very end (all the integration problems arrive at once).</t>
        </is>
      </c>
    </row>
    <row r="945" ht="16.6" customHeight="1">
      <c r="A945" s="5" t="inlineStr">
        <is>
          <t>Common mistake</t>
        </is>
      </c>
      <c r="B945" s="9" t="inlineStr">
        <is>
          <t>Using the free tier and having recruiters wait 60 s for a cold start.</t>
        </is>
      </c>
    </row>
    <row r="946" ht="16.6" customHeight="1">
      <c r="A946" s="5" t="inlineStr">
        <is>
          <t>Common mistake</t>
        </is>
      </c>
      <c r="B946" s="9" t="inlineStr">
        <is>
          <t>Saving uploaded files to local disk on Render.</t>
        </is>
      </c>
    </row>
    <row r="947" ht="16.6" customHeight="1">
      <c r="A947" s="7" t="inlineStr">
        <is>
          <t>Check yourself</t>
        </is>
      </c>
      <c r="B947" s="8" t="inlineStr">
        <is>
          <t>Why can't the worker be a serverless function?</t>
        </is>
      </c>
    </row>
    <row r="948" ht="16.6" customHeight="1">
      <c r="A948" s="7" t="inlineStr">
        <is>
          <t>Check yourself</t>
        </is>
      </c>
      <c r="B948" s="8" t="inlineStr">
        <is>
          <t>Where does the API get its PORT value?</t>
        </is>
      </c>
    </row>
    <row r="949" ht="16.6" customHeight="1">
      <c r="A949" s="7" t="inlineStr">
        <is>
          <t>Check yourself</t>
        </is>
      </c>
      <c r="B949" s="8" t="inlineStr">
        <is>
          <t>What must be updated in the API after the first Vercel deploy?</t>
        </is>
      </c>
    </row>
    <row r="950" ht="16.6" customHeight="1">
      <c r="A950" s="5" t="inlineStr">
        <is>
          <t>Resource</t>
        </is>
      </c>
      <c r="B950" s="6" t="inlineStr">
        <is>
          <t>Render docs  —  https://render.com/docs</t>
        </is>
      </c>
    </row>
    <row r="951" ht="16.6" customHeight="1">
      <c r="A951" s="5" t="inlineStr">
        <is>
          <t>Resource</t>
        </is>
      </c>
      <c r="B951" s="6" t="inlineStr">
        <is>
          <t>Render: Web services  —  https://render.com/docs/web-services</t>
        </is>
      </c>
    </row>
    <row r="952" ht="16.6" customHeight="1">
      <c r="A952" s="5" t="inlineStr">
        <is>
          <t>Resource</t>
        </is>
      </c>
      <c r="B952" s="6" t="inlineStr">
        <is>
          <t>Render: Free instance limitations  —  https://render.com/docs/free</t>
        </is>
      </c>
    </row>
    <row r="953" ht="16.6" customHeight="1">
      <c r="A953" s="5" t="inlineStr">
        <is>
          <t>Resource</t>
        </is>
      </c>
      <c r="B953" s="6" t="inlineStr">
        <is>
          <t>Render: Blueprint YAML reference  —  https://render.com/docs/blueprint-spec</t>
        </is>
      </c>
    </row>
    <row r="954" ht="16.6" customHeight="1">
      <c r="A954" s="5" t="inlineStr">
        <is>
          <t>Resource</t>
        </is>
      </c>
      <c r="B954" s="6" t="inlineStr">
        <is>
          <t>Render: Deploy steps and pre-deploy command  —  https://render.com/docs/deploys</t>
        </is>
      </c>
    </row>
    <row r="955" ht="16.6" customHeight="1">
      <c r="A955" s="5" t="inlineStr">
        <is>
          <t>Resource</t>
        </is>
      </c>
      <c r="B955" s="6" t="inlineStr">
        <is>
          <t>Vercel: Vite on Vercel  —  https://vercel.com/docs/frameworks/frontend/vite</t>
        </is>
      </c>
    </row>
    <row r="956" ht="16.6" customHeight="1">
      <c r="A956" s="5" t="inlineStr">
        <is>
          <t>Resource</t>
        </is>
      </c>
      <c r="B956" s="6" t="inlineStr">
        <is>
          <t>Vercel: Rewrites  —  https://vercel.com/docs/rewrites</t>
        </is>
      </c>
    </row>
    <row r="958" ht="22" customHeight="1">
      <c r="A958" s="54" t="inlineStr">
        <is>
          <t>L49</t>
        </is>
      </c>
      <c r="B958" s="54" t="inlineStr">
        <is>
          <t>CI/CD with GitHub Actions; safe releases and rollbacks   ·   Intermediate   ·   about 60 min   ·   used in P5, P14</t>
        </is>
      </c>
    </row>
    <row r="959">
      <c r="B959" s="55" t="inlineStr">
        <is>
          <t>↑ back to Lessons index</t>
        </is>
      </c>
    </row>
    <row r="960" ht="29.2" customHeight="1">
      <c r="A960" s="56" t="inlineStr">
        <is>
          <t>Why it matters</t>
        </is>
      </c>
      <c r="B960" s="57" t="inlineStr">
        <is>
          <t>Continuous Integration runs your checks on every change, so main is always deployable. It is also visible proof of engineering discipline.</t>
        </is>
      </c>
    </row>
    <row r="961" ht="29.2" customHeight="1">
      <c r="A961" s="5" t="inlineStr">
        <is>
          <t>Concept 1</t>
        </is>
      </c>
      <c r="B961" s="9" t="inlineStr">
        <is>
          <t>A workflow (.github/workflows/ci.yml) runs jobs on GitHub's machines for each push and pull request: install from lockfiles, lint, type-check, run tests, build.</t>
        </is>
      </c>
    </row>
    <row r="962" ht="16.6" customHeight="1">
      <c r="A962" s="5" t="inlineStr">
        <is>
          <t>Concept 2</t>
        </is>
      </c>
      <c r="B962" s="9" t="inlineStr">
        <is>
          <t>Service containers: the backend job starts postgres:16 so integration tests run against real Postgres in CI too.</t>
        </is>
      </c>
    </row>
    <row r="963" ht="29.2" customHeight="1">
      <c r="A963" s="5" t="inlineStr">
        <is>
          <t>Concept 3</t>
        </is>
      </c>
      <c r="B963" s="9" t="inlineStr">
        <is>
          <t>Bigger teams make GitHub block merges until CI passes. For the two of you the rule is simpler: if CI goes red, fixing it comes first. Render and Vercel deploy main.</t>
        </is>
      </c>
    </row>
    <row r="964" ht="16.6" customHeight="1">
      <c r="A964" s="5" t="inlineStr">
        <is>
          <t>Concept 4</t>
        </is>
      </c>
      <c r="B964" s="9" t="inlineStr">
        <is>
          <t>Migrations in CI: 'alembic upgrade head' on an empty database plus 'alembic check' prove the migration history is complete.</t>
        </is>
      </c>
    </row>
    <row r="965" ht="16.6" customHeight="1">
      <c r="A965" s="5" t="inlineStr">
        <is>
          <t>Concept 5</t>
        </is>
      </c>
      <c r="B965" s="9" t="inlineStr">
        <is>
          <t>Build the Docker image in CI so a broken Dockerfile is caught before Render tries it.</t>
        </is>
      </c>
    </row>
    <row r="966" ht="29.2" customHeight="1">
      <c r="A966" s="5" t="inlineStr">
        <is>
          <t>Concept 6</t>
        </is>
      </c>
      <c r="B966" s="9" t="inlineStr">
        <is>
          <t>Rollback: Render and Vercel let you redeploy a previous build in one click. That only works if the database schema is still compatible with the old code: use expand/migrate/contract (lesson L17).</t>
        </is>
      </c>
    </row>
    <row r="967" ht="29.2" customHeight="1">
      <c r="A967" s="5" t="inlineStr">
        <is>
          <t>Concept 7</t>
        </is>
      </c>
      <c r="B967" s="9" t="inlineStr">
        <is>
          <t>Smoke test after deploy: open the live URL, create a session, play a move, check /health/ready. Record the deployed git revision, engine version, pipeline and dataset versions.</t>
        </is>
      </c>
    </row>
    <row r="968" ht="29.2" customHeight="1">
      <c r="A968" s="58" t="inlineStr">
        <is>
          <t>In ChessLab</t>
        </is>
      </c>
      <c r="B968" s="59" t="inlineStr">
        <is>
          <t>.github/workflows/ci.yml has a backend job (Postgres service, ruff, alembic upgrade + check, pytest, docker build) and a frontend job (npm ci, lint, tsc, vitest, build, Playwright).</t>
        </is>
      </c>
    </row>
    <row r="969" ht="16.6" customHeight="1">
      <c r="A969" s="5" t="inlineStr">
        <is>
          <t>Common mistake</t>
        </is>
      </c>
      <c r="B969" s="9" t="inlineStr">
        <is>
          <t>Running tests that need secrets or live third-party APIs in CI.</t>
        </is>
      </c>
    </row>
    <row r="970" ht="16.6" customHeight="1">
      <c r="A970" s="5" t="inlineStr">
        <is>
          <t>Common mistake</t>
        </is>
      </c>
      <c r="B970" s="9" t="inlineStr">
        <is>
          <t>Merging with red CI 'just this once'.</t>
        </is>
      </c>
    </row>
    <row r="971" ht="16.6" customHeight="1">
      <c r="A971" s="7" t="inlineStr">
        <is>
          <t>Check yourself</t>
        </is>
      </c>
      <c r="B971" s="8" t="inlineStr">
        <is>
          <t>What does 'alembic check' protect against?</t>
        </is>
      </c>
    </row>
    <row r="972" ht="16.6" customHeight="1">
      <c r="A972" s="7" t="inlineStr">
        <is>
          <t>Check yourself</t>
        </is>
      </c>
      <c r="B972" s="8" t="inlineStr">
        <is>
          <t>Why must a rollback consider the database schema?</t>
        </is>
      </c>
    </row>
    <row r="973" ht="16.6" customHeight="1">
      <c r="A973" s="5" t="inlineStr">
        <is>
          <t>Resource</t>
        </is>
      </c>
      <c r="B973" s="6" t="inlineStr">
        <is>
          <t>GitHub Actions documentation  —  https://docs.github.com/en/actions</t>
        </is>
      </c>
    </row>
    <row r="974" ht="29.2" customHeight="1">
      <c r="A974" s="5" t="inlineStr">
        <is>
          <t>Resource</t>
        </is>
      </c>
      <c r="B974" s="6" t="inlineStr">
        <is>
          <t>GitHub Actions: Creating PostgreSQL service containers  —  https://docs.github.com/en/actions/use-cases-and-examples/using-containerized-services/creating-postgresql-service-containers</t>
        </is>
      </c>
    </row>
    <row r="975" ht="16.6" customHeight="1">
      <c r="A975" s="5" t="inlineStr">
        <is>
          <t>Resource</t>
        </is>
      </c>
      <c r="B975" s="6" t="inlineStr">
        <is>
          <t>astral-sh/setup-uv  —  https://github.com/astral-sh/setup-uv</t>
        </is>
      </c>
    </row>
    <row r="976" ht="29.2" customHeight="1">
      <c r="A976" s="5" t="inlineStr">
        <is>
          <t>Resource</t>
        </is>
      </c>
      <c r="B976" s="6" t="inlineStr">
        <is>
          <t>GitHub: About protected branches  —  https://docs.github.com/en/repositories/configuring-branches-and-merges-in-your-repository/managing-protected-branches/about-protected-branches</t>
        </is>
      </c>
    </row>
    <row r="978" ht="22" customHeight="1">
      <c r="A978" s="54" t="inlineStr">
        <is>
          <t>L50</t>
        </is>
      </c>
      <c r="B978" s="54" t="inlineStr">
        <is>
          <t>Security essentials for ChessLab (OWASP applied)   ·   Intermediate   ·   about 60 min   ·   used in P13</t>
        </is>
      </c>
    </row>
    <row r="979">
      <c r="B979" s="55" t="inlineStr">
        <is>
          <t>↑ back to Lessons index</t>
        </is>
      </c>
    </row>
    <row r="980" ht="16.6" customHeight="1">
      <c r="A980" s="56" t="inlineStr">
        <is>
          <t>Why it matters</t>
        </is>
      </c>
      <c r="B980" s="57" t="inlineStr">
        <is>
          <t>Public apps are scanned by bots within hours. A short, concrete security checklist prevents the common, embarrassing failures.</t>
        </is>
      </c>
    </row>
    <row r="981" ht="16.6" customHeight="1">
      <c r="A981" s="5" t="inlineStr">
        <is>
          <t>Concept 1</t>
        </is>
      </c>
      <c r="B981" s="9" t="inlineStr">
        <is>
          <t>Broken access control (IDOR): ownership checks on every private resource (lesson L20).</t>
        </is>
      </c>
    </row>
    <row r="982" ht="29.2" customHeight="1">
      <c r="A982" s="5" t="inlineStr">
        <is>
          <t>Concept 2</t>
        </is>
      </c>
      <c r="B982" s="9" t="inlineStr">
        <is>
          <t>Injection: bound SQL parameters only; subprocesses with argument lists (python-chess does this), never shell strings; no user-controlled engine paths or options.</t>
        </is>
      </c>
    </row>
    <row r="983" ht="16.6" customHeight="1">
      <c r="A983" s="5" t="inlineStr">
        <is>
          <t>Concept 3</t>
        </is>
      </c>
      <c r="B983" s="9" t="inlineStr">
        <is>
          <t>SSRF (server-side request forgery): only fetch fixed provider domains; validate usernames; never fetch URLs from uploaded PGN headers.</t>
        </is>
      </c>
    </row>
    <row r="984" ht="29.2" customHeight="1">
      <c r="A984" s="5" t="inlineStr">
        <is>
          <t>Concept 4</t>
        </is>
      </c>
      <c r="B984" s="9" t="inlineStr">
        <is>
          <t>XSS: React escapes text by default; never use dangerouslySetInnerHTML with user data; set a Content-Security-Policy (vercel.json) that allows only your own scripts and your API in connect-src. Stockfish WASM needs 'wasm-unsafe-eval' in script-src.</t>
        </is>
      </c>
    </row>
    <row r="985" ht="29.2" customHeight="1">
      <c r="A985" s="5" t="inlineStr">
        <is>
          <t>Concept 5</t>
        </is>
      </c>
      <c r="B985" s="9" t="inlineStr">
        <is>
          <t>Resource exhaustion (DoS): limits on upload size, games per import, plies per game, engine time/depth, active imports per visitor, sessions per IP per minute.</t>
        </is>
      </c>
    </row>
    <row r="986" ht="16.6" customHeight="1">
      <c r="A986" s="5" t="inlineStr">
        <is>
          <t>Concept 6</t>
        </is>
      </c>
      <c r="B986" s="9" t="inlineStr">
        <is>
          <t>Secrets: only on the server; never logged; rotated if exposed.</t>
        </is>
      </c>
    </row>
    <row r="987" ht="16.6" customHeight="1">
      <c r="A987" s="5" t="inlineStr">
        <is>
          <t>Concept 7</t>
        </is>
      </c>
      <c r="B987" s="9" t="inlineStr">
        <is>
          <t>Dependencies: keep lockfiles, update deliberately, enable GitHub Dependabot alerts.</t>
        </is>
      </c>
    </row>
    <row r="988" ht="16.6" customHeight="1">
      <c r="A988" s="5" t="inlineStr">
        <is>
          <t>Concept 8</t>
        </is>
      </c>
      <c r="B988" s="9" t="inlineStr">
        <is>
          <t>Least privilege: containers run as non-root; the database is reachable only from your services.</t>
        </is>
      </c>
    </row>
    <row r="989" ht="29.2" customHeight="1">
      <c r="A989" s="58" t="inlineStr">
        <is>
          <t>In ChessLab</t>
        </is>
      </c>
      <c r="B989" s="59" t="inlineStr">
        <is>
          <t>Phase 13 walks through each item with a concrete test (e.g. a second guest gets 404; an upload over 2 MB gets 413; a bad username gets 422).</t>
        </is>
      </c>
    </row>
    <row r="990" ht="16.6" customHeight="1">
      <c r="A990" s="5" t="inlineStr">
        <is>
          <t>Common mistake</t>
        </is>
      </c>
      <c r="B990" s="9" t="inlineStr">
        <is>
          <t>Allowing CORS '*' and thinking that is the security model.</t>
        </is>
      </c>
    </row>
    <row r="991" ht="16.6" customHeight="1">
      <c r="A991" s="5" t="inlineStr">
        <is>
          <t>Common mistake</t>
        </is>
      </c>
      <c r="B991" s="9" t="inlineStr">
        <is>
          <t>Letting the client choose Stockfish depth or threads.</t>
        </is>
      </c>
    </row>
    <row r="992" ht="16.6" customHeight="1">
      <c r="A992" s="7" t="inlineStr">
        <is>
          <t>Check yourself</t>
        </is>
      </c>
      <c r="B992" s="8" t="inlineStr">
        <is>
          <t>Which ChessLab inputs are bounded, and by how much?</t>
        </is>
      </c>
    </row>
    <row r="993" ht="16.6" customHeight="1">
      <c r="A993" s="7" t="inlineStr">
        <is>
          <t>Check yourself</t>
        </is>
      </c>
      <c r="B993" s="8" t="inlineStr">
        <is>
          <t>What would an SSRF bug look like in the importer?</t>
        </is>
      </c>
    </row>
    <row r="994" ht="16.6" customHeight="1">
      <c r="A994" s="5" t="inlineStr">
        <is>
          <t>Resource</t>
        </is>
      </c>
      <c r="B994" s="6" t="inlineStr">
        <is>
          <t>OWASP Top 10  —  https://owasp.org/www-project-top-ten/</t>
        </is>
      </c>
    </row>
    <row r="995" ht="16.6" customHeight="1">
      <c r="A995" s="5" t="inlineStr">
        <is>
          <t>Resource</t>
        </is>
      </c>
      <c r="B995" s="6" t="inlineStr">
        <is>
          <t>OWASP API Security Top 10 (2023)  —  https://owasp.org/API-Security/editions/2023/en/0x11-t10/</t>
        </is>
      </c>
    </row>
    <row r="996" ht="16.6" customHeight="1">
      <c r="A996" s="5" t="inlineStr">
        <is>
          <t>Resource</t>
        </is>
      </c>
      <c r="B996" s="6" t="inlineStr">
        <is>
          <t>MDN: Content Security Policy  —  https://developer.mozilla.org/en-US/docs/Web/HTTP/CSP</t>
        </is>
      </c>
    </row>
    <row r="997" ht="16.6" customHeight="1">
      <c r="A997" s="5" t="inlineStr">
        <is>
          <t>Resource</t>
        </is>
      </c>
      <c r="B997" s="6" t="inlineStr">
        <is>
          <t>GitHub: Dependabot alerts  —  https://docs.github.com/en/code-security/dependabot/dependabot-alerts/about-dependabot-alerts</t>
        </is>
      </c>
    </row>
    <row r="999" ht="22" customHeight="1">
      <c r="A999" s="54" t="inlineStr">
        <is>
          <t>L51</t>
        </is>
      </c>
      <c r="B999" s="54" t="inlineStr">
        <is>
          <t>Privacy and the data lifecycle: retention, deletion and consent   ·   Beginner   ·   about 30 min   ·   used in P13, S5</t>
        </is>
      </c>
    </row>
    <row r="1000">
      <c r="B1000" s="55" t="inlineStr">
        <is>
          <t>↑ back to Lessons index</t>
        </is>
      </c>
    </row>
    <row r="1001" ht="16.6" customHeight="1">
      <c r="A1001" s="56" t="inlineStr">
        <is>
          <t>Why it matters</t>
        </is>
      </c>
      <c r="B1001" s="57" t="inlineStr">
        <is>
          <t>Even guest data deserves care, and a clear privacy story impresses reviewers.</t>
        </is>
      </c>
    </row>
    <row r="1002" ht="16.6" customHeight="1">
      <c r="A1002" s="5" t="inlineStr">
        <is>
          <t>Concept 1</t>
        </is>
      </c>
      <c r="B1002" s="9" t="inlineStr">
        <is>
          <t>Data minimisation: collect what the product needs (games, attempts) and nothing else (no emails, no IP logs beyond rate limiting).</t>
        </is>
      </c>
    </row>
    <row r="1003" ht="16.6" customHeight="1">
      <c r="A1003" s="5" t="inlineStr">
        <is>
          <t>Concept 2</t>
        </is>
      </c>
      <c r="B1003" s="9" t="inlineStr">
        <is>
          <t>Retention: inactive guests expire after 30 days; a scheduled cleanup deletes expired visitors (cascade removes their data).</t>
        </is>
      </c>
    </row>
    <row r="1004" ht="16.6" customHeight="1">
      <c r="A1004" s="5" t="inlineStr">
        <is>
          <t>Concept 3</t>
        </is>
      </c>
      <c r="B1004" s="9" t="inlineStr">
        <is>
          <t>Deletion on request: DELETE /v1/me/data cancels their jobs and deletes everything; the token stops working (tested).</t>
        </is>
      </c>
    </row>
    <row r="1005" ht="16.6" customHeight="1">
      <c r="A1005" s="5" t="inlineStr">
        <is>
          <t>Concept 4</t>
        </is>
      </c>
      <c r="B1005" s="9" t="inlineStr">
        <is>
          <t>Public vs private: the demo is precomputed and clearly labelled as a sample; it never mixes with a visitor's history.</t>
        </is>
      </c>
    </row>
    <row r="1006" ht="16.6" customHeight="1">
      <c r="A1006" s="5" t="inlineStr">
        <is>
          <t>Concept 5</t>
        </is>
      </c>
      <c r="B1006" s="9" t="inlineStr">
        <is>
          <t>Imported public games are still personal data in many jurisdictions; explain what you store and why.</t>
        </is>
      </c>
    </row>
    <row r="1007" ht="16.6" customHeight="1">
      <c r="A1007" s="5" t="inlineStr">
        <is>
          <t>Concept 6</t>
        </is>
      </c>
      <c r="B1007" s="9" t="inlineStr">
        <is>
          <t>Pilot (stretch): informed consent text, what is collected, how long, how to withdraw.</t>
        </is>
      </c>
    </row>
    <row r="1008" ht="16.6" customHeight="1">
      <c r="A1008" s="58" t="inlineStr">
        <is>
          <t>In ChessLab</t>
        </is>
      </c>
      <c r="B1008" s="59" t="inlineStr">
        <is>
          <t>app/api/me.py; Phase 13 adds the cleanup command and the Methodology page's 'Your data' section.</t>
        </is>
      </c>
    </row>
    <row r="1009" ht="16.6" customHeight="1">
      <c r="A1009" s="5" t="inlineStr">
        <is>
          <t>Common mistake</t>
        </is>
      </c>
      <c r="B1009" s="9" t="inlineStr">
        <is>
          <t>Keeping guest data forever 'just in case'.</t>
        </is>
      </c>
    </row>
    <row r="1010" ht="16.6" customHeight="1">
      <c r="A1010" s="5" t="inlineStr">
        <is>
          <t>Common mistake</t>
        </is>
      </c>
      <c r="B1010" s="9" t="inlineStr">
        <is>
          <t>Logging full request bodies (contain PGNs and usernames).</t>
        </is>
      </c>
    </row>
    <row r="1011" ht="16.6" customHeight="1">
      <c r="A1011" s="7" t="inlineStr">
        <is>
          <t>Check yourself</t>
        </is>
      </c>
      <c r="B1011" s="8" t="inlineStr">
        <is>
          <t>What happens to a visitor's jobs when they delete their data?</t>
        </is>
      </c>
    </row>
    <row r="1012" ht="29.2" customHeight="1">
      <c r="A1012" s="5" t="inlineStr">
        <is>
          <t>Resource</t>
        </is>
      </c>
      <c r="B1012" s="6" t="inlineStr">
        <is>
          <t>ICO (UK): Data minimisation principle  —  https://ico.org.uk/for-organisations/uk-gdpr-guidance-and-resources/data-protection-principles/a-guide-to-the-data-protection-principles/data-minimisation/</t>
        </is>
      </c>
    </row>
    <row r="1013" ht="16.6" customHeight="1">
      <c r="A1013" s="5" t="inlineStr">
        <is>
          <t>Resource</t>
        </is>
      </c>
      <c r="B1013" s="6" t="inlineStr">
        <is>
          <t>OWASP Top 10 Privacy Risks  —  https://owasp.org/www-project-top-10-privacy-risks/</t>
        </is>
      </c>
    </row>
    <row r="1015" ht="22" customHeight="1">
      <c r="A1015" s="54" t="inlineStr">
        <is>
          <t>L52</t>
        </is>
      </c>
      <c r="B1015" s="54" t="inlineStr">
        <is>
          <t>Logging, metrics, health checks and observability   ·   Intermediate   ·   about 40 min   ·   used in P6, P13</t>
        </is>
      </c>
    </row>
    <row r="1016">
      <c r="B1016" s="55" t="inlineStr">
        <is>
          <t>↑ back to Lessons index</t>
        </is>
      </c>
    </row>
    <row r="1017" ht="16.6" customHeight="1">
      <c r="A1017" s="56" t="inlineStr">
        <is>
          <t>Why it matters</t>
        </is>
      </c>
      <c r="B1017" s="57" t="inlineStr">
        <is>
          <t>When something breaks in production you only have logs and metrics. Good ones turn hours of guessing into minutes.</t>
        </is>
      </c>
    </row>
    <row r="1018" ht="29.2" customHeight="1">
      <c r="A1018" s="5" t="inlineStr">
        <is>
          <t>Concept 1</t>
        </is>
      </c>
      <c r="B1018" s="9" t="inlineStr">
        <is>
          <t>Structured log lines with stable keys: 'job=12 kind=analyze_game attempt=1 outcome=succeeded duration_ms=190'. Easy to search and aggregate.</t>
        </is>
      </c>
    </row>
    <row r="1019" ht="16.6" customHeight="1">
      <c r="A1019" s="5" t="inlineStr">
        <is>
          <t>Concept 2</t>
        </is>
      </c>
      <c r="B1019" s="9" t="inlineStr">
        <is>
          <t>Log identifiers and outcomes, not secrets or personal data: never tokens, database URLs, full PGN uploads.</t>
        </is>
      </c>
    </row>
    <row r="1020" ht="29.2" customHeight="1">
      <c r="A1020" s="5" t="inlineStr">
        <is>
          <t>Concept 3</t>
        </is>
      </c>
      <c r="B1020" s="9" t="inlineStr">
        <is>
          <t>Liveness vs readiness: /health/live = the process is running (cheap); /health/ready = it can serve (database answers). Platforms restart unhealthy services and route traffic only to ready ones.</t>
        </is>
      </c>
    </row>
    <row r="1021" ht="29.2" customHeight="1">
      <c r="A1021" s="5" t="inlineStr">
        <is>
          <t>Concept 4</t>
        </is>
      </c>
      <c r="B1021" s="9" t="inlineStr">
        <is>
          <t>Key metrics for ChessLab: queue depth by status, queue wait time, job duration p50/p95, retries, failures by error code, engine restarts, stale leases, API error rate, DB connections.</t>
        </is>
      </c>
    </row>
    <row r="1022" ht="29.2" customHeight="1">
      <c r="A1022" s="5" t="inlineStr">
        <is>
          <t>Concept 5</t>
        </is>
      </c>
      <c r="B1022" s="9" t="inlineStr">
        <is>
          <t>Simple start: a small admin SQL query or script that reports queue stats; Render's log viewer and metrics. Later: an error tracker (Sentry) or OpenTelemetry.</t>
        </is>
      </c>
    </row>
    <row r="1023" ht="29.2" customHeight="1">
      <c r="A1023" s="58" t="inlineStr">
        <is>
          <t>In ChessLab</t>
        </is>
      </c>
      <c r="B1023" s="59" t="inlineStr">
        <is>
          <t>worker.py logs one line per job with duration; main.py has both health endpoints; Phase 13 adds an ops/queue_stats.sql query to OPERATIONS.md.</t>
        </is>
      </c>
    </row>
    <row r="1024" ht="16.6" customHeight="1">
      <c r="A1024" s="5" t="inlineStr">
        <is>
          <t>Common mistake</t>
        </is>
      </c>
      <c r="B1024" s="9" t="inlineStr">
        <is>
          <t>Readiness checks that run a Stockfish search on every probe.</t>
        </is>
      </c>
    </row>
    <row r="1025" ht="16.6" customHeight="1">
      <c r="A1025" s="5" t="inlineStr">
        <is>
          <t>Common mistake</t>
        </is>
      </c>
      <c r="B1025" s="9" t="inlineStr">
        <is>
          <t>print() debugging left in production code.</t>
        </is>
      </c>
    </row>
    <row r="1026" ht="16.6" customHeight="1">
      <c r="A1026" s="7" t="inlineStr">
        <is>
          <t>Check yourself</t>
        </is>
      </c>
      <c r="B1026" s="8" t="inlineStr">
        <is>
          <t>Which health endpoint should Render use, and why?</t>
        </is>
      </c>
    </row>
    <row r="1027" ht="16.6" customHeight="1">
      <c r="A1027" s="5" t="inlineStr">
        <is>
          <t>Resource</t>
        </is>
      </c>
      <c r="B1027" s="6" t="inlineStr">
        <is>
          <t>Google SRE book: Monitoring distributed systems  —  https://sre.google/sre-book/monitoring-distributed-systems/</t>
        </is>
      </c>
    </row>
    <row r="1028" ht="16.6" customHeight="1">
      <c r="A1028" s="5" t="inlineStr">
        <is>
          <t>Resource</t>
        </is>
      </c>
      <c r="B1028" s="6" t="inlineStr">
        <is>
          <t>Python logging HOWTO  —  https://docs.python.org/3/howto/logging.html</t>
        </is>
      </c>
    </row>
    <row r="1029" ht="16.6" customHeight="1">
      <c r="A1029" s="5" t="inlineStr">
        <is>
          <t>Resource</t>
        </is>
      </c>
      <c r="B1029" s="6" t="inlineStr">
        <is>
          <t>Render: Logs  —  https://render.com/docs/logging</t>
        </is>
      </c>
    </row>
    <row r="1031" ht="22" customHeight="1">
      <c r="A1031" s="54" t="inlineStr">
        <is>
          <t>L53</t>
        </is>
      </c>
      <c r="B1031" s="54" t="inlineStr">
        <is>
          <t>Performance and capacity: measuring p50/p95 and setting budgets   ·   Intermediate   ·   about 30 min   ·   used in P13</t>
        </is>
      </c>
    </row>
    <row r="1032">
      <c r="B1032" s="55" t="inlineStr">
        <is>
          <t>↑ back to Lessons index</t>
        </is>
      </c>
    </row>
    <row r="1033" ht="16.6" customHeight="1">
      <c r="A1033" s="56" t="inlineStr">
        <is>
          <t>Why it matters</t>
        </is>
      </c>
      <c r="B1033" s="57" t="inlineStr">
        <is>
          <t>'It feels fast' is not a number. Measured latency and capacity let you size your Render plan and make honest claims.</t>
        </is>
      </c>
    </row>
    <row r="1034" ht="16.6" customHeight="1">
      <c r="A1034" s="5" t="inlineStr">
        <is>
          <t>Concept 1</t>
        </is>
      </c>
      <c r="B1034" s="9" t="inlineStr">
        <is>
          <t>Percentiles: p50 (median) is the typical case; p95 is what 1 in 20 users experiences. Report p95, not the average.</t>
        </is>
      </c>
    </row>
    <row r="1035" ht="29.2" customHeight="1">
      <c r="A1035" s="5" t="inlineStr">
        <is>
          <t>Concept 2</t>
        </is>
      </c>
      <c r="B1035" s="9" t="inlineStr">
        <is>
          <t>Measure what matters: browser engine move time per strength, API latency per endpoint, analysis time per game, positions analysed per second, memory per worker (Stockfish hash + Python).</t>
        </is>
      </c>
    </row>
    <row r="1036" ht="29.2" customHeight="1">
      <c r="A1036" s="5" t="inlineStr">
        <is>
          <t>Concept 3</t>
        </is>
      </c>
      <c r="B1036" s="9" t="inlineStr">
        <is>
          <t>Capacity estimate: memory = API + worker + Stockfish (hash 32 MB + overhead) + DB connections + headroom. Throughput = games analysed per minute per worker.</t>
        </is>
      </c>
    </row>
    <row r="1037" ht="29.2" customHeight="1">
      <c r="A1037" s="5" t="inlineStr">
        <is>
          <t>Concept 4</t>
        </is>
      </c>
      <c r="B1037" s="9" t="inlineStr">
        <is>
          <t>Mixed-load test: one import of 100 games while another visitor saves games; check the interactive analysis still starts promptly (priority) and imports still progress (aging).</t>
        </is>
      </c>
    </row>
    <row r="1038" ht="16.6" customHeight="1">
      <c r="A1038" s="5" t="inlineStr">
        <is>
          <t>Concept 5</t>
        </is>
      </c>
      <c r="B1038" s="9" t="inlineStr">
        <is>
          <t>Budgets are resource controls, not accuracy guarantees: changing depth from 14 to 10 changes results; record the limits.</t>
        </is>
      </c>
    </row>
    <row r="1039" ht="29.2" customHeight="1">
      <c r="A1039" s="58" t="inlineStr">
        <is>
          <t>In ChessLab</t>
        </is>
      </c>
      <c r="B1039" s="59" t="inlineStr">
        <is>
          <t>Verification measured: about 0.12-2.3 s per imported Lichess game analysis, 3.7 s for a 14-ply opening with 14 engine calls. Measure again on your Render plan.</t>
        </is>
      </c>
    </row>
    <row r="1040" ht="16.6" customHeight="1">
      <c r="A1040" s="5" t="inlineStr">
        <is>
          <t>Common mistake</t>
        </is>
      </c>
      <c r="B1040" s="9" t="inlineStr">
        <is>
          <t>Claiming capacity numbers you never measured.</t>
        </is>
      </c>
    </row>
    <row r="1041" ht="16.6" customHeight="1">
      <c r="A1041" s="5" t="inlineStr">
        <is>
          <t>Common mistake</t>
        </is>
      </c>
      <c r="B1041" s="9" t="inlineStr">
        <is>
          <t>Measuring on your gaming PC and assuming Render's small instance is the same.</t>
        </is>
      </c>
    </row>
    <row r="1042" ht="16.6" customHeight="1">
      <c r="A1042" s="7" t="inlineStr">
        <is>
          <t>Check yourself</t>
        </is>
      </c>
      <c r="B1042" s="8" t="inlineStr">
        <is>
          <t>Why report p95 instead of the mean?</t>
        </is>
      </c>
    </row>
    <row r="1043" ht="16.6" customHeight="1">
      <c r="A1043" s="5" t="inlineStr">
        <is>
          <t>Resource</t>
        </is>
      </c>
      <c r="B1043" s="6" t="inlineStr">
        <is>
          <t>Google SRE book: Service level objectives  —  https://sre.google/sre-book/service-level-objectives/</t>
        </is>
      </c>
    </row>
    <row r="1044" ht="16.6" customHeight="1">
      <c r="A1044" s="5" t="inlineStr">
        <is>
          <t>Resource</t>
        </is>
      </c>
      <c r="B1044" s="6" t="inlineStr">
        <is>
          <t>k6 load testing docs  —  https://grafana.com/docs/k6/latest/</t>
        </is>
      </c>
    </row>
    <row r="1046" ht="22" customHeight="1">
      <c r="A1046" s="54" t="inlineStr">
        <is>
          <t>L54</t>
        </is>
      </c>
      <c r="B1046" s="54" t="inlineStr">
        <is>
          <t>Accessibility for an interactive chess app   ·   Beginner   ·   about 30 min   ·   used in P4, P14</t>
        </is>
      </c>
    </row>
    <row r="1047">
      <c r="B1047" s="55" t="inlineStr">
        <is>
          <t>↑ back to Lessons index</t>
        </is>
      </c>
    </row>
    <row r="1048" ht="16.6" customHeight="1">
      <c r="A1048" s="56" t="inlineStr">
        <is>
          <t>Why it matters</t>
        </is>
      </c>
      <c r="B1048" s="57" t="inlineStr">
        <is>
          <t>Accessible apps work for more people, are easier to test (Playwright's getByRole), and show professional quality.</t>
        </is>
      </c>
    </row>
    <row r="1049" ht="29.2" customHeight="1">
      <c r="A1049" s="5" t="inlineStr">
        <is>
          <t>Concept 1</t>
        </is>
      </c>
      <c r="B1049" s="9" t="inlineStr">
        <is>
          <t>Semantic HTML: buttons are &lt;button&gt;, headings are &lt;h1&gt;-&lt;h3&gt;, tables have &lt;th&gt;, forms have &lt;label&gt;. Screen readers and keyboard users depend on it.</t>
        </is>
      </c>
    </row>
    <row r="1050" ht="16.6" customHeight="1">
      <c r="A1050" s="5" t="inlineStr">
        <is>
          <t>Concept 2</t>
        </is>
      </c>
      <c r="B1050" s="9" t="inlineStr">
        <is>
          <t>Keyboard: everything clickable must be reachable with Tab and activated with Enter/Space; visible focus outlines (:focus-visible).</t>
        </is>
      </c>
    </row>
    <row r="1051" ht="16.6" customHeight="1">
      <c r="A1051" s="5" t="inlineStr">
        <is>
          <t>Concept 3</t>
        </is>
      </c>
      <c r="B1051" s="9" t="inlineStr">
        <is>
          <t>Live regions (aria-live='polite') announce status changes such as 'Engine is thinking...' or 'Checkmate'.</t>
        </is>
      </c>
    </row>
    <row r="1052" ht="16.6" customHeight="1">
      <c r="A1052" s="5" t="inlineStr">
        <is>
          <t>Concept 4</t>
        </is>
      </c>
      <c r="B1052" s="9" t="inlineStr">
        <is>
          <t>Dialogs: role='dialog', aria-modal, a label, initial focus (autoFocus on Queen in the promotion dialog), and a cancel action.</t>
        </is>
      </c>
    </row>
    <row r="1053" ht="16.6" customHeight="1">
      <c r="A1053" s="5" t="inlineStr">
        <is>
          <t>Concept 5</t>
        </is>
      </c>
      <c r="B1053" s="9" t="inlineStr">
        <is>
          <t>Touch: click-to-move (tap a piece, tap a square) is easier than dragging on phones.</t>
        </is>
      </c>
    </row>
    <row r="1054" ht="16.6" customHeight="1">
      <c r="A1054" s="5" t="inlineStr">
        <is>
          <t>Concept 6</t>
        </is>
      </c>
      <c r="B1054" s="9" t="inlineStr">
        <is>
          <t>Colour contrast: check with browser DevTools or WebAIM's contrast checker; don't rely on colour alone (we underline flagged moves too).</t>
        </is>
      </c>
    </row>
    <row r="1055" ht="16.6" customHeight="1">
      <c r="A1055" s="5" t="inlineStr">
        <is>
          <t>Concept 7</t>
        </is>
      </c>
      <c r="B1055" s="9" t="inlineStr">
        <is>
          <t>Check the board library's real behaviour with a keyboard and a screen reader rather than assuming.</t>
        </is>
      </c>
    </row>
    <row r="1056" ht="16.6" customHeight="1">
      <c r="A1056" s="58" t="inlineStr">
        <is>
          <t>In ChessLab</t>
        </is>
      </c>
      <c r="B1056" s="59" t="inlineStr">
        <is>
          <t>PromotionDialog, MoveList (aria-label, aria-current), status lines with aria-live, click-to-move on the Play page.</t>
        </is>
      </c>
    </row>
    <row r="1057" ht="16.6" customHeight="1">
      <c r="A1057" s="5" t="inlineStr">
        <is>
          <t>Common mistake</t>
        </is>
      </c>
      <c r="B1057" s="9" t="inlineStr">
        <is>
          <t>Clickable &lt;div&gt;s.</t>
        </is>
      </c>
    </row>
    <row r="1058" ht="16.6" customHeight="1">
      <c r="A1058" s="5" t="inlineStr">
        <is>
          <t>Common mistake</t>
        </is>
      </c>
      <c r="B1058" s="9" t="inlineStr">
        <is>
          <t>Removing focus outlines for looks.</t>
        </is>
      </c>
    </row>
    <row r="1059" ht="16.6" customHeight="1">
      <c r="A1059" s="7" t="inlineStr">
        <is>
          <t>Check yourself</t>
        </is>
      </c>
      <c r="B1059" s="8" t="inlineStr">
        <is>
          <t>How does a keyboard-only user promote a pawn in ChessLab?</t>
        </is>
      </c>
    </row>
    <row r="1060" ht="16.6" customHeight="1">
      <c r="A1060" s="5" t="inlineStr">
        <is>
          <t>Resource</t>
        </is>
      </c>
      <c r="B1060" s="6" t="inlineStr">
        <is>
          <t>W3C WAI: Introduction to Web Accessibility  —  https://www.w3.org/WAI/fundamentals/accessibility-intro/</t>
        </is>
      </c>
    </row>
    <row r="1061" ht="16.6" customHeight="1">
      <c r="A1061" s="5" t="inlineStr">
        <is>
          <t>Resource</t>
        </is>
      </c>
      <c r="B1061" s="6" t="inlineStr">
        <is>
          <t>WAI-ARIA Authoring Practices: Dialog (modal)  —  https://www.w3.org/WAI/ARIA/apg/patterns/dialog-modal/</t>
        </is>
      </c>
    </row>
    <row r="1062" ht="16.6" customHeight="1">
      <c r="A1062" s="5" t="inlineStr">
        <is>
          <t>Resource</t>
        </is>
      </c>
      <c r="B1062" s="6" t="inlineStr">
        <is>
          <t>WebAIM: Contrast checker  —  https://webaim.org/resources/contrastchecker/</t>
        </is>
      </c>
    </row>
    <row r="1064" ht="22" customHeight="1">
      <c r="A1064" s="54" t="inlineStr">
        <is>
          <t>L55</t>
        </is>
      </c>
      <c r="B1064" s="54" t="inlineStr">
        <is>
          <t>Open-source licences and attribution (GPL Stockfish, CC0 data, MIT libraries)   ·   Beginner   ·   about 30 min   ·   used in P1, P14</t>
        </is>
      </c>
    </row>
    <row r="1065">
      <c r="B1065" s="55" t="inlineStr">
        <is>
          <t>↑ back to Lessons index</t>
        </is>
      </c>
    </row>
    <row r="1066" ht="16.6" customHeight="1">
      <c r="A1066" s="56" t="inlineStr">
        <is>
          <t>Why it matters</t>
        </is>
      </c>
      <c r="B1066" s="57" t="inlineStr">
        <is>
          <t>Using others' work is normal; using it correctly (and saying so) is professional and legally necessary.</t>
        </is>
      </c>
    </row>
    <row r="1067" ht="29.2" customHeight="1">
      <c r="A1067" s="5" t="inlineStr">
        <is>
          <t>Concept 1</t>
        </is>
      </c>
      <c r="B1067" s="9" t="inlineStr">
        <is>
          <t>Permissive licences (MIT, BSD, Apache-2.0): use freely, keep the copyright notice. React, FastAPI, react-chessboard (MIT), chess.js (BSD-2).</t>
        </is>
      </c>
    </row>
    <row r="1068" ht="41.8" customHeight="1">
      <c r="A1068" s="5" t="inlineStr">
        <is>
          <t>Concept 2</t>
        </is>
      </c>
      <c r="B1068" s="9" t="inlineStr">
        <is>
          <t>Copyleft (GPLv3): if you DISTRIBUTE a GPL program (or a modified version), you must provide its source under the GPL. Stockfish, stockfish.js and python-chess are GPLv3. You distribute stockfish.js to every visitor's browser, so link to its source and licence, and keep the licence file.</t>
        </is>
      </c>
    </row>
    <row r="1069" ht="29.2" customHeight="1">
      <c r="A1069" s="5" t="inlineStr">
        <is>
          <t>Concept 3</t>
        </is>
      </c>
      <c r="B1069" s="9" t="inlineStr">
        <is>
          <t>Your piece-square tables were adapted from Sunfish (GPLv3): credit it. Choosing GPLv3 for your own repository is the simplest way to stay compatible; get advice if you have other constraints.</t>
        </is>
      </c>
    </row>
    <row r="1070" ht="16.6" customHeight="1">
      <c r="A1070" s="5" t="inlineStr">
        <is>
          <t>Concept 4</t>
        </is>
      </c>
      <c r="B1070" s="9" t="inlineStr">
        <is>
          <t>Data: the Lichess puzzle database is CC0 (no conditions), but attribution is still good practice.</t>
        </is>
      </c>
    </row>
    <row r="1071" ht="16.6" customHeight="1">
      <c r="A1071" s="5" t="inlineStr">
        <is>
          <t>Concept 5</t>
        </is>
      </c>
      <c r="B1071" s="9" t="inlineStr">
        <is>
          <t>Write a THIRD_PARTY_NOTICES.md listing each component, version, licence and source URL, and show a short version on the Methodology page.</t>
        </is>
      </c>
    </row>
    <row r="1072" ht="16.6" customHeight="1">
      <c r="A1072" s="58" t="inlineStr">
        <is>
          <t>In ChessLab</t>
        </is>
      </c>
      <c r="B1072" s="59" t="inlineStr">
        <is>
          <t>Phase 1 builds the licence inventory; Phase 14 publishes notices; the Methodology page already lists third-party components.</t>
        </is>
      </c>
    </row>
    <row r="1073" ht="16.6" customHeight="1">
      <c r="A1073" s="5" t="inlineStr">
        <is>
          <t>Common mistake</t>
        </is>
      </c>
      <c r="B1073" s="9" t="inlineStr">
        <is>
          <t>Claiming Stockfish's strength as your own.</t>
        </is>
      </c>
    </row>
    <row r="1074" ht="16.6" customHeight="1">
      <c r="A1074" s="5" t="inlineStr">
        <is>
          <t>Common mistake</t>
        </is>
      </c>
      <c r="B1074" s="9" t="inlineStr">
        <is>
          <t>Shipping GPL software without its licence and source link.</t>
        </is>
      </c>
    </row>
    <row r="1075" ht="16.6" customHeight="1">
      <c r="A1075" s="7" t="inlineStr">
        <is>
          <t>Check yourself</t>
        </is>
      </c>
      <c r="B1075" s="8" t="inlineStr">
        <is>
          <t>Which ChessLab components are GPLv3 and what does that oblige you to do?</t>
        </is>
      </c>
    </row>
    <row r="1076" ht="16.6" customHeight="1">
      <c r="A1076" s="5" t="inlineStr">
        <is>
          <t>Resource</t>
        </is>
      </c>
      <c r="B1076" s="6" t="inlineStr">
        <is>
          <t>choosealicense.com  —  https://choosealicense.com/</t>
        </is>
      </c>
    </row>
    <row r="1077" ht="16.6" customHeight="1">
      <c r="A1077" s="5" t="inlineStr">
        <is>
          <t>Resource</t>
        </is>
      </c>
      <c r="B1077" s="6" t="inlineStr">
        <is>
          <t>GNU GPLv3 text  —  https://www.gnu.org/licenses/gpl-3.0.html</t>
        </is>
      </c>
    </row>
    <row r="1078" ht="16.6" customHeight="1">
      <c r="A1078" s="5" t="inlineStr">
        <is>
          <t>Resource</t>
        </is>
      </c>
      <c r="B1078" s="6" t="inlineStr">
        <is>
          <t>GNU: GPL FAQ  —  https://www.gnu.org/licenses/gpl-faq.html</t>
        </is>
      </c>
    </row>
    <row r="1079" ht="16.6" customHeight="1">
      <c r="A1079" s="5" t="inlineStr">
        <is>
          <t>Resource</t>
        </is>
      </c>
      <c r="B1079" s="6" t="inlineStr">
        <is>
          <t>Stockfish licence (GitHub)  —  https://github.com/official-stockfish/Stockfish/blob/master/Copying.txt</t>
        </is>
      </c>
    </row>
    <row r="1081" ht="22" customHeight="1">
      <c r="A1081" s="54" t="inlineStr">
        <is>
          <t>L56</t>
        </is>
      </c>
      <c r="B1081" s="54" t="inlineStr">
        <is>
          <t>Integrating an LLM safely in a full-stack app (Claude API)   ·   Intermediate   ·   about 90 min   ·   used in S3</t>
        </is>
      </c>
    </row>
    <row r="1082">
      <c r="B1082" s="55" t="inlineStr">
        <is>
          <t>↑ back to Lessons index</t>
        </is>
      </c>
    </row>
    <row r="1083" ht="29.2" customHeight="1">
      <c r="A1083" s="56" t="inlineStr">
        <is>
          <t>Why it matters</t>
        </is>
      </c>
      <c r="B1083" s="57" t="inlineStr">
        <is>
          <t>LLM integration is a core modern skill. The professional version uses the model for what it is good at (fluent language), keeps it away from what it can't guarantee (chess truth), and fails gracefully.</t>
        </is>
      </c>
    </row>
    <row r="1084" ht="16.6" customHeight="1">
      <c r="A1084" s="5" t="inlineStr">
        <is>
          <t>Concept 1</t>
        </is>
      </c>
      <c r="B1084" s="9" t="inlineStr">
        <is>
          <t>Server-side only: the API key (ANTHROPIC_API_KEY) lives in Render's secret settings. The browser never calls the LLM directly.</t>
        </is>
      </c>
    </row>
    <row r="1085" ht="29.2" customHeight="1">
      <c r="A1085" s="5" t="inlineStr">
        <is>
          <t>Concept 2</t>
        </is>
      </c>
      <c r="B1085" s="9" t="inlineStr">
        <is>
          <t>The Anthropic Python SDK: client = anthropic.Anthropic() reads the key from the environment; client.messages.create(model=..., max_tokens=..., system=..., messages=[{'role': 'user', 'content': ...}]) sends a request; the reply is in response.content.</t>
        </is>
      </c>
    </row>
    <row r="1086" ht="29.2" customHeight="1">
      <c r="A1086" s="5" t="inlineStr">
        <is>
          <t>Concept 3</t>
        </is>
      </c>
      <c r="B1086" s="9" t="inlineStr">
        <is>
          <t>Structured outputs: client.messages.parse(..., output_format=PydanticModel) returns response.parsed_output validated against your schema, so you get {'text': ...} instead of free-form prose to parse.</t>
        </is>
      </c>
    </row>
    <row r="1087" ht="16.6" customHeight="1">
      <c r="A1087" s="5" t="inlineStr">
        <is>
          <t>Concept 4</t>
        </is>
      </c>
      <c r="B1087" s="9" t="inlineStr">
        <is>
          <t>Grounding: send only the verified evidence fields and the template sentence; instruct the model to use only these facts.</t>
        </is>
      </c>
    </row>
    <row r="1088" ht="29.2" customHeight="1">
      <c r="A1088" s="5" t="inlineStr">
        <is>
          <t>Concept 5</t>
        </is>
      </c>
      <c r="B1088" s="9" t="inlineStr">
        <is>
          <t>Guards after generation: every SAN move mentioned must be in the evidence; every number must be in the evidence; length bounds. Regex guards catch invented moves and numbers but cannot prove meaning, so keep the template as the fallback and the feature behind a flag.</t>
        </is>
      </c>
    </row>
    <row r="1089" ht="29.2" customHeight="1">
      <c r="A1089" s="5" t="inlineStr">
        <is>
          <t>Concept 6</t>
        </is>
      </c>
      <c r="B1089" s="9" t="inlineStr">
        <is>
          <t>Failure handling: short timeout, at most one retry, catch anthropic.APIError, check stop_reason == 'end_turn' (anything else, including 'refusal' or 'max_tokens', means use the template). Users always get an explanation.</t>
        </is>
      </c>
    </row>
    <row r="1090" ht="41.8" customHeight="1">
      <c r="A1090" s="5" t="inlineStr">
        <is>
          <t>Concept 7</t>
        </is>
      </c>
      <c r="B1090" s="9" t="inlineStr">
        <is>
          <t>Model choice and cost: the default model in this plan is claude-opus-5-5 ($4 / $20 per million input/output tokens at the time of writing). Smaller models such as claude-haiku-5-5 cost much less per call. Choosing between them is your decision; measure quality on your evaluation set before switching. Cache explanations in the database so each finding is reworded at most once.</t>
        </is>
      </c>
    </row>
    <row r="1091" ht="29.2" customHeight="1">
      <c r="A1091" s="5" t="inlineStr">
        <is>
          <t>Concept 8</t>
        </is>
      </c>
      <c r="B1091" s="9" t="inlineStr">
        <is>
          <t>Server-side fallbacks: the API also offers an optional 'fallbacks' setting that retries a refused request on another model. In this design the deterministic template is the fallback, so it isn't required.</t>
        </is>
      </c>
    </row>
    <row r="1092" ht="29.2" customHeight="1">
      <c r="A1092" s="5" t="inlineStr">
        <is>
          <t>Concept 9</t>
        </is>
      </c>
      <c r="B1092" s="9" t="inlineStr">
        <is>
          <t>Evaluate it: a small set of findings, rewordings judged for faithfulness and readability against the template. Only enable it if users prefer it AND faithfulness holds.</t>
        </is>
      </c>
    </row>
    <row r="1093" ht="29.2" customHeight="1">
      <c r="A1093" s="58" t="inlineStr">
        <is>
          <t>In ChessLab</t>
        </is>
      </c>
      <c r="B1093" s="59" t="inlineStr">
        <is>
          <t>app/explain/llm.py (reword + passes_guard) and tests/test_stretch.py (guard accepts a faithful rewording, rejects invented moves and numbers). Off by default (LLM_REWORDING_ENABLED=false).</t>
        </is>
      </c>
    </row>
    <row r="1094" ht="16.6" customHeight="1">
      <c r="A1094" s="5" t="inlineStr">
        <is>
          <t>Common mistake</t>
        </is>
      </c>
      <c r="B1094" s="9" t="inlineStr">
        <is>
          <t>Letting the LLM decide whether a tactic exists or which move is best.</t>
        </is>
      </c>
    </row>
    <row r="1095" ht="16.6" customHeight="1">
      <c r="A1095" s="5" t="inlineStr">
        <is>
          <t>Common mistake</t>
        </is>
      </c>
      <c r="B1095" s="9" t="inlineStr">
        <is>
          <t>Putting the API key in a VITE_ variable.</t>
        </is>
      </c>
    </row>
    <row r="1096" ht="16.6" customHeight="1">
      <c r="A1096" s="5" t="inlineStr">
        <is>
          <t>Common mistake</t>
        </is>
      </c>
      <c r="B1096" s="9" t="inlineStr">
        <is>
          <t>No timeout, so a slow LLM call blocks the worker.</t>
        </is>
      </c>
    </row>
    <row r="1097" ht="16.6" customHeight="1">
      <c r="A1097" s="7" t="inlineStr">
        <is>
          <t>Check yourself</t>
        </is>
      </c>
      <c r="B1097" s="8" t="inlineStr">
        <is>
          <t>What happens when the model refuses or times out?</t>
        </is>
      </c>
    </row>
    <row r="1098" ht="16.6" customHeight="1">
      <c r="A1098" s="7" t="inlineStr">
        <is>
          <t>Check yourself</t>
        </is>
      </c>
      <c r="B1098" s="8" t="inlineStr">
        <is>
          <t>Which checks run on the model's text before it is shown?</t>
        </is>
      </c>
    </row>
    <row r="1099" ht="16.6" customHeight="1">
      <c r="A1099" s="7" t="inlineStr">
        <is>
          <t>Check yourself</t>
        </is>
      </c>
      <c r="B1099" s="8" t="inlineStr">
        <is>
          <t>Why is the template still stored even when rewording is on?</t>
        </is>
      </c>
    </row>
    <row r="1100" ht="16.6" customHeight="1">
      <c r="A1100" s="5" t="inlineStr">
        <is>
          <t>Resource</t>
        </is>
      </c>
      <c r="B1100" s="6" t="inlineStr">
        <is>
          <t>Claude API documentation  —  https://platform.claude.com/docs</t>
        </is>
      </c>
    </row>
    <row r="1101" ht="16.6" customHeight="1">
      <c r="A1101" s="5" t="inlineStr">
        <is>
          <t>Resource</t>
        </is>
      </c>
      <c r="B1101" s="6" t="inlineStr">
        <is>
          <t>Anthropic Python SDK on GitHub  —  https://github.com/anthropics/anthropic-sdk-python</t>
        </is>
      </c>
    </row>
    <row r="1102" ht="16.6" customHeight="1">
      <c r="A1102" s="5" t="inlineStr">
        <is>
          <t>Resource</t>
        </is>
      </c>
      <c r="B1102" s="6" t="inlineStr">
        <is>
          <t>Claude docs: Structured outputs  —  https://platform.claude.com/docs/en/build-with-claude/structured-outputs</t>
        </is>
      </c>
    </row>
    <row r="1103" ht="16.6" customHeight="1">
      <c r="A1103" s="5" t="inlineStr">
        <is>
          <t>Resource</t>
        </is>
      </c>
      <c r="B1103" s="6" t="inlineStr">
        <is>
          <t>Claude docs: Prompt engineering overview  —  https://platform.claude.com/docs/en/build-with-claude/prompt-engineering/overview</t>
        </is>
      </c>
    </row>
    <row r="1104" ht="16.6" customHeight="1">
      <c r="A1104" s="5" t="inlineStr">
        <is>
          <t>Resource</t>
        </is>
      </c>
      <c r="B1104" s="6" t="inlineStr">
        <is>
          <t>Claude pricing  —  https://www.anthropic.com/pricing</t>
        </is>
      </c>
    </row>
    <row r="1106" ht="22" customHeight="1">
      <c r="A1106" s="54" t="inlineStr">
        <is>
          <t>L57</t>
        </is>
      </c>
      <c r="B1106" s="54" t="inlineStr">
        <is>
          <t>Logistic regression and fair model comparison (stretch)   ·   Advanced   ·   about 60 min   ·   used in S6</t>
        </is>
      </c>
    </row>
    <row r="1107">
      <c r="B1107" s="55" t="inlineStr">
        <is>
          <t>↑ back to Lessons index</t>
        </is>
      </c>
    </row>
    <row r="1108" ht="16.6" customHeight="1">
      <c r="A1108" s="56" t="inlineStr">
        <is>
          <t>Why it matters</t>
        </is>
      </c>
      <c r="B1108" s="57" t="inlineStr">
        <is>
          <t>Adding a machine-learning model is only valuable if it measurably beats the simple baseline on data it has never seen.</t>
        </is>
      </c>
    </row>
    <row r="1109" ht="29.2" customHeight="1">
      <c r="A1109" s="5" t="inlineStr">
        <is>
          <t>Concept 1</t>
        </is>
      </c>
      <c r="B1109" s="9" t="inlineStr">
        <is>
          <t>Logistic regression predicts a probability: p = sigmoid(w·x + b). Features x might be: rating gap (player - puzzle), the player's prior success rate on the concept, number of prior attempts, exposures, time since last practice.</t>
        </is>
      </c>
    </row>
    <row r="1110" ht="16.6" customHeight="1">
      <c r="A1110" s="5" t="inlineStr">
        <is>
          <t>Concept 2</t>
        </is>
      </c>
      <c r="B1110" s="9" t="inlineStr">
        <is>
          <t>Every feature must be computable BEFORE the attempt (no outcome, no future data). Build features chronologically.</t>
        </is>
      </c>
    </row>
    <row r="1111" ht="29.2" customHeight="1">
      <c r="A1111" s="5" t="inlineStr">
        <is>
          <t>Concept 3</t>
        </is>
      </c>
      <c r="B1111" s="9" t="inlineStr">
        <is>
          <t>Chronological split: train on the first 70% of attempts by time, test on the last 30%. Also test on players never seen in training (cold start).</t>
        </is>
      </c>
    </row>
    <row r="1112" ht="16.6" customHeight="1">
      <c r="A1112" s="5" t="inlineStr">
        <is>
          <t>Concept 4</t>
        </is>
      </c>
      <c r="B1112" s="9" t="inlineStr">
        <is>
          <t>Compare against the constant base rate and the Elo predictions using Brier score, log loss and calibration bins.</t>
        </is>
      </c>
    </row>
    <row r="1113" ht="16.6" customHeight="1">
      <c r="A1113" s="5" t="inlineStr">
        <is>
          <t>Concept 5</t>
        </is>
      </c>
      <c r="B1113" s="9" t="inlineStr">
        <is>
          <t>Interpretability: inspect coefficients (a positive weight on rating gap is expected).</t>
        </is>
      </c>
    </row>
    <row r="1114" ht="29.2" customHeight="1">
      <c r="A1114" s="5" t="inlineStr">
        <is>
          <t>Concept 6</t>
        </is>
      </c>
      <c r="B1114" s="9" t="inlineStr">
        <is>
          <t>Decision rule: keep Elo in production unless regression is clearly better on held-out data. 'More sophisticated' is not a reason. Write the result up either way.</t>
        </is>
      </c>
    </row>
    <row r="1115" ht="29.2" customHeight="1">
      <c r="A1115" s="5" t="inlineStr">
        <is>
          <t>Concept 7</t>
        </is>
      </c>
      <c r="B1115" s="9" t="inlineStr">
        <is>
          <t>Bayesian Knowledge Tracing (BKT) models a hidden 'knows the skill / doesn't' state with learn/slip/guess probabilities; only consider it with enough sequential data and clean concept labels.</t>
        </is>
      </c>
    </row>
    <row r="1116" ht="16.6" customHeight="1">
      <c r="A1116" s="58" t="inlineStr">
        <is>
          <t>In ChessLab</t>
        </is>
      </c>
      <c r="B1116" s="59" t="inlineStr">
        <is>
          <t>evaluation/compare_models.py and the SQL export in its docstring.</t>
        </is>
      </c>
    </row>
    <row r="1117" ht="16.6" customHeight="1">
      <c r="A1117" s="5" t="inlineStr">
        <is>
          <t>Common mistake</t>
        </is>
      </c>
      <c r="B1117" s="9" t="inlineStr">
        <is>
          <t>Random splits that put a player's future attempts in training.</t>
        </is>
      </c>
    </row>
    <row r="1118" ht="16.6" customHeight="1">
      <c r="A1118" s="5" t="inlineStr">
        <is>
          <t>Common mistake</t>
        </is>
      </c>
      <c r="B1118" s="9" t="inlineStr">
        <is>
          <t>Using 'hints used during this attempt' as a feature (it's part of the outcome).</t>
        </is>
      </c>
    </row>
    <row r="1119" ht="16.6" customHeight="1">
      <c r="A1119" s="7" t="inlineStr">
        <is>
          <t>Check yourself</t>
        </is>
      </c>
      <c r="B1119" s="8" t="inlineStr">
        <is>
          <t>Name one feature that would leak the outcome.</t>
        </is>
      </c>
    </row>
    <row r="1120" ht="16.6" customHeight="1">
      <c r="A1120" s="5" t="inlineStr">
        <is>
          <t>Resource</t>
        </is>
      </c>
      <c r="B1120" s="6" t="inlineStr">
        <is>
          <t>scikit-learn: Logistic regression  —  https://scikit-learn.org/stable/modules/linear_model.html#logistic-regression</t>
        </is>
      </c>
    </row>
    <row r="1121" ht="16.6" customHeight="1">
      <c r="A1121" s="5" t="inlineStr">
        <is>
          <t>Resource</t>
        </is>
      </c>
      <c r="B1121" s="6" t="inlineStr">
        <is>
          <t>Corbett &amp; Anderson: Knowledge tracing (paper)  —  https://link.springer.com/article/10.1007/BF01099821</t>
        </is>
      </c>
    </row>
    <row r="1123" ht="22" customHeight="1">
      <c r="A1123" s="54" t="inlineStr">
        <is>
          <t>L58</t>
        </is>
      </c>
      <c r="B1123" s="54" t="inlineStr">
        <is>
          <t>Portfolio storytelling: README, demo, case study and resume bullets   ·   Beginner   ·   about 45 min   ·   used in P14</t>
        </is>
      </c>
    </row>
    <row r="1124">
      <c r="B1124" s="55" t="inlineStr">
        <is>
          <t>↑ back to Lessons index</t>
        </is>
      </c>
    </row>
    <row r="1125" ht="16.6" customHeight="1">
      <c r="A1125" s="56" t="inlineStr">
        <is>
          <t>Why it matters</t>
        </is>
      </c>
      <c r="B1125" s="57" t="inlineStr">
        <is>
          <t>Recruiters spend about a minute. The packaging decides whether they see the depth of your work.</t>
        </is>
      </c>
    </row>
    <row r="1126" ht="29.2" customHeight="1">
      <c r="A1126" s="5" t="inlineStr">
        <is>
          <t>Concept 1</t>
        </is>
      </c>
      <c r="B1126" s="9" t="inlineStr">
        <is>
          <t>README top section: one-sentence pitch, live link, 60-90 second demo video/GIF, 3 screenshots, and a 'What I built vs what I integrated' table (your original engine, your detector, queue, learner model, UI; Stockfish and Lichess data integrated).</t>
        </is>
      </c>
    </row>
    <row r="1127" ht="29.2" customHeight="1">
      <c r="A1127" s="5" t="inlineStr">
        <is>
          <t>Concept 2</t>
        </is>
      </c>
      <c r="B1127" s="9" t="inlineStr">
        <is>
          <t>Architecture diagram plus 5 short decision records: browser-side play with server re-validation; Postgres job queue; evidence before prose; bounded engine budgets; baseline (Elo) before complex models.</t>
        </is>
      </c>
    </row>
    <row r="1128" ht="29.2" customHeight="1">
      <c r="A1128" s="5" t="inlineStr">
        <is>
          <t>Concept 3</t>
        </is>
      </c>
      <c r="B1128" s="9" t="inlineStr">
        <is>
          <t>Results section with REAL numbers only: precision/recall with intervals and sample size, latency p95, tests count. If something didn't work, say so and what you learned.</t>
        </is>
      </c>
    </row>
    <row r="1129" ht="29.2" customHeight="1">
      <c r="A1129" s="5" t="inlineStr">
        <is>
          <t>Concept 4</t>
        </is>
      </c>
      <c r="B1129" s="9" t="inlineStr">
        <is>
          <t>One technical case study: e.g. 'the race condition StrictMode exposed' or 'why the knight-vs-rook test found nothing' or 'a false fork diagnosis traced and fixed'.</t>
        </is>
      </c>
    </row>
    <row r="1130" ht="41.8" customHeight="1">
      <c r="A1130" s="5" t="inlineStr">
        <is>
          <t>Concept 5</t>
        </is>
      </c>
      <c r="B1130" s="9" t="inlineStr">
        <is>
          <t>Resume bullet template: 'Built and deployed ChessLab, a full-stack chess learning platform (React/TypeScript, FastAPI, PostgreSQL, Stockfish) with a lease-based job queue, verified tactical explanations and adaptive practice; evaluated the detector on [N] independently labelled positions ([P]% precision).'</t>
        </is>
      </c>
    </row>
    <row r="1131" ht="16.6" customHeight="1">
      <c r="A1131" s="5" t="inlineStr">
        <is>
          <t>Concept 6</t>
        </is>
      </c>
      <c r="B1131" s="9" t="inlineStr">
        <is>
          <t>Interview prep: be ready to whiteboard the SKIP LOCKED claim, the verification pipeline, and the Elo update.</t>
        </is>
      </c>
    </row>
    <row r="1132" ht="16.6" customHeight="1">
      <c r="A1132" s="58" t="inlineStr">
        <is>
          <t>In ChessLab</t>
        </is>
      </c>
      <c r="B1132" s="59" t="inlineStr">
        <is>
          <t>Phase 14 tasks produce each artifact. The Interview Prep sheet lists the questions.</t>
        </is>
      </c>
    </row>
    <row r="1133" ht="16.6" customHeight="1">
      <c r="A1133" s="5" t="inlineStr">
        <is>
          <t>Common mistake</t>
        </is>
      </c>
      <c r="B1133" s="9" t="inlineStr">
        <is>
          <t>A README that is only setup instructions.</t>
        </is>
      </c>
    </row>
    <row r="1134" ht="16.6" customHeight="1">
      <c r="A1134" s="5" t="inlineStr">
        <is>
          <t>Common mistake</t>
        </is>
      </c>
      <c r="B1134" s="9" t="inlineStr">
        <is>
          <t>Invented metrics.</t>
        </is>
      </c>
    </row>
    <row r="1135" ht="16.6" customHeight="1">
      <c r="A1135" s="7" t="inlineStr">
        <is>
          <t>Check yourself</t>
        </is>
      </c>
      <c r="B1135" s="8" t="inlineStr">
        <is>
          <t>Can someone understand what is YOUR work within 60 seconds of opening the repo?</t>
        </is>
      </c>
    </row>
    <row r="1136" ht="29.2" customHeight="1">
      <c r="A1136" s="5" t="inlineStr">
        <is>
          <t>Resource</t>
        </is>
      </c>
      <c r="B1136" s="6" t="inlineStr">
        <is>
          <t>GitHub Docs: About READMEs  —  https://docs.github.com/en/repositories/managing-your-repositorys-settings-and-features/customizing-your-repository/about-readmes</t>
        </is>
      </c>
    </row>
    <row r="1137" ht="16.6" customHeight="1">
      <c r="A1137" s="5" t="inlineStr">
        <is>
          <t>Resource</t>
        </is>
      </c>
      <c r="B1137" s="6" t="inlineStr">
        <is>
          <t>Michael Nygard: Documenting Architecture Decisions  —  https://cognitect.com/blog/2011/11/15/documenting-architecture-decisions</t>
        </is>
      </c>
    </row>
    <row r="1138" ht="16.6" customHeight="1">
      <c r="A1138" s="5" t="inlineStr">
        <is>
          <t>Resource</t>
        </is>
      </c>
      <c r="B1138" s="6" t="inlineStr">
        <is>
          <t>ScreenToGif (free recorder for Windows)  —  https://www.screentogif.com/</t>
        </is>
      </c>
    </row>
    <row r="1140" ht="22" customHeight="1">
      <c r="A1140" s="54" t="inlineStr">
        <is>
          <t>L59</t>
        </is>
      </c>
      <c r="B1140" s="54" t="inlineStr">
        <is>
          <t>Sharing one repository as two people: pull, commit, push and fixing conflicts   ·   Beginner   ·   about 30 min   ·   used in G0 and every chapter</t>
        </is>
      </c>
    </row>
    <row r="1141">
      <c r="B1141" s="55" t="inlineStr">
        <is>
          <t>↑ back to Lessons index</t>
        </is>
      </c>
    </row>
    <row r="1142" ht="29.2" customHeight="1">
      <c r="A1142" s="56" t="inlineStr">
        <is>
          <t>Why it matters</t>
        </is>
      </c>
      <c r="B1142" s="57" t="inlineStr">
        <is>
          <t>You two will push to the same main branch. A three-command habit keeps you in sync, and knowing how to fix a conflict means a clash costs you two minutes instead of an evening.</t>
        </is>
      </c>
    </row>
    <row r="1143" ht="29.2" customHeight="1">
      <c r="A1143" s="5" t="inlineStr">
        <is>
          <t>Concept 1</t>
        </is>
      </c>
      <c r="B1143" s="9" t="inlineStr">
        <is>
          <t>The habit for every step: git pull --rebase before you start (get your partner's work), then git add -A, git commit -m "P3.05: ...", git push when the step works.</t>
        </is>
      </c>
    </row>
    <row r="1144" ht="16.6" customHeight="1">
      <c r="A1144" s="5" t="inlineStr">
        <is>
          <t>Concept 2</t>
        </is>
      </c>
      <c r="B1144" s="9" t="inlineStr">
        <is>
          <t>Push small and often. Two people editing different files almost never conflict; long-lived uncommitted work is what causes trouble.</t>
        </is>
      </c>
    </row>
    <row r="1145" ht="16.6" customHeight="1">
      <c r="A1145" s="5" t="inlineStr">
        <is>
          <t>Concept 3</t>
        </is>
      </c>
      <c r="B1145" s="9" t="inlineStr">
        <is>
          <t>If git push is rejected ('fetch first' / 'non-fast-forward'), your partner pushed first. Run git pull --rebase, then git push again.</t>
        </is>
      </c>
    </row>
    <row r="1146" ht="29.2" customHeight="1">
      <c r="A1146" s="5" t="inlineStr">
        <is>
          <t>Concept 4</t>
        </is>
      </c>
      <c r="B1146" s="9" t="inlineStr">
        <is>
          <t>A conflict means you both changed the same lines. Git stops and marks the file with &lt;&lt;&lt;&lt;&lt;&lt;&lt;, ======= and &gt;&gt;&gt;&gt;&gt;&gt;&gt;. Edit it to the right final text, delete the markers, then git add &lt;file&gt; and git rebase --continue.</t>
        </is>
      </c>
    </row>
    <row r="1147" ht="16.6" customHeight="1">
      <c r="A1147" s="5" t="inlineStr">
        <is>
          <t>Concept 5</t>
        </is>
      </c>
      <c r="B1147" s="9" t="inlineStr">
        <is>
          <t>Commit messages start with the step id (P3.05: Define all database models) so you can find any step in git log or on GitHub.</t>
        </is>
      </c>
    </row>
    <row r="1148" ht="16.6" customHeight="1">
      <c r="A1148" s="5" t="inlineStr">
        <is>
          <t>Concept 6</t>
        </is>
      </c>
      <c r="B1148" s="9" t="inlineStr">
        <is>
          <t>To learn the half you did not build, skim your partner's commits now and then: git log -p -3, or the Commits page on GitHub.</t>
        </is>
      </c>
    </row>
    <row r="1149" ht="29.2" customHeight="1">
      <c r="A1149" s="5" t="inlineStr">
        <is>
          <t>Concept 7</t>
        </is>
      </c>
      <c r="B1149" s="9" t="inlineStr">
        <is>
          <t>Identity: commits carry the name and email set inside the repository. On Srikanth's laptop gh pushes with the ACTIVE account (check with gh auth status).</t>
        </is>
      </c>
    </row>
    <row r="1150" ht="16.6" customHeight="1">
      <c r="A1150" s="5" t="inlineStr">
        <is>
          <t>Concept 8</t>
        </is>
      </c>
      <c r="B1150" s="9" t="inlineStr">
        <is>
          <t>Never commit secrets. .gitignore keeps .env out; check git status before committing.</t>
        </is>
      </c>
    </row>
    <row r="1151" ht="29.2" customHeight="1">
      <c r="A1151" s="58" t="inlineStr">
        <is>
          <t>In ChessLab</t>
        </is>
      </c>
      <c r="B1151" s="59" t="inlineStr">
        <is>
          <t>Steps that change files end with a short 'Save your work' block (add, commit, push). Steps that only study or install something have no Git commands at all.</t>
        </is>
      </c>
    </row>
    <row r="1152" ht="16.6" customHeight="1">
      <c r="A1152" s="5" t="inlineStr">
        <is>
          <t>Common mistake</t>
        </is>
      </c>
      <c r="B1152" s="9" t="inlineStr">
        <is>
          <t>Starting a step without git pull --rebase.</t>
        </is>
      </c>
    </row>
    <row r="1153" ht="16.6" customHeight="1">
      <c r="A1153" s="5" t="inlineStr">
        <is>
          <t>Common mistake</t>
        </is>
      </c>
      <c r="B1153" s="9" t="inlineStr">
        <is>
          <t>Sitting on a day of uncommitted work.</t>
        </is>
      </c>
    </row>
    <row r="1154" ht="16.6" customHeight="1">
      <c r="A1154" s="5" t="inlineStr">
        <is>
          <t>Common mistake</t>
        </is>
      </c>
      <c r="B1154" s="9" t="inlineStr">
        <is>
          <t>Using git push --force on main (it can delete your partner's commits).</t>
        </is>
      </c>
    </row>
    <row r="1155" ht="16.6" customHeight="1">
      <c r="A1155" s="5" t="inlineStr">
        <is>
          <t>Common mistake</t>
        </is>
      </c>
      <c r="B1155" s="9" t="inlineStr">
        <is>
          <t>Committing as the work account because the repository identity was never set.</t>
        </is>
      </c>
    </row>
    <row r="1156" ht="16.6" customHeight="1">
      <c r="A1156" s="7" t="inlineStr">
        <is>
          <t>Check yourself</t>
        </is>
      </c>
      <c r="B1156" s="8" t="inlineStr">
        <is>
          <t>Your push was rejected. What two commands fix it?</t>
        </is>
      </c>
    </row>
    <row r="1157" ht="16.6" customHeight="1">
      <c r="A1157" s="7" t="inlineStr">
        <is>
          <t>Check yourself</t>
        </is>
      </c>
      <c r="B1157" s="8" t="inlineStr">
        <is>
          <t>What do &lt;&lt;&lt;&lt;&lt;&lt;&lt; and &gt;&gt;&gt;&gt;&gt;&gt;&gt; mean, and what do you do about them?</t>
        </is>
      </c>
    </row>
    <row r="1158" ht="29.2" customHeight="1">
      <c r="A1158" s="5" t="inlineStr">
        <is>
          <t>Resource</t>
        </is>
      </c>
      <c r="B1158" s="6" t="inlineStr">
        <is>
          <t>GitHub Docs: Resolving a merge conflict using the command line  —  https://docs.github.com/en/pull-requests/collaborating-with-pull-requests/addressing-merge-conflicts/resolving-a-merge-conflict-using-the-command-line</t>
        </is>
      </c>
    </row>
    <row r="1159" ht="16.6" customHeight="1">
      <c r="A1159" s="5" t="inlineStr">
        <is>
          <t>Resource</t>
        </is>
      </c>
      <c r="B1159" s="6" t="inlineStr">
        <is>
          <t>Pro Git: Distributed workflows  —  https://git-scm.com/book/en/v2/Distributed-Git-Distributed-Workflows</t>
        </is>
      </c>
    </row>
    <row r="1160" ht="16.6" customHeight="1">
      <c r="A1160" s="5" t="inlineStr">
        <is>
          <t>Resource</t>
        </is>
      </c>
      <c r="B1160" s="6" t="inlineStr">
        <is>
          <t>Learn Git Branching (interactive)  —  https://learngitbranching.js.org/</t>
        </is>
      </c>
    </row>
  </sheetData>
  <mergeCells count="1">
    <mergeCell ref="A1:B1"/>
  </mergeCells>
  <hyperlinks>
    <hyperlink ref="B4" location="'Lessons'!A1" display="↑ back to Lessons index"/>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ref="B26" location="'Lessons'!A1" display="↑ back to Lessons index"/>
    <hyperlink xmlns:r="http://schemas.openxmlformats.org/officeDocument/2006/relationships" ref="B45" r:id="rId5"/>
    <hyperlink xmlns:r="http://schemas.openxmlformats.org/officeDocument/2006/relationships" ref="B46" r:id="rId6"/>
    <hyperlink xmlns:r="http://schemas.openxmlformats.org/officeDocument/2006/relationships" ref="B47" r:id="rId7"/>
    <hyperlink xmlns:r="http://schemas.openxmlformats.org/officeDocument/2006/relationships" ref="B48" r:id="rId8"/>
    <hyperlink ref="B51" location="'Lessons'!A1" display="↑ back to Lessons index"/>
    <hyperlink xmlns:r="http://schemas.openxmlformats.org/officeDocument/2006/relationships" ref="B67" r:id="rId9"/>
    <hyperlink xmlns:r="http://schemas.openxmlformats.org/officeDocument/2006/relationships" ref="B68" r:id="rId10"/>
    <hyperlink xmlns:r="http://schemas.openxmlformats.org/officeDocument/2006/relationships" ref="B69" r:id="rId11"/>
    <hyperlink xmlns:r="http://schemas.openxmlformats.org/officeDocument/2006/relationships" ref="B70" r:id="rId12"/>
    <hyperlink ref="B73" location="'Lessons'!A1" display="↑ back to Lessons index"/>
    <hyperlink xmlns:r="http://schemas.openxmlformats.org/officeDocument/2006/relationships" ref="B89" r:id="rId13"/>
    <hyperlink xmlns:r="http://schemas.openxmlformats.org/officeDocument/2006/relationships" ref="B90" r:id="rId14"/>
    <hyperlink xmlns:r="http://schemas.openxmlformats.org/officeDocument/2006/relationships" ref="B91" r:id="rId15"/>
    <hyperlink ref="B94" location="'Lessons'!A1" display="↑ back to Lessons index"/>
    <hyperlink xmlns:r="http://schemas.openxmlformats.org/officeDocument/2006/relationships" ref="B111" r:id="rId16"/>
    <hyperlink xmlns:r="http://schemas.openxmlformats.org/officeDocument/2006/relationships" ref="B112" r:id="rId17"/>
    <hyperlink xmlns:r="http://schemas.openxmlformats.org/officeDocument/2006/relationships" ref="B113" r:id="rId18"/>
    <hyperlink ref="B116" location="'Lessons'!A1" display="↑ back to Lessons index"/>
    <hyperlink xmlns:r="http://schemas.openxmlformats.org/officeDocument/2006/relationships" ref="B135" r:id="rId19"/>
    <hyperlink xmlns:r="http://schemas.openxmlformats.org/officeDocument/2006/relationships" ref="B136" r:id="rId20"/>
    <hyperlink xmlns:r="http://schemas.openxmlformats.org/officeDocument/2006/relationships" ref="B137" r:id="rId21"/>
    <hyperlink xmlns:r="http://schemas.openxmlformats.org/officeDocument/2006/relationships" ref="B138" r:id="rId22"/>
    <hyperlink xmlns:r="http://schemas.openxmlformats.org/officeDocument/2006/relationships" ref="B139" r:id="rId23"/>
    <hyperlink ref="B142" location="'Lessons'!A1" display="↑ back to Lessons index"/>
    <hyperlink xmlns:r="http://schemas.openxmlformats.org/officeDocument/2006/relationships" ref="B156" r:id="rId24"/>
    <hyperlink xmlns:r="http://schemas.openxmlformats.org/officeDocument/2006/relationships" ref="B157" r:id="rId25"/>
    <hyperlink xmlns:r="http://schemas.openxmlformats.org/officeDocument/2006/relationships" ref="B158" r:id="rId26"/>
    <hyperlink ref="B161" location="'Lessons'!A1" display="↑ back to Lessons index"/>
    <hyperlink xmlns:r="http://schemas.openxmlformats.org/officeDocument/2006/relationships" ref="B176" r:id="rId27"/>
    <hyperlink xmlns:r="http://schemas.openxmlformats.org/officeDocument/2006/relationships" ref="B177" r:id="rId28"/>
    <hyperlink xmlns:r="http://schemas.openxmlformats.org/officeDocument/2006/relationships" ref="B178" r:id="rId29"/>
    <hyperlink ref="B181" location="'Lessons'!A1" display="↑ back to Lessons index"/>
    <hyperlink xmlns:r="http://schemas.openxmlformats.org/officeDocument/2006/relationships" ref="B196" r:id="rId30"/>
    <hyperlink xmlns:r="http://schemas.openxmlformats.org/officeDocument/2006/relationships" ref="B197" r:id="rId31"/>
    <hyperlink xmlns:r="http://schemas.openxmlformats.org/officeDocument/2006/relationships" ref="B198" r:id="rId32"/>
    <hyperlink ref="B201" location="'Lessons'!A1" display="↑ back to Lessons index"/>
    <hyperlink xmlns:r="http://schemas.openxmlformats.org/officeDocument/2006/relationships" ref="B217" r:id="rId33"/>
    <hyperlink xmlns:r="http://schemas.openxmlformats.org/officeDocument/2006/relationships" ref="B218" r:id="rId34"/>
    <hyperlink xmlns:r="http://schemas.openxmlformats.org/officeDocument/2006/relationships" ref="B219" r:id="rId35"/>
    <hyperlink xmlns:r="http://schemas.openxmlformats.org/officeDocument/2006/relationships" ref="B220" r:id="rId36"/>
    <hyperlink xmlns:r="http://schemas.openxmlformats.org/officeDocument/2006/relationships" ref="B221" r:id="rId37"/>
    <hyperlink xmlns:r="http://schemas.openxmlformats.org/officeDocument/2006/relationships" ref="B222" r:id="rId38"/>
    <hyperlink ref="B225" location="'Lessons'!A1" display="↑ back to Lessons index"/>
    <hyperlink xmlns:r="http://schemas.openxmlformats.org/officeDocument/2006/relationships" ref="B241" r:id="rId39"/>
    <hyperlink xmlns:r="http://schemas.openxmlformats.org/officeDocument/2006/relationships" ref="B242" r:id="rId40"/>
    <hyperlink xmlns:r="http://schemas.openxmlformats.org/officeDocument/2006/relationships" ref="B243" r:id="rId41"/>
    <hyperlink ref="B246" location="'Lessons'!A1" display="↑ back to Lessons index"/>
    <hyperlink xmlns:r="http://schemas.openxmlformats.org/officeDocument/2006/relationships" ref="B261" r:id="rId42"/>
    <hyperlink xmlns:r="http://schemas.openxmlformats.org/officeDocument/2006/relationships" ref="B262" r:id="rId43"/>
    <hyperlink xmlns:r="http://schemas.openxmlformats.org/officeDocument/2006/relationships" ref="B263" r:id="rId44"/>
    <hyperlink ref="B266" location="'Lessons'!A1" display="↑ back to Lessons index"/>
    <hyperlink xmlns:r="http://schemas.openxmlformats.org/officeDocument/2006/relationships" ref="B285" r:id="rId45"/>
    <hyperlink xmlns:r="http://schemas.openxmlformats.org/officeDocument/2006/relationships" ref="B286" r:id="rId46"/>
    <hyperlink xmlns:r="http://schemas.openxmlformats.org/officeDocument/2006/relationships" ref="B287" r:id="rId47"/>
    <hyperlink xmlns:r="http://schemas.openxmlformats.org/officeDocument/2006/relationships" ref="B288" r:id="rId48"/>
    <hyperlink xmlns:r="http://schemas.openxmlformats.org/officeDocument/2006/relationships" ref="B289" r:id="rId49"/>
    <hyperlink ref="B292" location="'Lessons'!A1" display="↑ back to Lessons index"/>
    <hyperlink xmlns:r="http://schemas.openxmlformats.org/officeDocument/2006/relationships" ref="B310" r:id="rId50"/>
    <hyperlink xmlns:r="http://schemas.openxmlformats.org/officeDocument/2006/relationships" ref="B311" r:id="rId51"/>
    <hyperlink xmlns:r="http://schemas.openxmlformats.org/officeDocument/2006/relationships" ref="B312" r:id="rId52"/>
    <hyperlink xmlns:r="http://schemas.openxmlformats.org/officeDocument/2006/relationships" ref="B313" r:id="rId53"/>
    <hyperlink ref="B316" location="'Lessons'!A1" display="↑ back to Lessons index"/>
    <hyperlink xmlns:r="http://schemas.openxmlformats.org/officeDocument/2006/relationships" ref="B331" r:id="rId54"/>
    <hyperlink xmlns:r="http://schemas.openxmlformats.org/officeDocument/2006/relationships" ref="B332" r:id="rId55"/>
    <hyperlink xmlns:r="http://schemas.openxmlformats.org/officeDocument/2006/relationships" ref="B333" r:id="rId56"/>
    <hyperlink xmlns:r="http://schemas.openxmlformats.org/officeDocument/2006/relationships" ref="B334" r:id="rId57"/>
    <hyperlink ref="B337" location="'Lessons'!A1" display="↑ back to Lessons index"/>
    <hyperlink xmlns:r="http://schemas.openxmlformats.org/officeDocument/2006/relationships" ref="B356" r:id="rId58"/>
    <hyperlink xmlns:r="http://schemas.openxmlformats.org/officeDocument/2006/relationships" ref="B357" r:id="rId59"/>
    <hyperlink xmlns:r="http://schemas.openxmlformats.org/officeDocument/2006/relationships" ref="B358" r:id="rId60"/>
    <hyperlink xmlns:r="http://schemas.openxmlformats.org/officeDocument/2006/relationships" ref="B359" r:id="rId61"/>
    <hyperlink ref="B362" location="'Lessons'!A1" display="↑ back to Lessons index"/>
    <hyperlink xmlns:r="http://schemas.openxmlformats.org/officeDocument/2006/relationships" ref="B378" r:id="rId62"/>
    <hyperlink xmlns:r="http://schemas.openxmlformats.org/officeDocument/2006/relationships" ref="B379" r:id="rId63"/>
    <hyperlink xmlns:r="http://schemas.openxmlformats.org/officeDocument/2006/relationships" ref="B380" r:id="rId64"/>
    <hyperlink ref="B383" location="'Lessons'!A1" display="↑ back to Lessons index"/>
    <hyperlink xmlns:r="http://schemas.openxmlformats.org/officeDocument/2006/relationships" ref="B398" r:id="rId65"/>
    <hyperlink xmlns:r="http://schemas.openxmlformats.org/officeDocument/2006/relationships" ref="B399" r:id="rId66"/>
    <hyperlink xmlns:r="http://schemas.openxmlformats.org/officeDocument/2006/relationships" ref="B400" r:id="rId67"/>
    <hyperlink ref="B403" location="'Lessons'!A1" display="↑ back to Lessons index"/>
    <hyperlink xmlns:r="http://schemas.openxmlformats.org/officeDocument/2006/relationships" ref="B419" r:id="rId68"/>
    <hyperlink xmlns:r="http://schemas.openxmlformats.org/officeDocument/2006/relationships" ref="B420" r:id="rId69"/>
    <hyperlink xmlns:r="http://schemas.openxmlformats.org/officeDocument/2006/relationships" ref="B421" r:id="rId70"/>
    <hyperlink ref="B424" location="'Lessons'!A1" display="↑ back to Lessons index"/>
    <hyperlink xmlns:r="http://schemas.openxmlformats.org/officeDocument/2006/relationships" ref="B436" r:id="rId71"/>
    <hyperlink xmlns:r="http://schemas.openxmlformats.org/officeDocument/2006/relationships" ref="B437" r:id="rId72"/>
    <hyperlink ref="B440" location="'Lessons'!A1" display="↑ back to Lessons index"/>
    <hyperlink xmlns:r="http://schemas.openxmlformats.org/officeDocument/2006/relationships" ref="B455" r:id="rId73"/>
    <hyperlink xmlns:r="http://schemas.openxmlformats.org/officeDocument/2006/relationships" ref="B456" r:id="rId74"/>
    <hyperlink ref="B459" location="'Lessons'!A1" display="↑ back to Lessons index"/>
    <hyperlink xmlns:r="http://schemas.openxmlformats.org/officeDocument/2006/relationships" ref="B473" r:id="rId75"/>
    <hyperlink xmlns:r="http://schemas.openxmlformats.org/officeDocument/2006/relationships" ref="B474" r:id="rId76"/>
    <hyperlink ref="B477" location="'Lessons'!A1" display="↑ back to Lessons index"/>
    <hyperlink xmlns:r="http://schemas.openxmlformats.org/officeDocument/2006/relationships" ref="B495" r:id="rId77"/>
    <hyperlink xmlns:r="http://schemas.openxmlformats.org/officeDocument/2006/relationships" ref="B496" r:id="rId78"/>
    <hyperlink xmlns:r="http://schemas.openxmlformats.org/officeDocument/2006/relationships" ref="B497" r:id="rId79"/>
    <hyperlink ref="B500" location="'Lessons'!A1" display="↑ back to Lessons index"/>
    <hyperlink xmlns:r="http://schemas.openxmlformats.org/officeDocument/2006/relationships" ref="B514" r:id="rId80"/>
    <hyperlink xmlns:r="http://schemas.openxmlformats.org/officeDocument/2006/relationships" ref="B515" r:id="rId81"/>
    <hyperlink xmlns:r="http://schemas.openxmlformats.org/officeDocument/2006/relationships" ref="B516" r:id="rId82"/>
    <hyperlink xmlns:r="http://schemas.openxmlformats.org/officeDocument/2006/relationships" ref="B517" r:id="rId83"/>
    <hyperlink ref="B520" location="'Lessons'!A1" display="↑ back to Lessons index"/>
    <hyperlink xmlns:r="http://schemas.openxmlformats.org/officeDocument/2006/relationships" ref="B535" r:id="rId84"/>
    <hyperlink xmlns:r="http://schemas.openxmlformats.org/officeDocument/2006/relationships" ref="B536" r:id="rId85"/>
    <hyperlink xmlns:r="http://schemas.openxmlformats.org/officeDocument/2006/relationships" ref="B537" r:id="rId86"/>
    <hyperlink ref="B540" location="'Lessons'!A1" display="↑ back to Lessons index"/>
    <hyperlink xmlns:r="http://schemas.openxmlformats.org/officeDocument/2006/relationships" ref="B552" r:id="rId87"/>
    <hyperlink xmlns:r="http://schemas.openxmlformats.org/officeDocument/2006/relationships" ref="B553" r:id="rId88"/>
    <hyperlink ref="B556" location="'Lessons'!A1" display="↑ back to Lessons index"/>
    <hyperlink xmlns:r="http://schemas.openxmlformats.org/officeDocument/2006/relationships" ref="B570" r:id="rId89"/>
    <hyperlink xmlns:r="http://schemas.openxmlformats.org/officeDocument/2006/relationships" ref="B571" r:id="rId90"/>
    <hyperlink ref="B574" location="'Lessons'!A1" display="↑ back to Lessons index"/>
    <hyperlink xmlns:r="http://schemas.openxmlformats.org/officeDocument/2006/relationships" ref="B590" r:id="rId91"/>
    <hyperlink xmlns:r="http://schemas.openxmlformats.org/officeDocument/2006/relationships" ref="B591" r:id="rId92"/>
    <hyperlink xmlns:r="http://schemas.openxmlformats.org/officeDocument/2006/relationships" ref="B592" r:id="rId93"/>
    <hyperlink ref="B595" location="'Lessons'!A1" display="↑ back to Lessons index"/>
    <hyperlink xmlns:r="http://schemas.openxmlformats.org/officeDocument/2006/relationships" ref="B608" r:id="rId94"/>
    <hyperlink xmlns:r="http://schemas.openxmlformats.org/officeDocument/2006/relationships" ref="B609" r:id="rId95"/>
    <hyperlink xmlns:r="http://schemas.openxmlformats.org/officeDocument/2006/relationships" ref="B610" r:id="rId96"/>
    <hyperlink ref="B613" location="'Lessons'!A1" display="↑ back to Lessons index"/>
    <hyperlink xmlns:r="http://schemas.openxmlformats.org/officeDocument/2006/relationships" ref="B626" r:id="rId97"/>
    <hyperlink xmlns:r="http://schemas.openxmlformats.org/officeDocument/2006/relationships" ref="B627" r:id="rId98"/>
    <hyperlink ref="B630" location="'Lessons'!A1" display="↑ back to Lessons index"/>
    <hyperlink xmlns:r="http://schemas.openxmlformats.org/officeDocument/2006/relationships" ref="B641" r:id="rId99"/>
    <hyperlink xmlns:r="http://schemas.openxmlformats.org/officeDocument/2006/relationships" ref="B642" r:id="rId100"/>
    <hyperlink ref="B645" location="'Lessons'!A1" display="↑ back to Lessons index"/>
    <hyperlink xmlns:r="http://schemas.openxmlformats.org/officeDocument/2006/relationships" ref="B661" r:id="rId101"/>
    <hyperlink xmlns:r="http://schemas.openxmlformats.org/officeDocument/2006/relationships" ref="B662" r:id="rId102"/>
    <hyperlink xmlns:r="http://schemas.openxmlformats.org/officeDocument/2006/relationships" ref="B663" r:id="rId103"/>
    <hyperlink xmlns:r="http://schemas.openxmlformats.org/officeDocument/2006/relationships" ref="B664" r:id="rId104"/>
    <hyperlink xmlns:r="http://schemas.openxmlformats.org/officeDocument/2006/relationships" ref="B665" r:id="rId105"/>
    <hyperlink ref="B668" location="'Lessons'!A1" display="↑ back to Lessons index"/>
    <hyperlink xmlns:r="http://schemas.openxmlformats.org/officeDocument/2006/relationships" ref="B681" r:id="rId106"/>
    <hyperlink xmlns:r="http://schemas.openxmlformats.org/officeDocument/2006/relationships" ref="B682" r:id="rId107"/>
    <hyperlink ref="B685" location="'Lessons'!A1" display="↑ back to Lessons index"/>
    <hyperlink xmlns:r="http://schemas.openxmlformats.org/officeDocument/2006/relationships" ref="B701" r:id="rId108"/>
    <hyperlink xmlns:r="http://schemas.openxmlformats.org/officeDocument/2006/relationships" ref="B702" r:id="rId109"/>
    <hyperlink xmlns:r="http://schemas.openxmlformats.org/officeDocument/2006/relationships" ref="B703" r:id="rId110"/>
    <hyperlink ref="B706" location="'Lessons'!A1" display="↑ back to Lessons index"/>
    <hyperlink xmlns:r="http://schemas.openxmlformats.org/officeDocument/2006/relationships" ref="B721" r:id="rId111"/>
    <hyperlink xmlns:r="http://schemas.openxmlformats.org/officeDocument/2006/relationships" ref="B722" r:id="rId112"/>
    <hyperlink xmlns:r="http://schemas.openxmlformats.org/officeDocument/2006/relationships" ref="B723" r:id="rId113"/>
    <hyperlink ref="B726" location="'Lessons'!A1" display="↑ back to Lessons index"/>
    <hyperlink xmlns:r="http://schemas.openxmlformats.org/officeDocument/2006/relationships" ref="B740" r:id="rId114"/>
    <hyperlink xmlns:r="http://schemas.openxmlformats.org/officeDocument/2006/relationships" ref="B741" r:id="rId115"/>
    <hyperlink xmlns:r="http://schemas.openxmlformats.org/officeDocument/2006/relationships" ref="B742" r:id="rId116"/>
    <hyperlink ref="B745" location="'Lessons'!A1" display="↑ back to Lessons index"/>
    <hyperlink xmlns:r="http://schemas.openxmlformats.org/officeDocument/2006/relationships" ref="B758" r:id="rId117"/>
    <hyperlink xmlns:r="http://schemas.openxmlformats.org/officeDocument/2006/relationships" ref="B759" r:id="rId118"/>
    <hyperlink xmlns:r="http://schemas.openxmlformats.org/officeDocument/2006/relationships" ref="B760" r:id="rId119"/>
    <hyperlink ref="B763" location="'Lessons'!A1" display="↑ back to Lessons index"/>
    <hyperlink xmlns:r="http://schemas.openxmlformats.org/officeDocument/2006/relationships" ref="B776" r:id="rId120"/>
    <hyperlink ref="B779" location="'Lessons'!A1" display="↑ back to Lessons index"/>
    <hyperlink xmlns:r="http://schemas.openxmlformats.org/officeDocument/2006/relationships" ref="B791" r:id="rId121"/>
    <hyperlink ref="B794" location="'Lessons'!A1" display="↑ back to Lessons index"/>
    <hyperlink xmlns:r="http://schemas.openxmlformats.org/officeDocument/2006/relationships" ref="B805" r:id="rId122"/>
    <hyperlink ref="B808" location="'Lessons'!A1" display="↑ back to Lessons index"/>
    <hyperlink xmlns:r="http://schemas.openxmlformats.org/officeDocument/2006/relationships" ref="B824" r:id="rId123"/>
    <hyperlink xmlns:r="http://schemas.openxmlformats.org/officeDocument/2006/relationships" ref="B825" r:id="rId124"/>
    <hyperlink xmlns:r="http://schemas.openxmlformats.org/officeDocument/2006/relationships" ref="B826" r:id="rId125"/>
    <hyperlink xmlns:r="http://schemas.openxmlformats.org/officeDocument/2006/relationships" ref="B827" r:id="rId126"/>
    <hyperlink ref="B830" location="'Lessons'!A1" display="↑ back to Lessons index"/>
    <hyperlink xmlns:r="http://schemas.openxmlformats.org/officeDocument/2006/relationships" ref="B846" r:id="rId127"/>
    <hyperlink xmlns:r="http://schemas.openxmlformats.org/officeDocument/2006/relationships" ref="B847" r:id="rId128"/>
    <hyperlink ref="B850" location="'Lessons'!A1" display="↑ back to Lessons index"/>
    <hyperlink xmlns:r="http://schemas.openxmlformats.org/officeDocument/2006/relationships" ref="B863" r:id="rId129"/>
    <hyperlink xmlns:r="http://schemas.openxmlformats.org/officeDocument/2006/relationships" ref="B864" r:id="rId130"/>
    <hyperlink ref="B867" location="'Lessons'!A1" display="↑ back to Lessons index"/>
    <hyperlink xmlns:r="http://schemas.openxmlformats.org/officeDocument/2006/relationships" ref="B882" r:id="rId131"/>
    <hyperlink xmlns:r="http://schemas.openxmlformats.org/officeDocument/2006/relationships" ref="B883" r:id="rId132"/>
    <hyperlink xmlns:r="http://schemas.openxmlformats.org/officeDocument/2006/relationships" ref="B884" r:id="rId133"/>
    <hyperlink ref="B887" location="'Lessons'!A1" display="↑ back to Lessons index"/>
    <hyperlink xmlns:r="http://schemas.openxmlformats.org/officeDocument/2006/relationships" ref="B898" r:id="rId134"/>
    <hyperlink xmlns:r="http://schemas.openxmlformats.org/officeDocument/2006/relationships" ref="B899" r:id="rId135"/>
    <hyperlink ref="B902" location="'Lessons'!A1" display="↑ back to Lessons index"/>
    <hyperlink xmlns:r="http://schemas.openxmlformats.org/officeDocument/2006/relationships" ref="B913" r:id="rId136"/>
    <hyperlink xmlns:r="http://schemas.openxmlformats.org/officeDocument/2006/relationships" ref="B914" r:id="rId137"/>
    <hyperlink ref="B917" location="'Lessons'!A1" display="↑ back to Lessons index"/>
    <hyperlink xmlns:r="http://schemas.openxmlformats.org/officeDocument/2006/relationships" ref="B928" r:id="rId138"/>
    <hyperlink xmlns:r="http://schemas.openxmlformats.org/officeDocument/2006/relationships" ref="B929" r:id="rId139"/>
    <hyperlink ref="B932" location="'Lessons'!A1" display="↑ back to Lessons index"/>
    <hyperlink xmlns:r="http://schemas.openxmlformats.org/officeDocument/2006/relationships" ref="B950" r:id="rId140"/>
    <hyperlink xmlns:r="http://schemas.openxmlformats.org/officeDocument/2006/relationships" ref="B951" r:id="rId141"/>
    <hyperlink xmlns:r="http://schemas.openxmlformats.org/officeDocument/2006/relationships" ref="B952" r:id="rId142"/>
    <hyperlink xmlns:r="http://schemas.openxmlformats.org/officeDocument/2006/relationships" ref="B953" r:id="rId143"/>
    <hyperlink xmlns:r="http://schemas.openxmlformats.org/officeDocument/2006/relationships" ref="B954" r:id="rId144"/>
    <hyperlink xmlns:r="http://schemas.openxmlformats.org/officeDocument/2006/relationships" ref="B955" r:id="rId145"/>
    <hyperlink xmlns:r="http://schemas.openxmlformats.org/officeDocument/2006/relationships" ref="B956" r:id="rId146"/>
    <hyperlink ref="B959" location="'Lessons'!A1" display="↑ back to Lessons index"/>
    <hyperlink xmlns:r="http://schemas.openxmlformats.org/officeDocument/2006/relationships" ref="B973" r:id="rId147"/>
    <hyperlink xmlns:r="http://schemas.openxmlformats.org/officeDocument/2006/relationships" ref="B974" r:id="rId148"/>
    <hyperlink xmlns:r="http://schemas.openxmlformats.org/officeDocument/2006/relationships" ref="B975" r:id="rId149"/>
    <hyperlink xmlns:r="http://schemas.openxmlformats.org/officeDocument/2006/relationships" ref="B976" r:id="rId150"/>
    <hyperlink ref="B979" location="'Lessons'!A1" display="↑ back to Lessons index"/>
    <hyperlink xmlns:r="http://schemas.openxmlformats.org/officeDocument/2006/relationships" ref="B994" r:id="rId151"/>
    <hyperlink xmlns:r="http://schemas.openxmlformats.org/officeDocument/2006/relationships" ref="B995" r:id="rId152"/>
    <hyperlink xmlns:r="http://schemas.openxmlformats.org/officeDocument/2006/relationships" ref="B996" r:id="rId153"/>
    <hyperlink xmlns:r="http://schemas.openxmlformats.org/officeDocument/2006/relationships" ref="B997" r:id="rId154"/>
    <hyperlink ref="B1000" location="'Lessons'!A1" display="↑ back to Lessons index"/>
    <hyperlink xmlns:r="http://schemas.openxmlformats.org/officeDocument/2006/relationships" ref="B1012" r:id="rId155"/>
    <hyperlink xmlns:r="http://schemas.openxmlformats.org/officeDocument/2006/relationships" ref="B1013" r:id="rId156"/>
    <hyperlink ref="B1016" location="'Lessons'!A1" display="↑ back to Lessons index"/>
    <hyperlink xmlns:r="http://schemas.openxmlformats.org/officeDocument/2006/relationships" ref="B1027" r:id="rId157"/>
    <hyperlink xmlns:r="http://schemas.openxmlformats.org/officeDocument/2006/relationships" ref="B1028" r:id="rId158"/>
    <hyperlink xmlns:r="http://schemas.openxmlformats.org/officeDocument/2006/relationships" ref="B1029" r:id="rId159"/>
    <hyperlink ref="B1032" location="'Lessons'!A1" display="↑ back to Lessons index"/>
    <hyperlink xmlns:r="http://schemas.openxmlformats.org/officeDocument/2006/relationships" ref="B1043" r:id="rId160"/>
    <hyperlink xmlns:r="http://schemas.openxmlformats.org/officeDocument/2006/relationships" ref="B1044" r:id="rId161"/>
    <hyperlink ref="B1047" location="'Lessons'!A1" display="↑ back to Lessons index"/>
    <hyperlink xmlns:r="http://schemas.openxmlformats.org/officeDocument/2006/relationships" ref="B1060" r:id="rId162"/>
    <hyperlink xmlns:r="http://schemas.openxmlformats.org/officeDocument/2006/relationships" ref="B1061" r:id="rId163"/>
    <hyperlink xmlns:r="http://schemas.openxmlformats.org/officeDocument/2006/relationships" ref="B1062" r:id="rId164"/>
    <hyperlink ref="B1065" location="'Lessons'!A1" display="↑ back to Lessons index"/>
    <hyperlink xmlns:r="http://schemas.openxmlformats.org/officeDocument/2006/relationships" ref="B1076" r:id="rId165"/>
    <hyperlink xmlns:r="http://schemas.openxmlformats.org/officeDocument/2006/relationships" ref="B1077" r:id="rId166"/>
    <hyperlink xmlns:r="http://schemas.openxmlformats.org/officeDocument/2006/relationships" ref="B1078" r:id="rId167"/>
    <hyperlink xmlns:r="http://schemas.openxmlformats.org/officeDocument/2006/relationships" ref="B1079" r:id="rId168"/>
    <hyperlink ref="B1082" location="'Lessons'!A1" display="↑ back to Lessons index"/>
    <hyperlink xmlns:r="http://schemas.openxmlformats.org/officeDocument/2006/relationships" ref="B1100" r:id="rId169"/>
    <hyperlink xmlns:r="http://schemas.openxmlformats.org/officeDocument/2006/relationships" ref="B1101" r:id="rId170"/>
    <hyperlink xmlns:r="http://schemas.openxmlformats.org/officeDocument/2006/relationships" ref="B1102" r:id="rId171"/>
    <hyperlink xmlns:r="http://schemas.openxmlformats.org/officeDocument/2006/relationships" ref="B1103" r:id="rId172"/>
    <hyperlink xmlns:r="http://schemas.openxmlformats.org/officeDocument/2006/relationships" ref="B1104" r:id="rId173"/>
    <hyperlink ref="B1107" location="'Lessons'!A1" display="↑ back to Lessons index"/>
    <hyperlink xmlns:r="http://schemas.openxmlformats.org/officeDocument/2006/relationships" ref="B1120" r:id="rId174"/>
    <hyperlink xmlns:r="http://schemas.openxmlformats.org/officeDocument/2006/relationships" ref="B1121" r:id="rId175"/>
    <hyperlink ref="B1124" location="'Lessons'!A1" display="↑ back to Lessons index"/>
    <hyperlink xmlns:r="http://schemas.openxmlformats.org/officeDocument/2006/relationships" ref="B1136" r:id="rId176"/>
    <hyperlink xmlns:r="http://schemas.openxmlformats.org/officeDocument/2006/relationships" ref="B1137" r:id="rId177"/>
    <hyperlink xmlns:r="http://schemas.openxmlformats.org/officeDocument/2006/relationships" ref="B1138" r:id="rId178"/>
    <hyperlink ref="B1141" location="'Lessons'!A1" display="↑ back to Lessons index"/>
    <hyperlink xmlns:r="http://schemas.openxmlformats.org/officeDocument/2006/relationships" ref="B1158" r:id="rId179"/>
    <hyperlink xmlns:r="http://schemas.openxmlformats.org/officeDocument/2006/relationships" ref="B1159" r:id="rId180"/>
    <hyperlink xmlns:r="http://schemas.openxmlformats.org/officeDocument/2006/relationships" ref="B1160" r:id="rId181"/>
  </hyperlink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7" customWidth="1" min="1" max="1"/>
    <col width="52" customWidth="1" min="2" max="2"/>
    <col width="8" customWidth="1" min="3" max="3"/>
    <col width="70" customWidth="1" min="4" max="4"/>
    <col width="8" customWidth="1" min="5" max="5"/>
    <col width="10" customWidth="1" min="6" max="6"/>
  </cols>
  <sheetData>
    <row r="1" ht="30" customHeight="1">
      <c r="A1" s="13" t="inlineStr">
        <is>
          <t>ID</t>
        </is>
      </c>
      <c r="B1" s="13" t="inlineStr">
        <is>
          <t>File path (relative to repo root)</t>
        </is>
      </c>
      <c r="C1" s="13" t="inlineStr">
        <is>
          <t>Phase</t>
        </is>
      </c>
      <c r="D1" s="13" t="inlineStr">
        <is>
          <t>What it is for</t>
        </is>
      </c>
      <c r="E1" s="13" t="inlineStr">
        <is>
          <t>Lines</t>
        </is>
      </c>
      <c r="F1" s="13" t="inlineStr">
        <is>
          <t>Open</t>
        </is>
      </c>
    </row>
    <row r="2">
      <c r="A2" s="15" t="inlineStr">
        <is>
          <t>C01</t>
        </is>
      </c>
      <c r="B2" s="15" t="inlineStr">
        <is>
          <t>.gitignore</t>
        </is>
      </c>
      <c r="C2" s="15" t="inlineStr">
        <is>
          <t>G0</t>
        </is>
      </c>
      <c r="D2" s="15" t="inlineStr">
        <is>
          <t>Keeps Office lock files, dependencies, caches, secrets and large data out of Git.</t>
        </is>
      </c>
      <c r="E2" s="15" t="n">
        <v>21</v>
      </c>
      <c r="F2" s="51" t="inlineStr">
        <is>
          <t>View →</t>
        </is>
      </c>
    </row>
    <row r="3">
      <c r="A3" s="15" t="inlineStr">
        <is>
          <t>C02</t>
        </is>
      </c>
      <c r="B3" s="15" t="inlineStr">
        <is>
          <t>compose.yaml</t>
        </is>
      </c>
      <c r="C3" s="15" t="inlineStr">
        <is>
          <t>P2</t>
        </is>
      </c>
      <c r="D3" s="15" t="inlineStr">
        <is>
          <t>Local stack: Postgres (5433), API (8010, runs migrations first), worker.</t>
        </is>
      </c>
      <c r="E3" s="15" t="n">
        <v>49</v>
      </c>
      <c r="F3" s="51" t="inlineStr">
        <is>
          <t>View →</t>
        </is>
      </c>
    </row>
    <row r="4">
      <c r="A4" s="15" t="inlineStr">
        <is>
          <t>C03</t>
        </is>
      </c>
      <c r="B4" s="15" t="inlineStr">
        <is>
          <t>services/backend/pyproject.toml</t>
        </is>
      </c>
      <c r="C4" s="15" t="inlineStr">
        <is>
          <t>P2</t>
        </is>
      </c>
      <c r="D4" s="15" t="inlineStr">
        <is>
          <t>Backend dependencies (reference) and pytest/ruff settings.</t>
        </is>
      </c>
      <c r="E4" s="15" t="n">
        <v>30</v>
      </c>
      <c r="F4" s="51" t="inlineStr">
        <is>
          <t>View →</t>
        </is>
      </c>
    </row>
    <row r="5">
      <c r="A5" s="15" t="inlineStr">
        <is>
          <t>C04</t>
        </is>
      </c>
      <c r="B5" s="15" t="inlineStr">
        <is>
          <t>services/backend/.env.example</t>
        </is>
      </c>
      <c r="C5" s="15" t="inlineStr">
        <is>
          <t>P3</t>
        </is>
      </c>
      <c r="D5" s="15" t="inlineStr">
        <is>
          <t>Every backend setting with safe local defaults. Copy to .env.</t>
        </is>
      </c>
      <c r="E5" s="15" t="n">
        <v>19</v>
      </c>
      <c r="F5" s="51" t="inlineStr">
        <is>
          <t>View →</t>
        </is>
      </c>
    </row>
    <row r="6">
      <c r="A6" s="15" t="inlineStr">
        <is>
          <t>C05</t>
        </is>
      </c>
      <c r="B6" s="15" t="inlineStr">
        <is>
          <t>services/backend/app/config.py</t>
        </is>
      </c>
      <c r="C6" s="15" t="inlineStr">
        <is>
          <t>P3</t>
        </is>
      </c>
      <c r="D6" s="15" t="inlineStr">
        <is>
          <t>Typed settings from environment variables; fixes Render's postgres:// URL.</t>
        </is>
      </c>
      <c r="E6" s="15" t="n">
        <v>59</v>
      </c>
      <c r="F6" s="51" t="inlineStr">
        <is>
          <t>View →</t>
        </is>
      </c>
    </row>
    <row r="7">
      <c r="A7" s="15" t="inlineStr">
        <is>
          <t>C06</t>
        </is>
      </c>
      <c r="B7" s="15" t="inlineStr">
        <is>
          <t>services/backend/app/db.py</t>
        </is>
      </c>
      <c r="C7" s="15" t="inlineStr">
        <is>
          <t>P3</t>
        </is>
      </c>
      <c r="D7" s="15" t="inlineStr">
        <is>
          <t>SQLAlchemy engine (bounded pool) and one session per request.</t>
        </is>
      </c>
      <c r="E7" s="15" t="n">
        <v>27</v>
      </c>
      <c r="F7" s="51" t="inlineStr">
        <is>
          <t>View →</t>
        </is>
      </c>
    </row>
    <row r="8">
      <c r="A8" s="15" t="inlineStr">
        <is>
          <t>C07</t>
        </is>
      </c>
      <c r="B8" s="15" t="inlineStr">
        <is>
          <t>services/backend/app/models.py</t>
        </is>
      </c>
      <c r="C8" s="15" t="inlineStr">
        <is>
          <t>P3</t>
        </is>
      </c>
      <c r="D8" s="15" t="inlineStr">
        <is>
          <t>All 10 tables with database-level constraints.</t>
        </is>
      </c>
      <c r="E8" s="15" t="n">
        <v>220</v>
      </c>
      <c r="F8" s="51" t="inlineStr">
        <is>
          <t>View →</t>
        </is>
      </c>
    </row>
    <row r="9">
      <c r="A9" s="15" t="inlineStr">
        <is>
          <t>C08</t>
        </is>
      </c>
      <c r="B9" s="15" t="inlineStr">
        <is>
          <t>services/backend/migrations/env.py.additions</t>
        </is>
      </c>
      <c r="C9" s="15" t="inlineStr">
        <is>
          <t>P3</t>
        </is>
      </c>
      <c r="D9" s="15" t="inlineStr">
        <is>
          <t>The 3 edits to Alembic's generated env.py.</t>
        </is>
      </c>
      <c r="E9" s="15" t="n">
        <v>13</v>
      </c>
      <c r="F9" s="51" t="inlineStr">
        <is>
          <t>View →</t>
        </is>
      </c>
    </row>
    <row r="10">
      <c r="A10" s="15" t="inlineStr">
        <is>
          <t>C09</t>
        </is>
      </c>
      <c r="B10" s="15" t="inlineStr">
        <is>
          <t>services/backend/app/errors.py</t>
        </is>
      </c>
      <c r="C10" s="15" t="inlineStr">
        <is>
          <t>P3</t>
        </is>
      </c>
      <c r="D10" s="15" t="inlineStr">
        <is>
          <t>Uniform error JSON; tracebacks only in logs.</t>
        </is>
      </c>
      <c r="E10" s="15" t="n">
        <v>39</v>
      </c>
      <c r="F10" s="51" t="inlineStr">
        <is>
          <t>View →</t>
        </is>
      </c>
    </row>
    <row r="11">
      <c r="A11" s="15" t="inlineStr">
        <is>
          <t>C10</t>
        </is>
      </c>
      <c r="B11" s="15" t="inlineStr">
        <is>
          <t>services/backend/app/security.py</t>
        </is>
      </c>
      <c r="C11" s="15" t="inlineStr">
        <is>
          <t>P3</t>
        </is>
      </c>
      <c r="D11" s="15" t="inlineStr">
        <is>
          <t>Guest tokens: generate, hash, authenticate, sliding expiry.</t>
        </is>
      </c>
      <c r="E11" s="15" t="n">
        <v>47</v>
      </c>
      <c r="F11" s="51" t="inlineStr">
        <is>
          <t>View →</t>
        </is>
      </c>
    </row>
    <row r="12">
      <c r="A12" s="15" t="inlineStr">
        <is>
          <t>C11</t>
        </is>
      </c>
      <c r="B12" s="15" t="inlineStr">
        <is>
          <t>services/backend/app/ratelimit.py</t>
        </is>
      </c>
      <c r="C12" s="15" t="inlineStr">
        <is>
          <t>P3</t>
        </is>
      </c>
      <c r="D12" s="15" t="inlineStr">
        <is>
          <t>Small per-IP sliding-window rate limiter dependency.</t>
        </is>
      </c>
      <c r="E12" s="15" t="n">
        <v>37</v>
      </c>
      <c r="F12" s="51" t="inlineStr">
        <is>
          <t>View →</t>
        </is>
      </c>
    </row>
    <row r="13">
      <c r="A13" s="15" t="inlineStr">
        <is>
          <t>C12</t>
        </is>
      </c>
      <c r="B13" s="15" t="inlineStr">
        <is>
          <t>services/backend/app/api/sessions.py</t>
        </is>
      </c>
      <c r="C13" s="15" t="inlineStr">
        <is>
          <t>P3</t>
        </is>
      </c>
      <c r="D13" s="15" t="inlineStr">
        <is>
          <t>POST /v1/sessions and GET /v1/me.</t>
        </is>
      </c>
      <c r="E13" s="15" t="n">
        <v>40</v>
      </c>
      <c r="F13" s="51" t="inlineStr">
        <is>
          <t>View →</t>
        </is>
      </c>
    </row>
    <row r="14">
      <c r="A14" s="15" t="inlineStr">
        <is>
          <t>C13</t>
        </is>
      </c>
      <c r="B14" s="15" t="inlineStr">
        <is>
          <t>services/backend/app/main.py</t>
        </is>
      </c>
      <c r="C14" s="15" t="inlineStr">
        <is>
          <t>P3</t>
        </is>
      </c>
      <c r="D14" s="15" t="inlineStr">
        <is>
          <t>FastAPI app: CORS, error handlers, routers, health checks.</t>
        </is>
      </c>
      <c r="E14" s="15" t="n">
        <v>44</v>
      </c>
      <c r="F14" s="51" t="inlineStr">
        <is>
          <t>View →</t>
        </is>
      </c>
    </row>
    <row r="15">
      <c r="A15" s="15" t="inlineStr">
        <is>
          <t>C14</t>
        </is>
      </c>
      <c r="B15" s="15" t="inlineStr">
        <is>
          <t>services/backend/tests/conftest.py</t>
        </is>
      </c>
      <c r="C15" s="15" t="inlineStr">
        <is>
          <t>P3</t>
        </is>
      </c>
      <c r="D15" s="15" t="inlineStr">
        <is>
          <t>Test database, table cleanup, client/auth/puzzle fixtures.</t>
        </is>
      </c>
      <c r="E15" s="15" t="n">
        <v>74</v>
      </c>
      <c r="F15" s="51" t="inlineStr">
        <is>
          <t>View →</t>
        </is>
      </c>
    </row>
    <row r="16">
      <c r="A16" s="15" t="inlineStr">
        <is>
          <t>C15</t>
        </is>
      </c>
      <c r="B16" s="15" t="inlineStr">
        <is>
          <t>apps/web/.env.example</t>
        </is>
      </c>
      <c r="C16" s="15" t="inlineStr">
        <is>
          <t>P4</t>
        </is>
      </c>
      <c r="D16" s="15" t="inlineStr">
        <is>
          <t>Frontend public config (VITE_API_BASE_URL).</t>
        </is>
      </c>
      <c r="E16" s="15" t="n">
        <v>2</v>
      </c>
      <c r="F16" s="51" t="inlineStr">
        <is>
          <t>View →</t>
        </is>
      </c>
    </row>
    <row r="17">
      <c r="A17" s="15" t="inlineStr">
        <is>
          <t>C16</t>
        </is>
      </c>
      <c r="B17" s="15" t="inlineStr">
        <is>
          <t>apps/web/vite.config.ts</t>
        </is>
      </c>
      <c r="C17" s="15" t="inlineStr">
        <is>
          <t>P2</t>
        </is>
      </c>
      <c r="D17" s="15" t="inlineStr">
        <is>
          <t>Vite config with the fixed dev port 5180.</t>
        </is>
      </c>
      <c r="E17" s="15" t="n">
        <v>9</v>
      </c>
      <c r="F17" s="51" t="inlineStr">
        <is>
          <t>View →</t>
        </is>
      </c>
    </row>
    <row r="18">
      <c r="A18" s="15" t="inlineStr">
        <is>
          <t>C17</t>
        </is>
      </c>
      <c r="B18" s="15" t="inlineStr">
        <is>
          <t>apps/web/src/main.tsx</t>
        </is>
      </c>
      <c r="C18" s="15" t="inlineStr">
        <is>
          <t>P4</t>
        </is>
      </c>
      <c r="D18" s="15" t="inlineStr">
        <is>
          <t>React entry point.</t>
        </is>
      </c>
      <c r="E18" s="15" t="n">
        <v>10</v>
      </c>
      <c r="F18" s="51" t="inlineStr">
        <is>
          <t>View →</t>
        </is>
      </c>
    </row>
    <row r="19">
      <c r="A19" s="15" t="inlineStr">
        <is>
          <t>C18</t>
        </is>
      </c>
      <c r="B19" s="15" t="inlineStr">
        <is>
          <t>apps/web/src/index.css</t>
        </is>
      </c>
      <c r="C19" s="15" t="inlineStr">
        <is>
          <t>P4</t>
        </is>
      </c>
      <c r="D19" s="15" t="inlineStr">
        <is>
          <t>Small responsive stylesheet with dark mode and focus styles.</t>
        </is>
      </c>
      <c r="E19" s="15" t="n">
        <v>47</v>
      </c>
      <c r="F19" s="51" t="inlineStr">
        <is>
          <t>View →</t>
        </is>
      </c>
    </row>
    <row r="20">
      <c r="A20" s="15" t="inlineStr">
        <is>
          <t>C19</t>
        </is>
      </c>
      <c r="B20" s="15" t="inlineStr">
        <is>
          <t>apps/web/src/App.tsx</t>
        </is>
      </c>
      <c r="C20" s="15" t="inlineStr">
        <is>
          <t>P4</t>
        </is>
      </c>
      <c r="D20" s="15" t="inlineStr">
        <is>
          <t>Routes, navigation, offline banner, delete-my-data.</t>
        </is>
      </c>
      <c r="E20" s="15" t="n">
        <v>83</v>
      </c>
      <c r="F20" s="51" t="inlineStr">
        <is>
          <t>View →</t>
        </is>
      </c>
    </row>
    <row r="21">
      <c r="A21" s="15" t="inlineStr">
        <is>
          <t>C20</t>
        </is>
      </c>
      <c r="B21" s="15" t="inlineStr">
        <is>
          <t>apps/web/src/api/client.ts</t>
        </is>
      </c>
      <c r="C21" s="15" t="inlineStr">
        <is>
          <t>P4</t>
        </is>
      </c>
      <c r="D21" s="15" t="inlineStr">
        <is>
          <t>fetch wrapper: base URL, lazy guest session, bearer header, ApiError.</t>
        </is>
      </c>
      <c r="E21" s="15" t="n">
        <v>80</v>
      </c>
      <c r="F21" s="51" t="inlineStr">
        <is>
          <t>View →</t>
        </is>
      </c>
    </row>
    <row r="22">
      <c r="A22" s="15" t="inlineStr">
        <is>
          <t>C21</t>
        </is>
      </c>
      <c r="B22" s="15" t="inlineStr">
        <is>
          <t>apps/web/src/api/types.ts</t>
        </is>
      </c>
      <c r="C22" s="15" t="inlineStr">
        <is>
          <t>P4</t>
        </is>
      </c>
      <c r="D22" s="15" t="inlineStr">
        <is>
          <t>TypeScript mirrors of the API response models.</t>
        </is>
      </c>
      <c r="E22" s="15" t="n">
        <v>118</v>
      </c>
      <c r="F22" s="51" t="inlineStr">
        <is>
          <t>View →</t>
        </is>
      </c>
    </row>
    <row r="23">
      <c r="A23" s="15" t="inlineStr">
        <is>
          <t>C22</t>
        </is>
      </c>
      <c r="B23" s="15" t="inlineStr">
        <is>
          <t>apps/web/src/game/chessHelpers.ts</t>
        </is>
      </c>
      <c r="C23" s="15" t="inlineStr">
        <is>
          <t>P4</t>
        </is>
      </c>
      <c r="D23" s="15" t="inlineStr">
        <is>
          <t>Pure helpers: promotion check, UCI, status, PGN build/replay.</t>
        </is>
      </c>
      <c r="E23" s="15" t="n">
        <v>58</v>
      </c>
      <c r="F23" s="51" t="inlineStr">
        <is>
          <t>View →</t>
        </is>
      </c>
    </row>
    <row r="24">
      <c r="A24" s="15" t="inlineStr">
        <is>
          <t>C23</t>
        </is>
      </c>
      <c r="B24" s="15" t="inlineStr">
        <is>
          <t>apps/web/src/game/chessHelpers.test.ts</t>
        </is>
      </c>
      <c r="C24" s="15" t="inlineStr">
        <is>
          <t>P4</t>
        </is>
      </c>
      <c r="D24" s="15" t="inlineStr">
        <is>
          <t>Vitest unit tests for the helpers.</t>
        </is>
      </c>
      <c r="E24" s="15" t="n">
        <v>29</v>
      </c>
      <c r="F24" s="51" t="inlineStr">
        <is>
          <t>View →</t>
        </is>
      </c>
    </row>
    <row r="25">
      <c r="A25" s="15" t="inlineStr">
        <is>
          <t>C24</t>
        </is>
      </c>
      <c r="B25" s="15" t="inlineStr">
        <is>
          <t>apps/web/src/engine/stockfish.ts</t>
        </is>
      </c>
      <c r="C25" s="15" t="inlineStr">
        <is>
          <t>P4</t>
        </is>
      </c>
      <c r="D25" s="15" t="inlineStr">
        <is>
          <t>UCI conversation with Stockfish WASM in a Web Worker.</t>
        </is>
      </c>
      <c r="E25" s="15" t="n">
        <v>82</v>
      </c>
      <c r="F25" s="51" t="inlineStr">
        <is>
          <t>View →</t>
        </is>
      </c>
    </row>
    <row r="26">
      <c r="A26" s="15" t="inlineStr">
        <is>
          <t>C25</t>
        </is>
      </c>
      <c r="B26" s="15" t="inlineStr">
        <is>
          <t>apps/web/public/legacy-engine/legacy-worker.js</t>
        </is>
      </c>
      <c r="C26" s="15" t="inlineStr">
        <is>
          <t>P4</t>
        </is>
      </c>
      <c r="D26" s="15" t="inlineStr">
        <is>
          <t>Classic worker running your original minimax engine unchanged.</t>
        </is>
      </c>
      <c r="E26" s="15" t="n">
        <v>25</v>
      </c>
      <c r="F26" s="51" t="inlineStr">
        <is>
          <t>View →</t>
        </is>
      </c>
    </row>
    <row r="27">
      <c r="A27" s="15" t="inlineStr">
        <is>
          <t>C26</t>
        </is>
      </c>
      <c r="B27" s="15" t="inlineStr">
        <is>
          <t>apps/web/src/engine/legacy.ts</t>
        </is>
      </c>
      <c r="C27" s="15" t="inlineStr">
        <is>
          <t>P4</t>
        </is>
      </c>
      <c r="D27" s="15" t="inlineStr">
        <is>
          <t>Promise wrapper around the legacy worker with a timeout.</t>
        </is>
      </c>
      <c r="E27" s="15" t="n">
        <v>25</v>
      </c>
      <c r="F27" s="51" t="inlineStr">
        <is>
          <t>View →</t>
        </is>
      </c>
    </row>
    <row r="28">
      <c r="A28" s="15" t="inlineStr">
        <is>
          <t>C27</t>
        </is>
      </c>
      <c r="B28" s="15" t="inlineStr">
        <is>
          <t>apps/web/src/game/useChessGame.ts</t>
        </is>
      </c>
      <c r="C28" s="15" t="inlineStr">
        <is>
          <t>P4</t>
        </is>
      </c>
      <c r="D28" s="15" t="inlineStr">
        <is>
          <t>Game state hook: moves, engine turns, stale-reply guard, resign/restart.</t>
        </is>
      </c>
      <c r="E28" s="15" t="n">
        <v>105</v>
      </c>
      <c r="F28" s="51" t="inlineStr">
        <is>
          <t>View →</t>
        </is>
      </c>
    </row>
    <row r="29">
      <c r="A29" s="15" t="inlineStr">
        <is>
          <t>C28</t>
        </is>
      </c>
      <c r="B29" s="15" t="inlineStr">
        <is>
          <t>apps/web/src/components/MoveList.tsx</t>
        </is>
      </c>
      <c r="C29" s="15" t="inlineStr">
        <is>
          <t>P4</t>
        </is>
      </c>
      <c r="D29" s="15" t="inlineStr">
        <is>
          <t>Accessible move table with current and flagged moves.</t>
        </is>
      </c>
      <c r="E29" s="15" t="n">
        <v>31</v>
      </c>
      <c r="F29" s="51" t="inlineStr">
        <is>
          <t>View →</t>
        </is>
      </c>
    </row>
    <row r="30">
      <c r="A30" s="15" t="inlineStr">
        <is>
          <t>C29</t>
        </is>
      </c>
      <c r="B30" s="15" t="inlineStr">
        <is>
          <t>apps/web/src/components/PromotionDialog.tsx</t>
        </is>
      </c>
      <c r="C30" s="15" t="inlineStr">
        <is>
          <t>P4</t>
        </is>
      </c>
      <c r="D30" s="15" t="inlineStr">
        <is>
          <t>Accessible dialog for choosing the promotion piece.</t>
        </is>
      </c>
      <c r="E30" s="15" t="n">
        <v>27</v>
      </c>
      <c r="F30" s="51" t="inlineStr">
        <is>
          <t>View →</t>
        </is>
      </c>
    </row>
    <row r="31">
      <c r="A31" s="15" t="inlineStr">
        <is>
          <t>C30</t>
        </is>
      </c>
      <c r="B31" s="15" t="inlineStr">
        <is>
          <t>apps/web/src/pages/PlayPage.tsx</t>
        </is>
      </c>
      <c r="C31" s="15" t="inlineStr">
        <is>
          <t>P4</t>
        </is>
      </c>
      <c r="D31" s="15" t="inlineStr">
        <is>
          <t>Setup, board (drag + click-to-move), status, actions, save for review.</t>
        </is>
      </c>
      <c r="E31" s="15" t="n">
        <v>164</v>
      </c>
      <c r="F31" s="51" t="inlineStr">
        <is>
          <t>View →</t>
        </is>
      </c>
    </row>
    <row r="32">
      <c r="A32" s="15" t="inlineStr">
        <is>
          <t>C31</t>
        </is>
      </c>
      <c r="B32" s="15" t="inlineStr">
        <is>
          <t>apps/web/playwright.config.ts</t>
        </is>
      </c>
      <c r="C32" s="15" t="inlineStr">
        <is>
          <t>P4</t>
        </is>
      </c>
      <c r="D32" s="15" t="inlineStr">
        <is>
          <t>Playwright config; starts the dev server on 5180.</t>
        </is>
      </c>
      <c r="E32" s="15" t="n">
        <v>8</v>
      </c>
      <c r="F32" s="51" t="inlineStr">
        <is>
          <t>View →</t>
        </is>
      </c>
    </row>
    <row r="33">
      <c r="A33" s="15" t="inlineStr">
        <is>
          <t>C32</t>
        </is>
      </c>
      <c r="B33" s="15" t="inlineStr">
        <is>
          <t>apps/web/e2e/play.spec.ts</t>
        </is>
      </c>
      <c r="C33" s="15" t="inlineStr">
        <is>
          <t>P4</t>
        </is>
      </c>
      <c r="D33" s="15" t="inlineStr">
        <is>
          <t>E2E: Stockfish replies, original engine replies, deep links work.</t>
        </is>
      </c>
      <c r="E33" s="15" t="n">
        <v>25</v>
      </c>
      <c r="F33" s="51" t="inlineStr">
        <is>
          <t>View →</t>
        </is>
      </c>
    </row>
    <row r="34">
      <c r="A34" s="15" t="inlineStr">
        <is>
          <t>C33</t>
        </is>
      </c>
      <c r="B34" s="15" t="inlineStr">
        <is>
          <t>services/backend/Dockerfile</t>
        </is>
      </c>
      <c r="C34" s="15" t="inlineStr">
        <is>
          <t>P5</t>
        </is>
      </c>
      <c r="D34" s="15" t="inlineStr">
        <is>
          <t>One image (API default; worker via command) with Stockfish from Debian.</t>
        </is>
      </c>
      <c r="E34" s="15" t="n">
        <v>26</v>
      </c>
      <c r="F34" s="51" t="inlineStr">
        <is>
          <t>View →</t>
        </is>
      </c>
    </row>
    <row r="35">
      <c r="A35" s="15" t="inlineStr">
        <is>
          <t>C34</t>
        </is>
      </c>
      <c r="B35" s="15" t="inlineStr">
        <is>
          <t>services/backend/.dockerignore</t>
        </is>
      </c>
      <c r="C35" s="15" t="inlineStr">
        <is>
          <t>P5</t>
        </is>
      </c>
      <c r="D35" s="15" t="inlineStr">
        <is>
          <t>Keeps .venv, caches and .env out of the image.</t>
        </is>
      </c>
      <c r="E35" s="15" t="n">
        <v>7</v>
      </c>
      <c r="F35" s="51" t="inlineStr">
        <is>
          <t>View →</t>
        </is>
      </c>
    </row>
    <row r="36">
      <c r="A36" s="15" t="inlineStr">
        <is>
          <t>C35</t>
        </is>
      </c>
      <c r="B36" s="15" t="inlineStr">
        <is>
          <t>render.yaml</t>
        </is>
      </c>
      <c r="C36" s="15" t="inlineStr">
        <is>
          <t>P5</t>
        </is>
      </c>
      <c r="D36" s="15" t="inlineStr">
        <is>
          <t>Render Blueprint: database, API web service, background worker.</t>
        </is>
      </c>
      <c r="E36" s="15" t="n">
        <v>41</v>
      </c>
      <c r="F36" s="51" t="inlineStr">
        <is>
          <t>View →</t>
        </is>
      </c>
    </row>
    <row r="37">
      <c r="A37" s="15" t="inlineStr">
        <is>
          <t>C36</t>
        </is>
      </c>
      <c r="B37" s="15" t="inlineStr">
        <is>
          <t>apps/web/vercel.json</t>
        </is>
      </c>
      <c r="C37" s="15" t="inlineStr">
        <is>
          <t>P5</t>
        </is>
      </c>
      <c r="D37" s="15" t="inlineStr">
        <is>
          <t>SPA rewrite and security headers (CSP).</t>
        </is>
      </c>
      <c r="E37" s="15" t="n">
        <v>13</v>
      </c>
      <c r="F37" s="51" t="inlineStr">
        <is>
          <t>View →</t>
        </is>
      </c>
    </row>
    <row r="38">
      <c r="A38" s="15" t="inlineStr">
        <is>
          <t>C37</t>
        </is>
      </c>
      <c r="B38" s="15" t="inlineStr">
        <is>
          <t>.github/workflows/ci.yml</t>
        </is>
      </c>
      <c r="C38" s="15" t="inlineStr">
        <is>
          <t>P5</t>
        </is>
      </c>
      <c r="D38" s="15" t="inlineStr">
        <is>
          <t>CI: backend (Postgres service) and frontend checks.</t>
        </is>
      </c>
      <c r="E38" s="15" t="n">
        <v>47</v>
      </c>
      <c r="F38" s="51" t="inlineStr">
        <is>
          <t>View →</t>
        </is>
      </c>
    </row>
    <row r="39">
      <c r="A39" s="15" t="inlineStr">
        <is>
          <t>C38</t>
        </is>
      </c>
      <c r="B39" s="15" t="inlineStr">
        <is>
          <t>services/backend/app/domain/pgn.py</t>
        </is>
      </c>
      <c r="C39" s="15" t="inlineStr">
        <is>
          <t>P6</t>
        </is>
      </c>
      <c r="D39" s="15" t="inlineStr">
        <is>
          <t>Untrusted PGN parsing, replay validation, per-game errors.</t>
        </is>
      </c>
      <c r="E39" s="15" t="n">
        <v>99</v>
      </c>
      <c r="F39" s="51" t="inlineStr">
        <is>
          <t>View →</t>
        </is>
      </c>
    </row>
    <row r="40">
      <c r="A40" s="15" t="inlineStr">
        <is>
          <t>C39</t>
        </is>
      </c>
      <c r="B40" s="15" t="inlineStr">
        <is>
          <t>services/backend/app/jobs/queue.py</t>
        </is>
      </c>
      <c r="C40" s="15" t="inlineStr">
        <is>
          <t>P6</t>
        </is>
      </c>
      <c r="D40" s="15" t="inlineStr">
        <is>
          <t>Postgres job queue: enqueue, SKIP LOCKED claim, leases, fencing, retries.</t>
        </is>
      </c>
      <c r="E40" s="15" t="n">
        <v>188</v>
      </c>
      <c r="F40" s="51" t="inlineStr">
        <is>
          <t>View →</t>
        </is>
      </c>
    </row>
    <row r="41">
      <c r="A41" s="15" t="inlineStr">
        <is>
          <t>C40</t>
        </is>
      </c>
      <c r="B41" s="15" t="inlineStr">
        <is>
          <t>services/backend/app/api/games.py</t>
        </is>
      </c>
      <c r="C41" s="15" t="inlineStr">
        <is>
          <t>P6</t>
        </is>
      </c>
      <c r="D41" s="15" t="inlineStr">
        <is>
          <t>Save played games (idempotent), list, detail, re-analyse.</t>
        </is>
      </c>
      <c r="E41" s="15" t="n">
        <v>120</v>
      </c>
      <c r="F41" s="51" t="inlineStr">
        <is>
          <t>View →</t>
        </is>
      </c>
    </row>
    <row r="42">
      <c r="A42" s="15" t="inlineStr">
        <is>
          <t>C41</t>
        </is>
      </c>
      <c r="B42" s="15" t="inlineStr">
        <is>
          <t>services/backend/app/api/jobs.py</t>
        </is>
      </c>
      <c r="C42" s="15" t="inlineStr">
        <is>
          <t>P6</t>
        </is>
      </c>
      <c r="D42" s="15" t="inlineStr">
        <is>
          <t>Job status and cancellation (owner only).</t>
        </is>
      </c>
      <c r="E42" s="15" t="n">
        <v>46</v>
      </c>
      <c r="F42" s="51" t="inlineStr">
        <is>
          <t>View →</t>
        </is>
      </c>
    </row>
    <row r="43">
      <c r="A43" s="15" t="inlineStr">
        <is>
          <t>C42</t>
        </is>
      </c>
      <c r="B43" s="15" t="inlineStr">
        <is>
          <t>services/backend/app/analysis/engine.py</t>
        </is>
      </c>
      <c r="C43" s="15" t="inlineStr">
        <is>
          <t>P6</t>
        </is>
      </c>
      <c r="D43" s="15" t="inlineStr">
        <is>
          <t>Evaluator protocol and the Stockfish adapter (python-chess).</t>
        </is>
      </c>
      <c r="E43" s="15" t="n">
        <v>68</v>
      </c>
      <c r="F43" s="51" t="inlineStr">
        <is>
          <t>View →</t>
        </is>
      </c>
    </row>
    <row r="44">
      <c r="A44" s="15" t="inlineStr">
        <is>
          <t>C43</t>
        </is>
      </c>
      <c r="B44" s="15" t="inlineStr">
        <is>
          <t>services/backend/app/jobs/handlers.py</t>
        </is>
      </c>
      <c r="C44" s="15" t="inlineStr">
        <is>
          <t>P6</t>
        </is>
      </c>
      <c r="D44" s="15" t="inlineStr">
        <is>
          <t>Idempotent handlers: analyze_game, import_lichess.</t>
        </is>
      </c>
      <c r="E44" s="15" t="n">
        <v>153</v>
      </c>
      <c r="F44" s="51" t="inlineStr">
        <is>
          <t>View →</t>
        </is>
      </c>
    </row>
    <row r="45">
      <c r="A45" s="15" t="inlineStr">
        <is>
          <t>C44</t>
        </is>
      </c>
      <c r="B45" s="15" t="inlineStr">
        <is>
          <t>services/backend/app/worker.py</t>
        </is>
      </c>
      <c r="C45" s="15" t="inlineStr">
        <is>
          <t>P6</t>
        </is>
      </c>
      <c r="D45" s="15" t="inlineStr">
        <is>
          <t>Worker loop: claim, run, record; SIGTERM-safe; hourly cleanup.</t>
        </is>
      </c>
      <c r="E45" s="15" t="n">
        <v>79</v>
      </c>
      <c r="F45" s="51" t="inlineStr">
        <is>
          <t>View →</t>
        </is>
      </c>
    </row>
    <row r="46">
      <c r="A46" s="15" t="inlineStr">
        <is>
          <t>C45</t>
        </is>
      </c>
      <c r="B46" s="15" t="inlineStr">
        <is>
          <t>services/backend/app/importers/lichess.py</t>
        </is>
      </c>
      <c r="C46" s="15" t="inlineStr">
        <is>
          <t>P7</t>
        </is>
      </c>
      <c r="D46" s="15" t="inlineStr">
        <is>
          <t>Streaming NDJSON export with polite error handling.</t>
        </is>
      </c>
      <c r="E46" s="15" t="n">
        <v>75</v>
      </c>
      <c r="F46" s="51" t="inlineStr">
        <is>
          <t>View →</t>
        </is>
      </c>
    </row>
    <row r="47">
      <c r="A47" s="15" t="inlineStr">
        <is>
          <t>C46</t>
        </is>
      </c>
      <c r="B47" s="15" t="inlineStr">
        <is>
          <t>services/backend/app/api/imports.py</t>
        </is>
      </c>
      <c r="C47" s="15" t="inlineStr">
        <is>
          <t>P7</t>
        </is>
      </c>
      <c r="D47" s="15" t="inlineStr">
        <is>
          <t>Start imports, PGN upload, import progress.</t>
        </is>
      </c>
      <c r="E47" s="15" t="n">
        <v>123</v>
      </c>
      <c r="F47" s="51" t="inlineStr">
        <is>
          <t>View →</t>
        </is>
      </c>
    </row>
    <row r="48">
      <c r="A48" s="15" t="inlineStr">
        <is>
          <t>C47</t>
        </is>
      </c>
      <c r="B48" s="15" t="inlineStr">
        <is>
          <t>apps/web/src/hooks/usePolling.ts</t>
        </is>
      </c>
      <c r="C48" s="15" t="inlineStr">
        <is>
          <t>P7</t>
        </is>
      </c>
      <c r="D48" s="15" t="inlineStr">
        <is>
          <t>Polling with backoff, hidden-tab slowdown and terminal states.</t>
        </is>
      </c>
      <c r="E48" s="15" t="n">
        <v>44</v>
      </c>
      <c r="F48" s="51" t="inlineStr">
        <is>
          <t>View →</t>
        </is>
      </c>
    </row>
    <row r="49">
      <c r="A49" s="15" t="inlineStr">
        <is>
          <t>C48</t>
        </is>
      </c>
      <c r="B49" s="15" t="inlineStr">
        <is>
          <t>apps/web/src/pages/ImportPage.tsx</t>
        </is>
      </c>
      <c r="C49" s="15" t="inlineStr">
        <is>
          <t>P7</t>
        </is>
      </c>
      <c r="D49" s="15" t="inlineStr">
        <is>
          <t>Lichess import with progress/cancel and PGN upload.</t>
        </is>
      </c>
      <c r="E49" s="15" t="n">
        <v>87</v>
      </c>
      <c r="F49" s="51" t="inlineStr">
        <is>
          <t>View →</t>
        </is>
      </c>
    </row>
    <row r="50">
      <c r="A50" s="15" t="inlineStr">
        <is>
          <t>C49</t>
        </is>
      </c>
      <c r="B50" s="15" t="inlineStr">
        <is>
          <t>apps/web/src/pages/GamesPage.tsx</t>
        </is>
      </c>
      <c r="C50" s="15" t="inlineStr">
        <is>
          <t>P7</t>
        </is>
      </c>
      <c r="D50" s="15" t="inlineStr">
        <is>
          <t>List of the guest's games with analysis state.</t>
        </is>
      </c>
      <c r="E50" s="15" t="n">
        <v>33</v>
      </c>
      <c r="F50" s="51" t="inlineStr">
        <is>
          <t>View →</t>
        </is>
      </c>
    </row>
    <row r="51">
      <c r="A51" s="15" t="inlineStr">
        <is>
          <t>C50</t>
        </is>
      </c>
      <c r="B51" s="15" t="inlineStr">
        <is>
          <t>services/backend/app/analysis/material.py</t>
        </is>
      </c>
      <c r="C51" s="15" t="inlineStr">
        <is>
          <t>P8</t>
        </is>
      </c>
      <c r="D51" s="15" t="inlineStr">
        <is>
          <t>Material values and balance.</t>
        </is>
      </c>
      <c r="E51" s="15" t="n">
        <v>20</v>
      </c>
      <c r="F51" s="51" t="inlineStr">
        <is>
          <t>View →</t>
        </is>
      </c>
    </row>
    <row r="52">
      <c r="A52" s="15" t="inlineStr">
        <is>
          <t>C51</t>
        </is>
      </c>
      <c r="B52" s="15" t="inlineStr">
        <is>
          <t>services/backend/app/analysis/forks.py</t>
        </is>
      </c>
      <c r="C52" s="15" t="inlineStr">
        <is>
          <t>P8</t>
        </is>
      </c>
      <c r="D52" s="15" t="inlineStr">
        <is>
          <t>Stage 1: knight-fork candidate generation.</t>
        </is>
      </c>
      <c r="E52" s="15" t="n">
        <v>61</v>
      </c>
      <c r="F52" s="51" t="inlineStr">
        <is>
          <t>View →</t>
        </is>
      </c>
    </row>
    <row r="53">
      <c r="A53" s="15" t="inlineStr">
        <is>
          <t>C52</t>
        </is>
      </c>
      <c r="B53" s="15" t="inlineStr">
        <is>
          <t>services/backend/app/analysis/verify.py</t>
        </is>
      </c>
      <c r="C53" s="15" t="inlineStr">
        <is>
          <t>P8</t>
        </is>
      </c>
      <c r="D53" s="15" t="inlineStr">
        <is>
          <t>Stage 2: engine-verified benefit and missed-opportunity check.</t>
        </is>
      </c>
      <c r="E53" s="15" t="n">
        <v>80</v>
      </c>
      <c r="F53" s="51" t="inlineStr">
        <is>
          <t>View →</t>
        </is>
      </c>
    </row>
    <row r="54">
      <c r="A54" s="15" t="inlineStr">
        <is>
          <t>C53</t>
        </is>
      </c>
      <c r="B54" s="15" t="inlineStr">
        <is>
          <t>services/backend/app/analysis/pipeline.py</t>
        </is>
      </c>
      <c r="C54" s="15" t="inlineStr">
        <is>
          <t>P8</t>
        </is>
      </c>
      <c r="D54" s="15" t="inlineStr">
        <is>
          <t>Walks a game, verifies candidates, dedupes, builds evidence records.</t>
        </is>
      </c>
      <c r="E54" s="15" t="n">
        <v>108</v>
      </c>
      <c r="F54" s="51" t="inlineStr">
        <is>
          <t>View →</t>
        </is>
      </c>
    </row>
    <row r="55">
      <c r="A55" s="15" t="inlineStr">
        <is>
          <t>C54</t>
        </is>
      </c>
      <c r="B55" s="15" t="inlineStr">
        <is>
          <t>services/backend/tests/test_forks.py</t>
        </is>
      </c>
      <c r="C55" s="15" t="inlineStr">
        <is>
          <t>P8</t>
        </is>
      </c>
      <c r="D55" s="15" t="inlineStr">
        <is>
          <t>Positive and negative detector tests with a fake evaluator.</t>
        </is>
      </c>
      <c r="E55" s="15" t="n">
        <v>110</v>
      </c>
      <c r="F55" s="51" t="inlineStr">
        <is>
          <t>View →</t>
        </is>
      </c>
    </row>
    <row r="56">
      <c r="A56" s="15" t="inlineStr">
        <is>
          <t>C55</t>
        </is>
      </c>
      <c r="B56" s="15" t="inlineStr">
        <is>
          <t>services/backend/app/explain/templates.py</t>
        </is>
      </c>
      <c r="C56" s="15" t="inlineStr">
        <is>
          <t>P9</t>
        </is>
      </c>
      <c r="D56" s="15" t="inlineStr">
        <is>
          <t>Deterministic explanation templates.</t>
        </is>
      </c>
      <c r="E56" s="15" t="n">
        <v>54</v>
      </c>
      <c r="F56" s="51" t="inlineStr">
        <is>
          <t>View →</t>
        </is>
      </c>
    </row>
    <row r="57">
      <c r="A57" s="15" t="inlineStr">
        <is>
          <t>C56</t>
        </is>
      </c>
      <c r="B57" s="15" t="inlineStr">
        <is>
          <t>services/backend/app/api/review.py</t>
        </is>
      </c>
      <c r="C57" s="15" t="inlineStr">
        <is>
          <t>P9</t>
        </is>
      </c>
      <c r="D57" s="15" t="inlineStr">
        <is>
          <t>Private review endpoint and public precomputed demo.</t>
        </is>
      </c>
      <c r="E57" s="15" t="n">
        <v>79</v>
      </c>
      <c r="F57" s="51" t="inlineStr">
        <is>
          <t>View →</t>
        </is>
      </c>
    </row>
    <row r="58">
      <c r="A58" s="15" t="inlineStr">
        <is>
          <t>C57</t>
        </is>
      </c>
      <c r="B58" s="15" t="inlineStr">
        <is>
          <t>apps/web/src/components/ReviewView.tsx</t>
        </is>
      </c>
      <c r="C58" s="15" t="inlineStr">
        <is>
          <t>P9</t>
        </is>
      </c>
      <c r="D58" s="15" t="inlineStr">
        <is>
          <t>Board with arrows, findings, line stepping, practice button.</t>
        </is>
      </c>
      <c r="E58" s="15" t="n">
        <v>98</v>
      </c>
      <c r="F58" s="51" t="inlineStr">
        <is>
          <t>View →</t>
        </is>
      </c>
    </row>
    <row r="59">
      <c r="A59" s="15" t="inlineStr">
        <is>
          <t>C58</t>
        </is>
      </c>
      <c r="B59" s="15" t="inlineStr">
        <is>
          <t>apps/web/src/pages/ReviewPage.tsx</t>
        </is>
      </c>
      <c r="C59" s="15" t="inlineStr">
        <is>
          <t>P9</t>
        </is>
      </c>
      <c r="D59" s="15" t="inlineStr">
        <is>
          <t>Polls analysis until final, then shows the review.</t>
        </is>
      </c>
      <c r="E59" s="15" t="n">
        <v>31</v>
      </c>
      <c r="F59" s="51" t="inlineStr">
        <is>
          <t>View →</t>
        </is>
      </c>
    </row>
    <row r="60">
      <c r="A60" s="15" t="inlineStr">
        <is>
          <t>C59</t>
        </is>
      </c>
      <c r="B60" s="15" t="inlineStr">
        <is>
          <t>apps/web/src/pages/DemoPage.tsx</t>
        </is>
      </c>
      <c r="C60" s="15" t="inlineStr">
        <is>
          <t>P9</t>
        </is>
      </c>
      <c r="D60" s="15" t="inlineStr">
        <is>
          <t>Public sample review, no token needed.</t>
        </is>
      </c>
      <c r="E60" s="15" t="n">
        <v>25</v>
      </c>
      <c r="F60" s="51" t="inlineStr">
        <is>
          <t>View →</t>
        </is>
      </c>
    </row>
    <row r="61">
      <c r="A61" s="15" t="inlineStr">
        <is>
          <t>C60</t>
        </is>
      </c>
      <c r="B61" s="15" t="inlineStr">
        <is>
          <t>services/backend/app/make_demo.py</t>
        </is>
      </c>
      <c r="C61" s="15" t="inlineStr">
        <is>
          <t>P9</t>
        </is>
      </c>
      <c r="D61" s="15" t="inlineStr">
        <is>
          <t>Freezes one real analysis into data/demo_review.json.</t>
        </is>
      </c>
      <c r="E61" s="15" t="n">
        <v>35</v>
      </c>
      <c r="F61" s="51" t="inlineStr">
        <is>
          <t>View →</t>
        </is>
      </c>
    </row>
    <row r="62">
      <c r="A62" s="15" t="inlineStr">
        <is>
          <t>C61</t>
        </is>
      </c>
      <c r="B62" s="15" t="inlineStr">
        <is>
          <t>evaluation/prepare_puzzles.py</t>
        </is>
      </c>
      <c r="C62" s="15" t="inlineStr">
        <is>
          <t>P10</t>
        </is>
      </c>
      <c r="D62" s="15" t="inlineStr">
        <is>
          <t>Builds the validated, versioned puzzle subset and manifest.</t>
        </is>
      </c>
      <c r="E62" s="15" t="n">
        <v>134</v>
      </c>
      <c r="F62" s="51" t="inlineStr">
        <is>
          <t>View →</t>
        </is>
      </c>
    </row>
    <row r="63">
      <c r="A63" s="15" t="inlineStr">
        <is>
          <t>C62</t>
        </is>
      </c>
      <c r="B63" s="15" t="inlineStr">
        <is>
          <t>services/backend/app/seed.py</t>
        </is>
      </c>
      <c r="C63" s="15" t="inlineStr">
        <is>
          <t>P10</t>
        </is>
      </c>
      <c r="D63" s="15" t="inlineStr">
        <is>
          <t>Idempotent puzzle loader.</t>
        </is>
      </c>
      <c r="E63" s="15" t="n">
        <v>48</v>
      </c>
      <c r="F63" s="51" t="inlineStr">
        <is>
          <t>View →</t>
        </is>
      </c>
    </row>
    <row r="64">
      <c r="A64" s="15" t="inlineStr">
        <is>
          <t>C63</t>
        </is>
      </c>
      <c r="B64" s="15" t="inlineStr">
        <is>
          <t>services/backend/app/practice/grading.py</t>
        </is>
      </c>
      <c r="C64" s="15" t="inlineStr">
        <is>
          <t>P10</t>
        </is>
      </c>
      <c r="D64" s="15" t="inlineStr">
        <is>
          <t>Server-side multi-move grading and graduated hints.</t>
        </is>
      </c>
      <c r="E64" s="15" t="n">
        <v>69</v>
      </c>
      <c r="F64" s="51" t="inlineStr">
        <is>
          <t>View →</t>
        </is>
      </c>
    </row>
    <row r="65">
      <c r="A65" s="15" t="inlineStr">
        <is>
          <t>C64</t>
        </is>
      </c>
      <c r="B65" s="15" t="inlineStr">
        <is>
          <t>services/backend/tests/test_grading.py</t>
        </is>
      </c>
      <c r="C65" s="15" t="inlineStr">
        <is>
          <t>P10</t>
        </is>
      </c>
      <c r="D65" s="15" t="inlineStr">
        <is>
          <t>Grading tests incl. alternative checkmates.</t>
        </is>
      </c>
      <c r="E65" s="15" t="n">
        <v>46</v>
      </c>
      <c r="F65" s="51" t="inlineStr">
        <is>
          <t>View →</t>
        </is>
      </c>
    </row>
    <row r="66">
      <c r="A66" s="15" t="inlineStr">
        <is>
          <t>C65</t>
        </is>
      </c>
      <c r="B66" s="15" t="inlineStr">
        <is>
          <t>services/backend/app/api/practice.py</t>
        </is>
      </c>
      <c r="C66" s="15" t="inlineStr">
        <is>
          <t>P10</t>
        </is>
      </c>
      <c r="D66" s="15" t="inlineStr">
        <is>
          <t>Practice sessions: start, move, hint, give up; one rating update.</t>
        </is>
      </c>
      <c r="E66" s="15" t="n">
        <v>160</v>
      </c>
      <c r="F66" s="51" t="inlineStr">
        <is>
          <t>View →</t>
        </is>
      </c>
    </row>
    <row r="67">
      <c r="A67" s="15" t="inlineStr">
        <is>
          <t>C66</t>
        </is>
      </c>
      <c r="B67" s="15" t="inlineStr">
        <is>
          <t>apps/web/src/pages/PracticePage.tsx</t>
        </is>
      </c>
      <c r="C67" s="15" t="inlineStr">
        <is>
          <t>P10</t>
        </is>
      </c>
      <c r="D67" s="15" t="inlineStr">
        <is>
          <t>Exercise board with hints, solution and next exercise.</t>
        </is>
      </c>
      <c r="E67" s="15" t="n">
        <v>113</v>
      </c>
      <c r="F67" s="51" t="inlineStr">
        <is>
          <t>View →</t>
        </is>
      </c>
    </row>
    <row r="68">
      <c r="A68" s="15" t="inlineStr">
        <is>
          <t>C67</t>
        </is>
      </c>
      <c r="B68" s="15" t="inlineStr">
        <is>
          <t>apps/web/e2e/fullstack.spec.ts</t>
        </is>
      </c>
      <c r="C68" s="15" t="inlineStr">
        <is>
          <t>P10</t>
        </is>
      </c>
      <c r="D68" s="15" t="inlineStr">
        <is>
          <t>E2E: play, resign, review, practice, progress, demo.</t>
        </is>
      </c>
      <c r="E68" s="15" t="n">
        <v>30</v>
      </c>
      <c r="F68" s="51" t="inlineStr">
        <is>
          <t>View →</t>
        </is>
      </c>
    </row>
    <row r="69">
      <c r="A69" s="15" t="inlineStr">
        <is>
          <t>C68</t>
        </is>
      </c>
      <c r="B69" s="15" t="inlineStr">
        <is>
          <t>services/backend/app/learning/elo.py</t>
        </is>
      </c>
      <c r="C69" s="15" t="inlineStr">
        <is>
          <t>P11</t>
        </is>
      </c>
      <c r="D69" s="15" t="inlineStr">
        <is>
          <t>Elo expected score, K schedule, update, target difficulty.</t>
        </is>
      </c>
      <c r="E69" s="15" t="n">
        <v>31</v>
      </c>
      <c r="F69" s="51" t="inlineStr">
        <is>
          <t>View →</t>
        </is>
      </c>
    </row>
    <row r="70">
      <c r="A70" s="15" t="inlineStr">
        <is>
          <t>C69</t>
        </is>
      </c>
      <c r="B70" s="15" t="inlineStr">
        <is>
          <t>services/backend/app/learning/selector.py</t>
        </is>
      </c>
      <c r="C70" s="15" t="inlineStr">
        <is>
          <t>P11</t>
        </is>
      </c>
      <c r="D70" s="15" t="inlineStr">
        <is>
          <t>Race-safe ratings and adaptive puzzle selection.</t>
        </is>
      </c>
      <c r="E70" s="15" t="n">
        <v>56</v>
      </c>
      <c r="F70" s="51" t="inlineStr">
        <is>
          <t>View →</t>
        </is>
      </c>
    </row>
    <row r="71">
      <c r="A71" s="15" t="inlineStr">
        <is>
          <t>C70</t>
        </is>
      </c>
      <c r="B71" s="15" t="inlineStr">
        <is>
          <t>services/backend/app/api/progress.py</t>
        </is>
      </c>
      <c r="C71" s="15" t="inlineStr">
        <is>
          <t>P11</t>
        </is>
      </c>
      <c r="D71" s="15" t="inlineStr">
        <is>
          <t>Progress separated into practice, assessment and real games.</t>
        </is>
      </c>
      <c r="E71" s="15" t="n">
        <v>81</v>
      </c>
      <c r="F71" s="51" t="inlineStr">
        <is>
          <t>View →</t>
        </is>
      </c>
    </row>
    <row r="72">
      <c r="A72" s="15" t="inlineStr">
        <is>
          <t>C71</t>
        </is>
      </c>
      <c r="B72" s="15" t="inlineStr">
        <is>
          <t>apps/web/src/pages/ProgressPage.tsx</t>
        </is>
      </c>
      <c r="C72" s="15" t="inlineStr">
        <is>
          <t>P11</t>
        </is>
      </c>
      <c r="D72" s="15" t="inlineStr">
        <is>
          <t>Honest progress view with sample-size warnings.</t>
        </is>
      </c>
      <c r="E72" s="15" t="n">
        <v>45</v>
      </c>
      <c r="F72" s="51" t="inlineStr">
        <is>
          <t>View →</t>
        </is>
      </c>
    </row>
    <row r="73">
      <c r="A73" s="15" t="inlineStr">
        <is>
          <t>C72</t>
        </is>
      </c>
      <c r="B73" s="15" t="inlineStr">
        <is>
          <t>services/backend/tests/test_learning_and_pgn.py</t>
        </is>
      </c>
      <c r="C73" s="15" t="inlineStr">
        <is>
          <t>P11</t>
        </is>
      </c>
      <c r="D73" s="15" t="inlineStr">
        <is>
          <t>Elo, template label and PGN tests.</t>
        </is>
      </c>
      <c r="E73" s="15" t="n">
        <v>60</v>
      </c>
      <c r="F73" s="51" t="inlineStr">
        <is>
          <t>View →</t>
        </is>
      </c>
    </row>
    <row r="74">
      <c r="A74" s="15" t="inlineStr">
        <is>
          <t>C73</t>
        </is>
      </c>
      <c r="B74" s="15" t="inlineStr">
        <is>
          <t>services/backend/tests/test_api.py</t>
        </is>
      </c>
      <c r="C74" s="15" t="inlineStr">
        <is>
          <t>P6</t>
        </is>
      </c>
      <c r="D74" s="15" t="inlineStr">
        <is>
          <t>Postgres integration tests: ownership, idempotency, queue, practice, deletion.</t>
        </is>
      </c>
      <c r="E74" s="15" t="n">
        <v>115</v>
      </c>
      <c r="F74" s="51" t="inlineStr">
        <is>
          <t>View →</t>
        </is>
      </c>
    </row>
    <row r="75">
      <c r="A75" s="15" t="inlineStr">
        <is>
          <t>C74</t>
        </is>
      </c>
      <c r="B75" s="15" t="inlineStr">
        <is>
          <t>evaluation/metrics.py</t>
        </is>
      </c>
      <c r="C75" s="15" t="inlineStr">
        <is>
          <t>P12</t>
        </is>
      </c>
      <c r="D75" s="15" t="inlineStr">
        <is>
          <t>Confusion matrix, Wilson interval, Brier, log loss, calibration.</t>
        </is>
      </c>
      <c r="E75" s="15" t="n">
        <v>83</v>
      </c>
      <c r="F75" s="51" t="inlineStr">
        <is>
          <t>View →</t>
        </is>
      </c>
    </row>
    <row r="76">
      <c r="A76" s="15" t="inlineStr">
        <is>
          <t>C75</t>
        </is>
      </c>
      <c r="B76" s="15" t="inlineStr">
        <is>
          <t>evaluation/test_metrics.py</t>
        </is>
      </c>
      <c r="C76" s="15" t="inlineStr">
        <is>
          <t>P12</t>
        </is>
      </c>
      <c r="D76" s="15" t="inlineStr">
        <is>
          <t>Metric unit tests.</t>
        </is>
      </c>
      <c r="E76" s="15" t="n">
        <v>25</v>
      </c>
      <c r="F76" s="51" t="inlineStr">
        <is>
          <t>View →</t>
        </is>
      </c>
    </row>
    <row r="77">
      <c r="A77" s="15" t="inlineStr">
        <is>
          <t>C76</t>
        </is>
      </c>
      <c r="B77" s="15" t="inlineStr">
        <is>
          <t>evaluation/run_eval.py</t>
        </is>
      </c>
      <c r="C77" s="15" t="inlineStr">
        <is>
          <t>P12</t>
        </is>
      </c>
      <c r="D77" s="15" t="inlineStr">
        <is>
          <t>Versioned evaluation runs: real-game labels and puzzle agreement.</t>
        </is>
      </c>
      <c r="E77" s="15" t="n">
        <v>84</v>
      </c>
      <c r="F77" s="51" t="inlineStr">
        <is>
          <t>View →</t>
        </is>
      </c>
    </row>
    <row r="78">
      <c r="A78" s="15" t="inlineStr">
        <is>
          <t>C77</t>
        </is>
      </c>
      <c r="B78" s="15" t="inlineStr">
        <is>
          <t>evaluation/labels/real_positions_TEMPLATE.csv</t>
        </is>
      </c>
      <c r="C78" s="15" t="inlineStr">
        <is>
          <t>P12</t>
        </is>
      </c>
      <c r="D78" s="15" t="inlineStr">
        <is>
          <t>Column layout for hand-labelled positions.</t>
        </is>
      </c>
      <c r="E78" s="15" t="n">
        <v>2</v>
      </c>
      <c r="F78" s="51" t="inlineStr">
        <is>
          <t>View →</t>
        </is>
      </c>
    </row>
    <row r="79">
      <c r="A79" s="15" t="inlineStr">
        <is>
          <t>C78</t>
        </is>
      </c>
      <c r="B79" s="15" t="inlineStr">
        <is>
          <t>services/backend/app/api/me.py</t>
        </is>
      </c>
      <c r="C79" s="15" t="inlineStr">
        <is>
          <t>P13</t>
        </is>
      </c>
      <c r="D79" s="15" t="inlineStr">
        <is>
          <t>Delete my data.</t>
        </is>
      </c>
      <c r="E79" s="15" t="n">
        <v>19</v>
      </c>
      <c r="F79" s="51" t="inlineStr">
        <is>
          <t>View →</t>
        </is>
      </c>
    </row>
    <row r="80">
      <c r="A80" s="15" t="inlineStr">
        <is>
          <t>C79</t>
        </is>
      </c>
      <c r="B80" s="15" t="inlineStr">
        <is>
          <t>services/backend/app/cleanup.py</t>
        </is>
      </c>
      <c r="C80" s="15" t="inlineStr">
        <is>
          <t>P13</t>
        </is>
      </c>
      <c r="D80" s="15" t="inlineStr">
        <is>
          <t>Retention: expired guests and abandoned exercises.</t>
        </is>
      </c>
      <c r="E80" s="15" t="n">
        <v>34</v>
      </c>
      <c r="F80" s="51" t="inlineStr">
        <is>
          <t>View →</t>
        </is>
      </c>
    </row>
    <row r="81">
      <c r="A81" s="15" t="inlineStr">
        <is>
          <t>C80</t>
        </is>
      </c>
      <c r="B81" s="15" t="inlineStr">
        <is>
          <t>ops/queue_stats.sql</t>
        </is>
      </c>
      <c r="C81" s="15" t="inlineStr">
        <is>
          <t>P13</t>
        </is>
      </c>
      <c r="D81" s="15" t="inlineStr">
        <is>
          <t>Queue health queries.</t>
        </is>
      </c>
      <c r="E81" s="15" t="n">
        <v>24</v>
      </c>
      <c r="F81" s="51" t="inlineStr">
        <is>
          <t>View →</t>
        </is>
      </c>
    </row>
    <row r="82">
      <c r="A82" s="15" t="inlineStr">
        <is>
          <t>C81</t>
        </is>
      </c>
      <c r="B82" s="15" t="inlineStr">
        <is>
          <t>apps/web/src/pages/MethodologyPage.tsx</t>
        </is>
      </c>
      <c r="C82" s="15" t="inlineStr">
        <is>
          <t>P14</t>
        </is>
      </c>
      <c r="D82" s="15" t="inlineStr">
        <is>
          <t>Public methodology, limitations, licences, data use.</t>
        </is>
      </c>
      <c r="E82" s="15" t="n">
        <v>40</v>
      </c>
      <c r="F82" s="51" t="inlineStr">
        <is>
          <t>View →</t>
        </is>
      </c>
    </row>
    <row r="83">
      <c r="A83" s="15" t="inlineStr">
        <is>
          <t>C82</t>
        </is>
      </c>
      <c r="B83" s="15" t="inlineStr">
        <is>
          <t>docs/README_TEMPLATE.md</t>
        </is>
      </c>
      <c r="C83" s="15" t="inlineStr">
        <is>
          <t>P14</t>
        </is>
      </c>
      <c r="D83" s="15" t="inlineStr">
        <is>
          <t>Recruiter-facing README skeleton.</t>
        </is>
      </c>
      <c r="E83" s="15" t="n">
        <v>45</v>
      </c>
      <c r="F83" s="51" t="inlineStr">
        <is>
          <t>View →</t>
        </is>
      </c>
    </row>
    <row r="84">
      <c r="A84" s="15" t="inlineStr">
        <is>
          <t>C83</t>
        </is>
      </c>
      <c r="B84" s="15" t="inlineStr">
        <is>
          <t>docs/THIRD_PARTY_NOTICES_TEMPLATE.md</t>
        </is>
      </c>
      <c r="C84" s="15" t="inlineStr">
        <is>
          <t>P1</t>
        </is>
      </c>
      <c r="D84" s="15" t="inlineStr">
        <is>
          <t>Licence inventory skeleton.</t>
        </is>
      </c>
      <c r="E84" s="15" t="n">
        <v>14</v>
      </c>
      <c r="F84" s="51" t="inlineStr">
        <is>
          <t>View →</t>
        </is>
      </c>
    </row>
    <row r="85">
      <c r="A85" s="15" t="inlineStr">
        <is>
          <t>C84</t>
        </is>
      </c>
      <c r="B85" s="15" t="inlineStr">
        <is>
          <t>docs/OPERATIONS_TEMPLATE.md</t>
        </is>
      </c>
      <c r="C85" s="15" t="inlineStr">
        <is>
          <t>P5</t>
        </is>
      </c>
      <c r="D85" s="15" t="inlineStr">
        <is>
          <t>Runbook skeleton.</t>
        </is>
      </c>
      <c r="E85" s="15" t="n">
        <v>35</v>
      </c>
      <c r="F85" s="51" t="inlineStr">
        <is>
          <t>View →</t>
        </is>
      </c>
    </row>
    <row r="86">
      <c r="A86" s="15" t="inlineStr">
        <is>
          <t>C85</t>
        </is>
      </c>
      <c r="B86" s="15" t="inlineStr">
        <is>
          <t>docs/decisions/0001-template.md</t>
        </is>
      </c>
      <c r="C86" s="15" t="inlineStr">
        <is>
          <t>P14</t>
        </is>
      </c>
      <c r="D86" s="15" t="inlineStr">
        <is>
          <t>Architecture decision record template.</t>
        </is>
      </c>
      <c r="E86" s="15" t="n">
        <v>16</v>
      </c>
      <c r="F86" s="51" t="inlineStr">
        <is>
          <t>View →</t>
        </is>
      </c>
    </row>
    <row r="87">
      <c r="A87" s="15" t="inlineStr">
        <is>
          <t>C86</t>
        </is>
      </c>
      <c r="B87" s="15" t="inlineStr">
        <is>
          <t>services/backend/app/importers/chesscom.py</t>
        </is>
      </c>
      <c r="C87" s="15" t="inlineStr">
        <is>
          <t>S1</t>
        </is>
      </c>
      <c r="D87" s="15" t="inlineStr">
        <is>
          <t>Chess.com monthly-archive importer.</t>
        </is>
      </c>
      <c r="E87" s="15" t="n">
        <v>65</v>
      </c>
      <c r="F87" s="51" t="inlineStr">
        <is>
          <t>View →</t>
        </is>
      </c>
    </row>
    <row r="88">
      <c r="A88" s="15" t="inlineStr">
        <is>
          <t>C87</t>
        </is>
      </c>
      <c r="B88" s="15" t="inlineStr">
        <is>
          <t>services/backend/app/analysis/hanging.py</t>
        </is>
      </c>
      <c r="C88" s="15" t="inlineStr">
        <is>
          <t>S2</t>
        </is>
      </c>
      <c r="D88" s="15" t="inlineStr">
        <is>
          <t>Hanging-piece detector (left a piece capturable).</t>
        </is>
      </c>
      <c r="E88" s="15" t="n">
        <v>60</v>
      </c>
      <c r="F88" s="51" t="inlineStr">
        <is>
          <t>View →</t>
        </is>
      </c>
    </row>
    <row r="89">
      <c r="A89" s="15" t="inlineStr">
        <is>
          <t>C88</t>
        </is>
      </c>
      <c r="B89" s="15" t="inlineStr">
        <is>
          <t>services/backend/app/explain/llm.py</t>
        </is>
      </c>
      <c r="C89" s="15" t="inlineStr">
        <is>
          <t>S3</t>
        </is>
      </c>
      <c r="D89" s="15" t="inlineStr">
        <is>
          <t>Optional Claude rewording with guards and template fallback.</t>
        </is>
      </c>
      <c r="E89" s="15" t="n">
        <v>76</v>
      </c>
      <c r="F89" s="51" t="inlineStr">
        <is>
          <t>View →</t>
        </is>
      </c>
    </row>
    <row r="90">
      <c r="A90" s="15" t="inlineStr">
        <is>
          <t>C89</t>
        </is>
      </c>
      <c r="B90" s="15" t="inlineStr">
        <is>
          <t>services/backend/tests/test_stretch.py</t>
        </is>
      </c>
      <c r="C90" s="15" t="inlineStr">
        <is>
          <t>S2</t>
        </is>
      </c>
      <c r="D90" s="15" t="inlineStr">
        <is>
          <t>Tests for the hanging detector and LLM guards.</t>
        </is>
      </c>
      <c r="E90" s="15" t="n">
        <v>42</v>
      </c>
      <c r="F90" s="51" t="inlineStr">
        <is>
          <t>View →</t>
        </is>
      </c>
    </row>
    <row r="91">
      <c r="A91" s="15" t="inlineStr">
        <is>
          <t>C90</t>
        </is>
      </c>
      <c r="B91" s="15" t="inlineStr">
        <is>
          <t>evaluation/bench_positions.txt</t>
        </is>
      </c>
      <c r="C91" s="15" t="inlineStr">
        <is>
          <t>S4</t>
        </is>
      </c>
      <c r="D91" s="15" t="inlineStr">
        <is>
          <t>Fixed benchmark positions.</t>
        </is>
      </c>
      <c r="E91" s="15" t="n">
        <v>5</v>
      </c>
      <c r="F91" s="51" t="inlineStr">
        <is>
          <t>View →</t>
        </is>
      </c>
    </row>
    <row r="92">
      <c r="A92" s="15" t="inlineStr">
        <is>
          <t>C91</t>
        </is>
      </c>
      <c r="B92" s="15" t="inlineStr">
        <is>
          <t>evaluation/legacy_bench.mjs</t>
        </is>
      </c>
      <c r="C92" s="15" t="inlineStr">
        <is>
          <t>S4</t>
        </is>
      </c>
      <c r="D92" s="15" t="inlineStr">
        <is>
          <t>Runs your original engine in Node on the benchmark.</t>
        </is>
      </c>
      <c r="E92" s="15" t="n">
        <v>27</v>
      </c>
      <c r="F92" s="51" t="inlineStr">
        <is>
          <t>View →</t>
        </is>
      </c>
    </row>
    <row r="93">
      <c r="A93" s="15" t="inlineStr">
        <is>
          <t>C92</t>
        </is>
      </c>
      <c r="B93" s="15" t="inlineStr">
        <is>
          <t>evaluation/score_bench.py</t>
        </is>
      </c>
      <c r="C93" s="15" t="inlineStr">
        <is>
          <t>S4</t>
        </is>
      </c>
      <c r="D93" s="15" t="inlineStr">
        <is>
          <t>Scores engine moves with a stronger Stockfish reference.</t>
        </is>
      </c>
      <c r="E93" s="15" t="n">
        <v>44</v>
      </c>
      <c r="F93" s="51" t="inlineStr">
        <is>
          <t>View →</t>
        </is>
      </c>
    </row>
    <row r="94">
      <c r="A94" s="15" t="inlineStr">
        <is>
          <t>C93</t>
        </is>
      </c>
      <c r="B94" s="15" t="inlineStr">
        <is>
          <t>evaluation/compare_models.py</t>
        </is>
      </c>
      <c r="C94" s="15" t="inlineStr">
        <is>
          <t>S6</t>
        </is>
      </c>
      <c r="D94" s="15" t="inlineStr">
        <is>
          <t>Constant vs Elo vs logistic regression on held-out attempts.</t>
        </is>
      </c>
      <c r="E94" s="15" t="n">
        <v>61</v>
      </c>
      <c r="F94" s="51" t="inlineStr">
        <is>
          <t>View →</t>
        </is>
      </c>
    </row>
  </sheetData>
  <autoFilter ref="A1:F94"/>
  <hyperlinks>
    <hyperlink ref="F2" location="'Code'!A3" display="View →"/>
    <hyperlink ref="F3" location="'Code'!A28" display="View →"/>
    <hyperlink ref="F4" location="'Code'!A81" display="View →"/>
    <hyperlink ref="F5" location="'Code'!A115" display="View →"/>
    <hyperlink ref="F6" location="'Code'!A138" display="View →"/>
    <hyperlink ref="F7" location="'Code'!A201" display="View →"/>
    <hyperlink ref="F8" location="'Code'!A232" display="View →"/>
    <hyperlink ref="F9" location="'Code'!A456" display="View →"/>
    <hyperlink ref="F10" location="'Code'!A473" display="View →"/>
    <hyperlink ref="F11" location="'Code'!A516" display="View →"/>
    <hyperlink ref="F12" location="'Code'!A567" display="View →"/>
    <hyperlink ref="F13" location="'Code'!A608" display="View →"/>
    <hyperlink ref="F14" location="'Code'!A652" display="View →"/>
    <hyperlink ref="F15" location="'Code'!A700" display="View →"/>
    <hyperlink ref="F16" location="'Code'!A778" display="View →"/>
    <hyperlink ref="F17" location="'Code'!A784" display="View →"/>
    <hyperlink ref="F18" location="'Code'!A797" display="View →"/>
    <hyperlink ref="F19" location="'Code'!A811" display="View →"/>
    <hyperlink ref="F20" location="'Code'!A862" display="View →"/>
    <hyperlink ref="F21" location="'Code'!A949" display="View →"/>
    <hyperlink ref="F22" location="'Code'!A1033" display="View →"/>
    <hyperlink ref="F23" location="'Code'!A1155" display="View →"/>
    <hyperlink ref="F24" location="'Code'!A1217" display="View →"/>
    <hyperlink ref="F25" location="'Code'!A1250" display="View →"/>
    <hyperlink ref="F26" location="'Code'!A1336" display="View →"/>
    <hyperlink ref="F27" location="'Code'!A1365" display="View →"/>
    <hyperlink ref="F28" location="'Code'!A1394" display="View →"/>
    <hyperlink ref="F29" location="'Code'!A1503" display="View →"/>
    <hyperlink ref="F30" location="'Code'!A1538" display="View →"/>
    <hyperlink ref="F31" location="'Code'!A1569" display="View →"/>
    <hyperlink ref="F32" location="'Code'!A1737" display="View →"/>
    <hyperlink ref="F33" location="'Code'!A1749" display="View →"/>
    <hyperlink ref="F34" location="'Code'!A1778" display="View →"/>
    <hyperlink ref="F35" location="'Code'!A1808" display="View →"/>
    <hyperlink ref="F36" location="'Code'!A1819" display="View →"/>
    <hyperlink ref="F37" location="'Code'!A1864" display="View →"/>
    <hyperlink ref="F38" location="'Code'!A1881" display="View →"/>
    <hyperlink ref="F39" location="'Code'!A1932" display="View →"/>
    <hyperlink ref="F40" location="'Code'!A2035" display="View →"/>
    <hyperlink ref="F41" location="'Code'!A2227" display="View →"/>
    <hyperlink ref="F42" location="'Code'!A2351" display="View →"/>
    <hyperlink ref="F43" location="'Code'!A2401" display="View →"/>
    <hyperlink ref="F44" location="'Code'!A2473" display="View →"/>
    <hyperlink ref="F45" location="'Code'!A2630" display="View →"/>
    <hyperlink ref="F46" location="'Code'!A2713" display="View →"/>
    <hyperlink ref="F47" location="'Code'!A2792" display="View →"/>
    <hyperlink ref="F48" location="'Code'!A2919" display="View →"/>
    <hyperlink ref="F49" location="'Code'!A2967" display="View →"/>
    <hyperlink ref="F50" location="'Code'!A3058" display="View →"/>
    <hyperlink ref="F51" location="'Code'!A3095" display="View →"/>
    <hyperlink ref="F52" location="'Code'!A3119" display="View →"/>
    <hyperlink ref="F53" location="'Code'!A3184" display="View →"/>
    <hyperlink ref="F54" location="'Code'!A3268" display="View →"/>
    <hyperlink ref="F55" location="'Code'!A3380" display="View →"/>
    <hyperlink ref="F56" location="'Code'!A3494" display="View →"/>
    <hyperlink ref="F57" location="'Code'!A3552" display="View →"/>
    <hyperlink ref="F58" location="'Code'!A3635" display="View →"/>
    <hyperlink ref="F59" location="'Code'!A3737" display="View →"/>
    <hyperlink ref="F60" location="'Code'!A3772" display="View →"/>
    <hyperlink ref="F61" location="'Code'!A3801" display="View →"/>
    <hyperlink ref="F62" location="'Code'!A3840" display="View →"/>
    <hyperlink ref="F63" location="'Code'!A3978" display="View →"/>
    <hyperlink ref="F64" location="'Code'!A4030" display="View →"/>
    <hyperlink ref="F65" location="'Code'!A4103" display="View →"/>
    <hyperlink ref="F66" location="'Code'!A4153" display="View →"/>
    <hyperlink ref="F67" location="'Code'!A4317" display="View →"/>
    <hyperlink ref="F68" location="'Code'!A4434" display="View →"/>
    <hyperlink ref="F69" location="'Code'!A4468" display="View →"/>
    <hyperlink ref="F70" location="'Code'!A4503" display="View →"/>
    <hyperlink ref="F71" location="'Code'!A4563" display="View →"/>
    <hyperlink ref="F72" location="'Code'!A4648" display="View →"/>
    <hyperlink ref="F73" location="'Code'!A4697" display="View →"/>
    <hyperlink ref="F74" location="'Code'!A4761" display="View →"/>
    <hyperlink ref="F75" location="'Code'!A4880" display="View →"/>
    <hyperlink ref="F76" location="'Code'!A4967" display="View →"/>
    <hyperlink ref="F77" location="'Code'!A4996" display="View →"/>
    <hyperlink ref="F78" location="'Code'!A5084" display="View →"/>
    <hyperlink ref="F79" location="'Code'!A5090" display="View →"/>
    <hyperlink ref="F80" location="'Code'!A5113" display="View →"/>
    <hyperlink ref="F81" location="'Code'!A5151" display="View →"/>
    <hyperlink ref="F82" location="'Code'!A5179" display="View →"/>
    <hyperlink ref="F83" location="'Code'!A5223" display="View →"/>
    <hyperlink ref="F84" location="'Code'!A5272" display="View →"/>
    <hyperlink ref="F85" location="'Code'!A5290" display="View →"/>
    <hyperlink ref="F86" location="'Code'!A5329" display="View →"/>
    <hyperlink ref="F87" location="'Code'!A5349" display="View →"/>
    <hyperlink ref="F88" location="'Code'!A5418" display="View →"/>
    <hyperlink ref="F89" location="'Code'!A5482" display="View →"/>
    <hyperlink ref="F90" location="'Code'!A5562" display="View →"/>
    <hyperlink ref="F91" location="'Code'!A5608" display="View →"/>
    <hyperlink ref="F92" location="'Code'!A5617" display="View →"/>
    <hyperlink ref="F93" location="'Code'!A5648" display="View →"/>
    <hyperlink ref="F94" location="'Code'!A5696" display="View →"/>
  </hyperlinks>
  <pageMargins left="0.75" right="0.75" top="1" bottom="1" header="0.5" footer="0.5"/>
</worksheet>
</file>

<file path=xl/worksheets/sheet7.xml><?xml version="1.0" encoding="utf-8"?>
<worksheet xmlns="http://schemas.openxmlformats.org/spreadsheetml/2006/main">
  <sheetPr>
    <tabColor rgb="007030A0"/>
    <outlinePr summaryBelow="1" summaryRight="1"/>
    <pageSetUpPr/>
  </sheetPr>
  <dimension ref="A1:B5758"/>
  <sheetViews>
    <sheetView showGridLines="0" workbookViewId="0">
      <pane ySplit="1" topLeftCell="A2" activePane="bottomLeft" state="frozen"/>
      <selection pane="bottomLeft" activeCell="A1" sqref="A1"/>
    </sheetView>
  </sheetViews>
  <sheetFormatPr baseColWidth="8" defaultRowHeight="15"/>
  <cols>
    <col width="7" customWidth="1" min="1" max="1"/>
    <col width="150" customWidth="1" min="2" max="2"/>
  </cols>
  <sheetData>
    <row r="1">
      <c r="A1" s="35" t="inlineStr">
        <is>
          <t>Code library: every file below was written for this plan and (except deployment-only files) run and tested. Copy each file to the path shown in its header. Line numbers are for reference only; do not copy them.</t>
        </is>
      </c>
    </row>
    <row r="3">
      <c r="A3" s="60" t="inlineStr">
        <is>
          <t>C01</t>
        </is>
      </c>
      <c r="B3" s="60" t="inlineStr">
        <is>
          <t>.gitignore   ·   Phase G0   ·   Keeps Office lock files, dependencies, caches, secrets and large data out of Git.</t>
        </is>
      </c>
    </row>
    <row r="4">
      <c r="B4" s="55" t="inlineStr">
        <is>
          <t>↑ back to Code Index</t>
        </is>
      </c>
    </row>
    <row r="5">
      <c r="A5" s="61" t="n">
        <v>1</v>
      </c>
      <c r="B5" s="62" t="inlineStr">
        <is>
          <t># Python</t>
        </is>
      </c>
    </row>
    <row r="6">
      <c r="A6" s="61" t="n">
        <v>2</v>
      </c>
      <c r="B6" s="62" t="inlineStr">
        <is>
          <t>__pycache__/</t>
        </is>
      </c>
    </row>
    <row r="7">
      <c r="A7" s="61" t="n">
        <v>3</v>
      </c>
      <c r="B7" s="62" t="inlineStr">
        <is>
          <t>*.pyc</t>
        </is>
      </c>
    </row>
    <row r="8">
      <c r="A8" s="61" t="n">
        <v>4</v>
      </c>
      <c r="B8" s="62" t="inlineStr">
        <is>
          <t>.venv/</t>
        </is>
      </c>
    </row>
    <row r="9">
      <c r="A9" s="61" t="n">
        <v>5</v>
      </c>
      <c r="B9" s="62" t="inlineStr">
        <is>
          <t>.pytest_cache/</t>
        </is>
      </c>
    </row>
    <row r="10">
      <c r="A10" s="61" t="n">
        <v>6</v>
      </c>
      <c r="B10" s="62" t="inlineStr">
        <is>
          <t>.ruff_cache/</t>
        </is>
      </c>
    </row>
    <row r="11">
      <c r="A11" s="61" t="n">
        <v>7</v>
      </c>
      <c r="B11" s="62" t="inlineStr">
        <is>
          <t># Node</t>
        </is>
      </c>
    </row>
    <row r="12">
      <c r="A12" s="61" t="n">
        <v>8</v>
      </c>
      <c r="B12" s="62" t="inlineStr">
        <is>
          <t>node_modules/</t>
        </is>
      </c>
    </row>
    <row r="13">
      <c r="A13" s="61" t="n">
        <v>9</v>
      </c>
      <c r="B13" s="62" t="inlineStr">
        <is>
          <t>dist/</t>
        </is>
      </c>
    </row>
    <row r="14">
      <c r="A14" s="61" t="n">
        <v>10</v>
      </c>
      <c r="B14" s="62" t="inlineStr">
        <is>
          <t>playwright-report/</t>
        </is>
      </c>
    </row>
    <row r="15">
      <c r="A15" s="61" t="n">
        <v>11</v>
      </c>
      <c r="B15" s="62" t="inlineStr">
        <is>
          <t>test-results/</t>
        </is>
      </c>
    </row>
    <row r="16">
      <c r="A16" s="61" t="n">
        <v>12</v>
      </c>
      <c r="B16" s="62" t="inlineStr">
        <is>
          <t># Office lock files (Excel creates ~$name.xlsx while a workbook is open)</t>
        </is>
      </c>
    </row>
    <row r="17">
      <c r="A17" s="61" t="n">
        <v>13</v>
      </c>
      <c r="B17" s="62" t="inlineStr">
        <is>
          <t>~$*</t>
        </is>
      </c>
    </row>
    <row r="18">
      <c r="A18" s="61" t="n">
        <v>14</v>
      </c>
      <c r="B18" s="62" t="n"/>
    </row>
    <row r="19">
      <c r="A19" s="61" t="n">
        <v>15</v>
      </c>
      <c r="B19" s="62" t="inlineStr">
        <is>
          <t># Secrets and local config</t>
        </is>
      </c>
    </row>
    <row r="20">
      <c r="A20" s="61" t="n">
        <v>16</v>
      </c>
      <c r="B20" s="62" t="inlineStr">
        <is>
          <t>.env</t>
        </is>
      </c>
    </row>
    <row r="21">
      <c r="A21" s="61" t="n">
        <v>17</v>
      </c>
      <c r="B21" s="62" t="inlineStr">
        <is>
          <t>.env.local</t>
        </is>
      </c>
    </row>
    <row r="22">
      <c r="A22" s="61" t="n">
        <v>18</v>
      </c>
      <c r="B22" s="62" t="inlineStr">
        <is>
          <t>*.local</t>
        </is>
      </c>
    </row>
    <row r="23">
      <c r="A23" s="61" t="n">
        <v>19</v>
      </c>
      <c r="B23" s="62" t="inlineStr">
        <is>
          <t># Data: commit manifests and the small subset, never the full Lichess dump</t>
        </is>
      </c>
    </row>
    <row r="24">
      <c r="A24" s="61" t="n">
        <v>20</v>
      </c>
      <c r="B24" s="62" t="inlineStr">
        <is>
          <t>*.csv.zst</t>
        </is>
      </c>
    </row>
    <row r="25">
      <c r="A25" s="61" t="n">
        <v>21</v>
      </c>
      <c r="B25" s="62" t="inlineStr">
        <is>
          <t>data/raw/</t>
        </is>
      </c>
    </row>
    <row r="28">
      <c r="A28" s="60" t="inlineStr">
        <is>
          <t>C02</t>
        </is>
      </c>
      <c r="B28" s="60" t="inlineStr">
        <is>
          <t>compose.yaml   ·   Phase P2   ·   Local stack: Postgres (5433), API (8010, runs migrations first), worker.</t>
        </is>
      </c>
    </row>
    <row r="29">
      <c r="B29" s="55" t="inlineStr">
        <is>
          <t>↑ back to Code Index</t>
        </is>
      </c>
    </row>
    <row r="30">
      <c r="A30" s="61" t="n">
        <v>1</v>
      </c>
      <c r="B30" s="62" t="inlineStr">
        <is>
          <t># Local stack:  docker compose up --build</t>
        </is>
      </c>
    </row>
    <row r="31">
      <c r="A31" s="61" t="n">
        <v>2</v>
      </c>
      <c r="B31" s="62" t="inlineStr">
        <is>
          <t># db = Postgres, api = FastAPI on :8000, worker = job runner with Stockfish. The frontend runs with `npm run dev`.</t>
        </is>
      </c>
    </row>
    <row r="32">
      <c r="A32" s="61" t="n">
        <v>3</v>
      </c>
      <c r="B32" s="62" t="inlineStr">
        <is>
          <t>services:</t>
        </is>
      </c>
    </row>
    <row r="33">
      <c r="A33" s="61" t="n">
        <v>4</v>
      </c>
      <c r="B33" s="62" t="inlineStr">
        <is>
          <t xml:space="preserve">  db:</t>
        </is>
      </c>
    </row>
    <row r="34">
      <c r="A34" s="61" t="n">
        <v>5</v>
      </c>
      <c r="B34" s="62" t="inlineStr">
        <is>
          <t xml:space="preserve">    image: postgres:16</t>
        </is>
      </c>
    </row>
    <row r="35">
      <c r="A35" s="61" t="n">
        <v>6</v>
      </c>
      <c r="B35" s="62" t="inlineStr">
        <is>
          <t xml:space="preserve">    environment:</t>
        </is>
      </c>
    </row>
    <row r="36">
      <c r="A36" s="61" t="n">
        <v>7</v>
      </c>
      <c r="B36" s="62" t="inlineStr">
        <is>
          <t xml:space="preserve">      POSTGRES_USER: chesslab</t>
        </is>
      </c>
    </row>
    <row r="37">
      <c r="A37" s="61" t="n">
        <v>8</v>
      </c>
      <c r="B37" s="62" t="inlineStr">
        <is>
          <t xml:space="preserve">      POSTGRES_PASSWORD: chesslab</t>
        </is>
      </c>
    </row>
    <row r="38">
      <c r="A38" s="61" t="n">
        <v>9</v>
      </c>
      <c r="B38" s="62" t="inlineStr">
        <is>
          <t xml:space="preserve">      POSTGRES_DB: chesslab</t>
        </is>
      </c>
    </row>
    <row r="39">
      <c r="A39" s="61" t="n">
        <v>10</v>
      </c>
      <c r="B39" s="62" t="inlineStr">
        <is>
          <t xml:space="preserve">    ports:</t>
        </is>
      </c>
    </row>
    <row r="40">
      <c r="A40" s="61" t="n">
        <v>11</v>
      </c>
      <c r="B40" s="62" t="inlineStr">
        <is>
          <t xml:space="preserve">      - "5433:5432"   # host port 5433, because 5432 is often taken by another Postgres</t>
        </is>
      </c>
    </row>
    <row r="41">
      <c r="A41" s="61" t="n">
        <v>12</v>
      </c>
      <c r="B41" s="62" t="inlineStr">
        <is>
          <t xml:space="preserve">    volumes:</t>
        </is>
      </c>
    </row>
    <row r="42">
      <c r="A42" s="61" t="n">
        <v>13</v>
      </c>
      <c r="B42" s="62" t="inlineStr">
        <is>
          <t xml:space="preserve">      - pgdata:/var/lib/postgresql/data</t>
        </is>
      </c>
    </row>
    <row r="43">
      <c r="A43" s="61" t="n">
        <v>14</v>
      </c>
      <c r="B43" s="62" t="inlineStr">
        <is>
          <t xml:space="preserve">    healthcheck:</t>
        </is>
      </c>
    </row>
    <row r="44">
      <c r="A44" s="61" t="n">
        <v>15</v>
      </c>
      <c r="B44" s="62" t="inlineStr">
        <is>
          <t xml:space="preserve">      test: ["CMD-SHELL", "pg_isready -U chesslab -d chesslab"]</t>
        </is>
      </c>
    </row>
    <row r="45">
      <c r="A45" s="61" t="n">
        <v>16</v>
      </c>
      <c r="B45" s="62" t="inlineStr">
        <is>
          <t xml:space="preserve">      interval: 5s</t>
        </is>
      </c>
    </row>
    <row r="46">
      <c r="A46" s="61" t="n">
        <v>17</v>
      </c>
      <c r="B46" s="62" t="inlineStr">
        <is>
          <t xml:space="preserve">      timeout: 3s</t>
        </is>
      </c>
    </row>
    <row r="47">
      <c r="A47" s="61" t="n">
        <v>18</v>
      </c>
      <c r="B47" s="62" t="inlineStr">
        <is>
          <t xml:space="preserve">      retries: 20</t>
        </is>
      </c>
    </row>
    <row r="48">
      <c r="A48" s="61" t="n">
        <v>19</v>
      </c>
      <c r="B48" s="62" t="n"/>
    </row>
    <row r="49">
      <c r="A49" s="61" t="n">
        <v>20</v>
      </c>
      <c r="B49" s="62" t="inlineStr">
        <is>
          <t xml:space="preserve">  api:</t>
        </is>
      </c>
    </row>
    <row r="50">
      <c r="A50" s="61" t="n">
        <v>21</v>
      </c>
      <c r="B50" s="62" t="inlineStr">
        <is>
          <t xml:space="preserve">    build: ./services/backend</t>
        </is>
      </c>
    </row>
    <row r="51">
      <c r="A51" s="61" t="n">
        <v>22</v>
      </c>
      <c r="B51" s="62" t="inlineStr">
        <is>
          <t xml:space="preserve">    environment:</t>
        </is>
      </c>
    </row>
    <row r="52">
      <c r="A52" s="61" t="n">
        <v>23</v>
      </c>
      <c r="B52" s="62" t="inlineStr">
        <is>
          <t xml:space="preserve">      DATABASE_URL: postgresql+psycopg://chesslab:chesslab@db:5432/chesslab</t>
        </is>
      </c>
    </row>
    <row r="53">
      <c r="A53" s="61" t="n">
        <v>24</v>
      </c>
      <c r="B53" s="62" t="inlineStr">
        <is>
          <t xml:space="preserve">      ALLOWED_ORIGINS: http://localhost:5180</t>
        </is>
      </c>
    </row>
    <row r="54">
      <c r="A54" s="61" t="n">
        <v>25</v>
      </c>
      <c r="B54" s="62" t="inlineStr">
        <is>
          <t xml:space="preserve">    ports:</t>
        </is>
      </c>
    </row>
    <row r="55">
      <c r="A55" s="61" t="n">
        <v>26</v>
      </c>
      <c r="B55" s="62" t="inlineStr">
        <is>
          <t xml:space="preserve">      - "8010:8000"   # http://localhost:8010 on your machine</t>
        </is>
      </c>
    </row>
    <row r="56">
      <c r="A56" s="61" t="n">
        <v>27</v>
      </c>
      <c r="B56" s="62" t="inlineStr">
        <is>
          <t xml:space="preserve">    depends_on:</t>
        </is>
      </c>
    </row>
    <row r="57">
      <c r="A57" s="61" t="n">
        <v>28</v>
      </c>
      <c r="B57" s="62" t="inlineStr">
        <is>
          <t xml:space="preserve">      db:</t>
        </is>
      </c>
    </row>
    <row r="58">
      <c r="A58" s="61" t="n">
        <v>29</v>
      </c>
      <c r="B58" s="62" t="inlineStr">
        <is>
          <t xml:space="preserve">        condition: service_healthy</t>
        </is>
      </c>
    </row>
    <row r="59">
      <c r="A59" s="61" t="n">
        <v>30</v>
      </c>
      <c r="B59" s="62" t="inlineStr">
        <is>
          <t xml:space="preserve">    # Migrations run once here, before the API starts. The worker waits for the API to be healthy.</t>
        </is>
      </c>
    </row>
    <row r="60">
      <c r="A60" s="61" t="n">
        <v>31</v>
      </c>
      <c r="B60" s="62" t="inlineStr">
        <is>
          <t xml:space="preserve">    command: sh -c "alembic upgrade head &amp;&amp; uvicorn app.main:app --host 0.0.0.0 --port 8000"</t>
        </is>
      </c>
    </row>
    <row r="61">
      <c r="A61" s="61" t="n">
        <v>32</v>
      </c>
      <c r="B61" s="62" t="inlineStr">
        <is>
          <t xml:space="preserve">    healthcheck:</t>
        </is>
      </c>
    </row>
    <row r="62">
      <c r="A62" s="61" t="n">
        <v>33</v>
      </c>
      <c r="B62" s="62" t="inlineStr">
        <is>
          <t xml:space="preserve">      test: ["CMD-SHELL", "python -c \"import urllib.request; urllib.request.urlopen('http://localhost:8000/health/ready')\""]</t>
        </is>
      </c>
    </row>
    <row r="63">
      <c r="A63" s="61" t="n">
        <v>34</v>
      </c>
      <c r="B63" s="62" t="inlineStr">
        <is>
          <t xml:space="preserve">      interval: 5s</t>
        </is>
      </c>
    </row>
    <row r="64">
      <c r="A64" s="61" t="n">
        <v>35</v>
      </c>
      <c r="B64" s="62" t="inlineStr">
        <is>
          <t xml:space="preserve">      timeout: 3s</t>
        </is>
      </c>
    </row>
    <row r="65">
      <c r="A65" s="61" t="n">
        <v>36</v>
      </c>
      <c r="B65" s="62" t="inlineStr">
        <is>
          <t xml:space="preserve">      retries: 20</t>
        </is>
      </c>
    </row>
    <row r="66">
      <c r="A66" s="61" t="n">
        <v>37</v>
      </c>
      <c r="B66" s="62" t="n"/>
    </row>
    <row r="67">
      <c r="A67" s="61" t="n">
        <v>38</v>
      </c>
      <c r="B67" s="62" t="inlineStr">
        <is>
          <t xml:space="preserve">  worker:</t>
        </is>
      </c>
    </row>
    <row r="68">
      <c r="A68" s="61" t="n">
        <v>39</v>
      </c>
      <c r="B68" s="62" t="inlineStr">
        <is>
          <t xml:space="preserve">    build: ./services/backend</t>
        </is>
      </c>
    </row>
    <row r="69">
      <c r="A69" s="61" t="n">
        <v>40</v>
      </c>
      <c r="B69" s="62" t="inlineStr">
        <is>
          <t xml:space="preserve">    environment:</t>
        </is>
      </c>
    </row>
    <row r="70">
      <c r="A70" s="61" t="n">
        <v>41</v>
      </c>
      <c r="B70" s="62" t="inlineStr">
        <is>
          <t xml:space="preserve">      DATABASE_URL: postgresql+psycopg://chesslab:chesslab@db:5432/chesslab</t>
        </is>
      </c>
    </row>
    <row r="71">
      <c r="A71" s="61" t="n">
        <v>42</v>
      </c>
      <c r="B71" s="62" t="inlineStr">
        <is>
          <t xml:space="preserve">    depends_on:</t>
        </is>
      </c>
    </row>
    <row r="72">
      <c r="A72" s="61" t="n">
        <v>43</v>
      </c>
      <c r="B72" s="62" t="inlineStr">
        <is>
          <t xml:space="preserve">      api:</t>
        </is>
      </c>
    </row>
    <row r="73">
      <c r="A73" s="61" t="n">
        <v>44</v>
      </c>
      <c r="B73" s="62" t="inlineStr">
        <is>
          <t xml:space="preserve">        condition: service_healthy</t>
        </is>
      </c>
    </row>
    <row r="74">
      <c r="A74" s="61" t="n">
        <v>45</v>
      </c>
      <c r="B74" s="62" t="inlineStr">
        <is>
          <t xml:space="preserve">    command: python -m app.worker</t>
        </is>
      </c>
    </row>
    <row r="75">
      <c r="A75" s="61" t="n">
        <v>46</v>
      </c>
      <c r="B75" s="62" t="inlineStr">
        <is>
          <t xml:space="preserve">    stop_grace_period: 30s  # time to finish the current job after SIGTERM</t>
        </is>
      </c>
    </row>
    <row r="76">
      <c r="A76" s="61" t="n">
        <v>47</v>
      </c>
      <c r="B76" s="62" t="n"/>
    </row>
    <row r="77">
      <c r="A77" s="61" t="n">
        <v>48</v>
      </c>
      <c r="B77" s="62" t="inlineStr">
        <is>
          <t>volumes:</t>
        </is>
      </c>
    </row>
    <row r="78">
      <c r="A78" s="61" t="n">
        <v>49</v>
      </c>
      <c r="B78" s="62" t="inlineStr">
        <is>
          <t xml:space="preserve">  pgdata:</t>
        </is>
      </c>
    </row>
    <row r="81">
      <c r="A81" s="60" t="inlineStr">
        <is>
          <t>C03</t>
        </is>
      </c>
      <c r="B81" s="60" t="inlineStr">
        <is>
          <t>services/backend/pyproject.toml   ·   Phase P2   ·   Backend dependencies (reference) and pytest/ruff settings.</t>
        </is>
      </c>
    </row>
    <row r="82">
      <c r="B82" s="55" t="inlineStr">
        <is>
          <t>↑ back to Code Index</t>
        </is>
      </c>
    </row>
    <row r="83">
      <c r="A83" s="61" t="n">
        <v>1</v>
      </c>
      <c r="B83" s="62" t="inlineStr">
        <is>
          <t># Created by `uv init` and filled by the `uv add` commands in Phase 2. Shown here for reference:</t>
        </is>
      </c>
    </row>
    <row r="84">
      <c r="A84" s="61" t="n">
        <v>2</v>
      </c>
      <c r="B84" s="62" t="inlineStr">
        <is>
          <t># your file will contain the exact versions uv resolved, and uv.lock pins every transitive package.</t>
        </is>
      </c>
    </row>
    <row r="85">
      <c r="A85" s="61" t="n">
        <v>3</v>
      </c>
      <c r="B85" s="62" t="inlineStr">
        <is>
          <t>[project]</t>
        </is>
      </c>
    </row>
    <row r="86">
      <c r="A86" s="61" t="n">
        <v>4</v>
      </c>
      <c r="B86" s="62" t="inlineStr">
        <is>
          <t>name = "chesslab-backend"</t>
        </is>
      </c>
    </row>
    <row r="87">
      <c r="A87" s="61" t="n">
        <v>5</v>
      </c>
      <c r="B87" s="62" t="inlineStr">
        <is>
          <t>version = "0.1.0"</t>
        </is>
      </c>
    </row>
    <row r="88">
      <c r="A88" s="61" t="n">
        <v>6</v>
      </c>
      <c r="B88" s="62" t="inlineStr">
        <is>
          <t>requires-python = "&gt;=3.12"</t>
        </is>
      </c>
    </row>
    <row r="89">
      <c r="A89" s="61" t="n">
        <v>7</v>
      </c>
      <c r="B89" s="62" t="inlineStr">
        <is>
          <t>dependencies = [</t>
        </is>
      </c>
    </row>
    <row r="90">
      <c r="A90" s="61" t="n">
        <v>8</v>
      </c>
      <c r="B90" s="62" t="inlineStr">
        <is>
          <t xml:space="preserve">    "alembic&gt;=1.13",</t>
        </is>
      </c>
    </row>
    <row r="91">
      <c r="A91" s="61" t="n">
        <v>9</v>
      </c>
      <c r="B91" s="62" t="inlineStr">
        <is>
          <t xml:space="preserve">    "chess&gt;=1.11",</t>
        </is>
      </c>
    </row>
    <row r="92">
      <c r="A92" s="61" t="n">
        <v>10</v>
      </c>
      <c r="B92" s="62" t="inlineStr">
        <is>
          <t xml:space="preserve">    "fastapi&gt;=0.115",</t>
        </is>
      </c>
    </row>
    <row r="93">
      <c r="A93" s="61" t="n">
        <v>11</v>
      </c>
      <c r="B93" s="62" t="inlineStr">
        <is>
          <t xml:space="preserve">    "httpx&gt;=0.27",</t>
        </is>
      </c>
    </row>
    <row r="94">
      <c r="A94" s="61" t="n">
        <v>12</v>
      </c>
      <c r="B94" s="62" t="inlineStr">
        <is>
          <t xml:space="preserve">    "psycopg[binary]&gt;=3.2",</t>
        </is>
      </c>
    </row>
    <row r="95">
      <c r="A95" s="61" t="n">
        <v>13</v>
      </c>
      <c r="B95" s="62" t="inlineStr">
        <is>
          <t xml:space="preserve">    "pydantic-settings&gt;=2.4",</t>
        </is>
      </c>
    </row>
    <row r="96">
      <c r="A96" s="61" t="n">
        <v>14</v>
      </c>
      <c r="B96" s="62" t="inlineStr">
        <is>
          <t xml:space="preserve">    "python-multipart&gt;=0.0.9",</t>
        </is>
      </c>
    </row>
    <row r="97">
      <c r="A97" s="61" t="n">
        <v>15</v>
      </c>
      <c r="B97" s="62" t="inlineStr">
        <is>
          <t xml:space="preserve">    "sqlalchemy&gt;=2.0",</t>
        </is>
      </c>
    </row>
    <row r="98">
      <c r="A98" s="61" t="n">
        <v>16</v>
      </c>
      <c r="B98" s="62" t="inlineStr">
        <is>
          <t xml:space="preserve">    "uvicorn[standard]&gt;=0.30",</t>
        </is>
      </c>
    </row>
    <row r="99">
      <c r="A99" s="61" t="n">
        <v>17</v>
      </c>
      <c r="B99" s="62" t="inlineStr">
        <is>
          <t>]</t>
        </is>
      </c>
    </row>
    <row r="100">
      <c r="A100" s="61" t="n">
        <v>18</v>
      </c>
      <c r="B100" s="62" t="n"/>
    </row>
    <row r="101">
      <c r="A101" s="61" t="n">
        <v>19</v>
      </c>
      <c r="B101" s="62" t="inlineStr">
        <is>
          <t>[dependency-groups]</t>
        </is>
      </c>
    </row>
    <row r="102">
      <c r="A102" s="61" t="n">
        <v>20</v>
      </c>
      <c r="B102" s="62" t="inlineStr">
        <is>
          <t>dev = ["pytest&gt;=8", "ruff&gt;=0.6", "zstandard&gt;=0.23"]</t>
        </is>
      </c>
    </row>
    <row r="103">
      <c r="A103" s="61" t="n">
        <v>21</v>
      </c>
      <c r="B103" s="62" t="n"/>
    </row>
    <row r="104">
      <c r="A104" s="61" t="n">
        <v>22</v>
      </c>
      <c r="B104" s="62" t="inlineStr">
        <is>
          <t>[tool.pytest.ini_options]</t>
        </is>
      </c>
    </row>
    <row r="105">
      <c r="A105" s="61" t="n">
        <v>23</v>
      </c>
      <c r="B105" s="62" t="inlineStr">
        <is>
          <t>pythonpath = ["."]</t>
        </is>
      </c>
    </row>
    <row r="106">
      <c r="A106" s="61" t="n">
        <v>24</v>
      </c>
      <c r="B106" s="62" t="inlineStr">
        <is>
          <t>testpaths = ["tests"]</t>
        </is>
      </c>
    </row>
    <row r="107">
      <c r="A107" s="61" t="n">
        <v>25</v>
      </c>
      <c r="B107" s="62" t="n"/>
    </row>
    <row r="108">
      <c r="A108" s="61" t="n">
        <v>26</v>
      </c>
      <c r="B108" s="62" t="inlineStr">
        <is>
          <t>[tool.ruff]</t>
        </is>
      </c>
    </row>
    <row r="109">
      <c r="A109" s="61" t="n">
        <v>27</v>
      </c>
      <c r="B109" s="62" t="inlineStr">
        <is>
          <t>line-length = 130</t>
        </is>
      </c>
    </row>
    <row r="110">
      <c r="A110" s="61" t="n">
        <v>28</v>
      </c>
      <c r="B110" s="62" t="n"/>
    </row>
    <row r="111">
      <c r="A111" s="61" t="n">
        <v>29</v>
      </c>
      <c r="B111" s="62" t="inlineStr">
        <is>
          <t>[tool.ruff.lint]</t>
        </is>
      </c>
    </row>
    <row r="112">
      <c r="A112" s="61" t="n">
        <v>30</v>
      </c>
      <c r="B112" s="62" t="inlineStr">
        <is>
          <t>select = ["E", "F", "W", "I"]</t>
        </is>
      </c>
    </row>
    <row r="115">
      <c r="A115" s="60" t="inlineStr">
        <is>
          <t>C04</t>
        </is>
      </c>
      <c r="B115" s="60" t="inlineStr">
        <is>
          <t>services/backend/.env.example   ·   Phase P3   ·   Every backend setting with safe local defaults. Copy to .env.</t>
        </is>
      </c>
    </row>
    <row r="116">
      <c r="B116" s="55" t="inlineStr">
        <is>
          <t>↑ back to Code Index</t>
        </is>
      </c>
    </row>
    <row r="117">
      <c r="A117" s="61" t="n">
        <v>1</v>
      </c>
      <c r="B117" s="62" t="inlineStr">
        <is>
          <t># Copy to .env for running the API/worker directly on your machine (outside Docker).</t>
        </is>
      </c>
    </row>
    <row r="118">
      <c r="A118" s="61" t="n">
        <v>2</v>
      </c>
      <c r="B118" s="62" t="inlineStr">
        <is>
          <t># Never commit .env. Production values live in Render's dashboard.</t>
        </is>
      </c>
    </row>
    <row r="119">
      <c r="A119" s="61" t="n">
        <v>3</v>
      </c>
      <c r="B119" s="62" t="inlineStr">
        <is>
          <t>ENVIRONMENT=development</t>
        </is>
      </c>
    </row>
    <row r="120">
      <c r="A120" s="61" t="n">
        <v>4</v>
      </c>
      <c r="B120" s="62" t="inlineStr">
        <is>
          <t>DATABASE_URL=postgresql+psycopg://chesslab:chesslab@localhost:5433/chesslab</t>
        </is>
      </c>
    </row>
    <row r="121">
      <c r="A121" s="61" t="n">
        <v>5</v>
      </c>
      <c r="B121" s="62" t="inlineStr">
        <is>
          <t>ALLOWED_ORIGINS=http://localhost:5180</t>
        </is>
      </c>
    </row>
    <row r="122">
      <c r="A122" s="61" t="n">
        <v>6</v>
      </c>
      <c r="B122" s="62" t="inlineStr">
        <is>
          <t>SESSION_TTL_DAYS=30</t>
        </is>
      </c>
    </row>
    <row r="123">
      <c r="A123" s="61" t="n">
        <v>7</v>
      </c>
      <c r="B123" s="62" t="inlineStr">
        <is>
          <t>STOCKFISH_PATH=stockfish</t>
        </is>
      </c>
    </row>
    <row r="124">
      <c r="A124" s="61" t="n">
        <v>8</v>
      </c>
      <c r="B124" s="62" t="inlineStr">
        <is>
          <t>ENGINE_THREADS=1</t>
        </is>
      </c>
    </row>
    <row r="125">
      <c r="A125" s="61" t="n">
        <v>9</v>
      </c>
      <c r="B125" s="62" t="inlineStr">
        <is>
          <t>ENGINE_HASH_MB=32</t>
        </is>
      </c>
    </row>
    <row r="126">
      <c r="A126" s="61" t="n">
        <v>10</v>
      </c>
      <c r="B126" s="62" t="inlineStr">
        <is>
          <t>ANALYSIS_DEPTH=14</t>
        </is>
      </c>
    </row>
    <row r="127">
      <c r="A127" s="61" t="n">
        <v>11</v>
      </c>
      <c r="B127" s="62" t="inlineStr">
        <is>
          <t>ANALYSIS_TIME_S=0.5</t>
        </is>
      </c>
    </row>
    <row r="128">
      <c r="A128" s="61" t="n">
        <v>12</v>
      </c>
      <c r="B128" s="62" t="inlineStr">
        <is>
          <t>MAX_IMPORT_GAMES=200</t>
        </is>
      </c>
    </row>
    <row r="129">
      <c r="A129" s="61" t="n">
        <v>13</v>
      </c>
      <c r="B129" s="62" t="inlineStr">
        <is>
          <t>PROVIDER_USER_AGENT=ChessLab portfolio project (contact: you@example.com)</t>
        </is>
      </c>
    </row>
    <row r="130">
      <c r="A130" s="61" t="n">
        <v>14</v>
      </c>
      <c r="B130" s="62" t="inlineStr">
        <is>
          <t>JOB_LEASE_SECONDS=60</t>
        </is>
      </c>
    </row>
    <row r="131">
      <c r="A131" s="61" t="n">
        <v>15</v>
      </c>
      <c r="B131" s="62" t="inlineStr">
        <is>
          <t>LOG_LEVEL=INFO</t>
        </is>
      </c>
    </row>
    <row r="132">
      <c r="A132" s="61" t="n">
        <v>16</v>
      </c>
      <c r="B132" s="62" t="inlineStr">
        <is>
          <t># Stretch phase S3 only:</t>
        </is>
      </c>
    </row>
    <row r="133">
      <c r="A133" s="61" t="n">
        <v>17</v>
      </c>
      <c r="B133" s="62" t="inlineStr">
        <is>
          <t>LLM_REWORDING_ENABLED=false</t>
        </is>
      </c>
    </row>
    <row r="134">
      <c r="A134" s="61" t="n">
        <v>18</v>
      </c>
      <c r="B134" s="62" t="inlineStr">
        <is>
          <t>ANTHROPIC_MODEL=claude-opus-5-5</t>
        </is>
      </c>
    </row>
    <row r="135">
      <c r="A135" s="61" t="n">
        <v>19</v>
      </c>
      <c r="B135" s="62" t="inlineStr">
        <is>
          <t># ANTHROPIC_API_KEY=sk-ant-...   (set it in Render's secret settings, never in git)</t>
        </is>
      </c>
    </row>
    <row r="138">
      <c r="A138" s="60" t="inlineStr">
        <is>
          <t>C05</t>
        </is>
      </c>
      <c r="B138" s="60" t="inlineStr">
        <is>
          <t>services/backend/app/config.py   ·   Phase P3   ·   Typed settings from environment variables; fixes Render's postgres:// URL.</t>
        </is>
      </c>
    </row>
    <row r="139">
      <c r="B139" s="55" t="inlineStr">
        <is>
          <t>↑ back to Code Index</t>
        </is>
      </c>
    </row>
    <row r="140">
      <c r="A140" s="61" t="n">
        <v>1</v>
      </c>
      <c r="B140" s="62" t="inlineStr">
        <is>
          <t>"""Application settings, read from environment variables (and a local .env file in development).</t>
        </is>
      </c>
    </row>
    <row r="141">
      <c r="A141" s="61" t="n">
        <v>2</v>
      </c>
      <c r="B141" s="62" t="n"/>
    </row>
    <row r="142">
      <c r="A142" s="61" t="n">
        <v>3</v>
      </c>
      <c r="B142" s="62" t="inlineStr">
        <is>
          <t>Every value that differs between your laptop and production lives here, never hard-coded elsewhere.</t>
        </is>
      </c>
    </row>
    <row r="143">
      <c r="A143" s="61" t="n">
        <v>4</v>
      </c>
      <c r="B143" s="62" t="inlineStr">
        <is>
          <t>"""</t>
        </is>
      </c>
    </row>
    <row r="144">
      <c r="A144" s="61" t="n">
        <v>5</v>
      </c>
      <c r="B144" s="62" t="inlineStr">
        <is>
          <t>from functools import lru_cache</t>
        </is>
      </c>
    </row>
    <row r="145">
      <c r="A145" s="61" t="n">
        <v>6</v>
      </c>
      <c r="B145" s="62" t="n"/>
    </row>
    <row r="146">
      <c r="A146" s="61" t="n">
        <v>7</v>
      </c>
      <c r="B146" s="62" t="inlineStr">
        <is>
          <t>from pydantic import field_validator</t>
        </is>
      </c>
    </row>
    <row r="147">
      <c r="A147" s="61" t="n">
        <v>8</v>
      </c>
      <c r="B147" s="62" t="inlineStr">
        <is>
          <t>from pydantic_settings import BaseSettings, SettingsConfigDict</t>
        </is>
      </c>
    </row>
    <row r="148">
      <c r="A148" s="61" t="n">
        <v>9</v>
      </c>
      <c r="B148" s="62" t="n"/>
    </row>
    <row r="149">
      <c r="A149" s="61" t="n">
        <v>10</v>
      </c>
      <c r="B149" s="62" t="n"/>
    </row>
    <row r="150">
      <c r="A150" s="61" t="n">
        <v>11</v>
      </c>
      <c r="B150" s="62" t="inlineStr">
        <is>
          <t>class Settings(BaseSettings):</t>
        </is>
      </c>
    </row>
    <row r="151">
      <c r="A151" s="61" t="n">
        <v>12</v>
      </c>
      <c r="B151" s="62" t="inlineStr">
        <is>
          <t xml:space="preserve">    model_config = SettingsConfigDict(env_file=".env", extra="ignore")</t>
        </is>
      </c>
    </row>
    <row r="152">
      <c r="A152" s="61" t="n">
        <v>13</v>
      </c>
      <c r="B152" s="62" t="n"/>
    </row>
    <row r="153">
      <c r="A153" s="61" t="n">
        <v>14</v>
      </c>
      <c r="B153" s="62" t="inlineStr">
        <is>
          <t xml:space="preserve">    environment: str = "development"</t>
        </is>
      </c>
    </row>
    <row r="154">
      <c r="A154" s="61" t="n">
        <v>15</v>
      </c>
      <c r="B154" s="62" t="inlineStr">
        <is>
          <t xml:space="preserve">    database_url: str = "postgresql+psycopg://chesslab:chesslab@localhost:5433/chesslab"</t>
        </is>
      </c>
    </row>
    <row r="155">
      <c r="A155" s="61" t="n">
        <v>16</v>
      </c>
      <c r="B155" s="62" t="inlineStr">
        <is>
          <t xml:space="preserve">    allowed_origins: str = "http://localhost:5180"  # comma-separated list</t>
        </is>
      </c>
    </row>
    <row r="156">
      <c r="A156" s="61" t="n">
        <v>17</v>
      </c>
      <c r="B156" s="62" t="inlineStr">
        <is>
          <t xml:space="preserve">    session_ttl_days: int = 30</t>
        </is>
      </c>
    </row>
    <row r="157">
      <c r="A157" s="61" t="n">
        <v>18</v>
      </c>
      <c r="B157" s="62" t="n"/>
    </row>
    <row r="158">
      <c r="A158" s="61" t="n">
        <v>19</v>
      </c>
      <c r="B158" s="62" t="inlineStr">
        <is>
          <t xml:space="preserve">    # Engine / analysis budgets (resource controls, not accuracy guarantees)</t>
        </is>
      </c>
    </row>
    <row r="159">
      <c r="A159" s="61" t="n">
        <v>20</v>
      </c>
      <c r="B159" s="62" t="inlineStr">
        <is>
          <t xml:space="preserve">    stockfish_path: str = "stockfish"</t>
        </is>
      </c>
    </row>
    <row r="160">
      <c r="A160" s="61" t="n">
        <v>21</v>
      </c>
      <c r="B160" s="62" t="inlineStr">
        <is>
          <t xml:space="preserve">    engine_threads: int = 1</t>
        </is>
      </c>
    </row>
    <row r="161">
      <c r="A161" s="61" t="n">
        <v>22</v>
      </c>
      <c r="B161" s="62" t="inlineStr">
        <is>
          <t xml:space="preserve">    engine_hash_mb: int = 32</t>
        </is>
      </c>
    </row>
    <row r="162">
      <c r="A162" s="61" t="n">
        <v>23</v>
      </c>
      <c r="B162" s="62" t="inlineStr">
        <is>
          <t xml:space="preserve">    analysis_depth: int = 14</t>
        </is>
      </c>
    </row>
    <row r="163">
      <c r="A163" s="61" t="n">
        <v>24</v>
      </c>
      <c r="B163" s="62" t="inlineStr">
        <is>
          <t xml:space="preserve">    analysis_time_s: float = 0.5</t>
        </is>
      </c>
    </row>
    <row r="164">
      <c r="A164" s="61" t="n">
        <v>25</v>
      </c>
      <c r="B164" s="62" t="inlineStr">
        <is>
          <t xml:space="preserve">    max_candidates_per_position: int = 3</t>
        </is>
      </c>
    </row>
    <row r="165">
      <c r="A165" s="61" t="n">
        <v>26</v>
      </c>
      <c r="B165" s="62" t="n"/>
    </row>
    <row r="166">
      <c r="A166" s="61" t="n">
        <v>27</v>
      </c>
      <c r="B166" s="62" t="inlineStr">
        <is>
          <t xml:space="preserve">    # Imports</t>
        </is>
      </c>
    </row>
    <row r="167">
      <c r="A167" s="61" t="n">
        <v>28</v>
      </c>
      <c r="B167" s="62" t="inlineStr">
        <is>
          <t xml:space="preserve">    max_import_games: int = 200</t>
        </is>
      </c>
    </row>
    <row r="168">
      <c r="A168" s="61" t="n">
        <v>29</v>
      </c>
      <c r="B168" s="62" t="inlineStr">
        <is>
          <t xml:space="preserve">    max_pgn_bytes: int = 2_000_000</t>
        </is>
      </c>
    </row>
    <row r="169">
      <c r="A169" s="61" t="n">
        <v>30</v>
      </c>
      <c r="B169" s="62" t="inlineStr">
        <is>
          <t xml:space="preserve">    provider_user_agent: str = "ChessLab portfolio project (contact: you@example.com)"</t>
        </is>
      </c>
    </row>
    <row r="170">
      <c r="A170" s="61" t="n">
        <v>31</v>
      </c>
      <c r="B170" s="62" t="n"/>
    </row>
    <row r="171">
      <c r="A171" s="61" t="n">
        <v>32</v>
      </c>
      <c r="B171" s="62" t="inlineStr">
        <is>
          <t xml:space="preserve">    # Queue</t>
        </is>
      </c>
    </row>
    <row r="172">
      <c r="A172" s="61" t="n">
        <v>33</v>
      </c>
      <c r="B172" s="62" t="inlineStr">
        <is>
          <t xml:space="preserve">    job_lease_seconds: int = 60</t>
        </is>
      </c>
    </row>
    <row r="173">
      <c r="A173" s="61" t="n">
        <v>34</v>
      </c>
      <c r="B173" s="62" t="inlineStr">
        <is>
          <t xml:space="preserve">    worker_poll_seconds: float = 1.0</t>
        </is>
      </c>
    </row>
    <row r="174">
      <c r="A174" s="61" t="n">
        <v>35</v>
      </c>
      <c r="B174" s="62" t="n"/>
    </row>
    <row r="175">
      <c r="A175" s="61" t="n">
        <v>36</v>
      </c>
      <c r="B175" s="62" t="inlineStr">
        <is>
          <t xml:space="preserve">    # Optional LLM rewording (stretch phase S3)</t>
        </is>
      </c>
    </row>
    <row r="176">
      <c r="A176" s="61" t="n">
        <v>37</v>
      </c>
      <c r="B176" s="62" t="inlineStr">
        <is>
          <t xml:space="preserve">    llm_rewording_enabled: bool = False</t>
        </is>
      </c>
    </row>
    <row r="177">
      <c r="A177" s="61" t="n">
        <v>38</v>
      </c>
      <c r="B177" s="62" t="inlineStr">
        <is>
          <t xml:space="preserve">    anthropic_model: str = "claude-opus-5-5"</t>
        </is>
      </c>
    </row>
    <row r="178">
      <c r="A178" s="61" t="n">
        <v>39</v>
      </c>
      <c r="B178" s="62" t="n"/>
    </row>
    <row r="179">
      <c r="A179" s="61" t="n">
        <v>40</v>
      </c>
      <c r="B179" s="62" t="inlineStr">
        <is>
          <t xml:space="preserve">    log_level: str = "INFO"</t>
        </is>
      </c>
    </row>
    <row r="180">
      <c r="A180" s="61" t="n">
        <v>41</v>
      </c>
      <c r="B180" s="62" t="n"/>
    </row>
    <row r="181">
      <c r="A181" s="61" t="n">
        <v>42</v>
      </c>
      <c r="B181" s="62" t="inlineStr">
        <is>
          <t xml:space="preserve">    @field_validator("database_url")</t>
        </is>
      </c>
    </row>
    <row r="182">
      <c r="A182" s="61" t="n">
        <v>43</v>
      </c>
      <c r="B182" s="62" t="inlineStr">
        <is>
          <t xml:space="preserve">    @classmethod</t>
        </is>
      </c>
    </row>
    <row r="183">
      <c r="A183" s="61" t="n">
        <v>44</v>
      </c>
      <c r="B183" s="62" t="inlineStr">
        <is>
          <t xml:space="preserve">    def use_psycopg_driver(cls, v: str) -&gt; str:</t>
        </is>
      </c>
    </row>
    <row r="184">
      <c r="A184" s="61" t="n">
        <v>45</v>
      </c>
      <c r="B184" s="62" t="inlineStr">
        <is>
          <t xml:space="preserve">        # Render/Heroku give "postgres://" or "postgresql://"; SQLAlchemy needs to know the driver.</t>
        </is>
      </c>
    </row>
    <row r="185">
      <c r="A185" s="61" t="n">
        <v>46</v>
      </c>
      <c r="B185" s="62" t="inlineStr">
        <is>
          <t xml:space="preserve">        if v.startswith("postgres://"):</t>
        </is>
      </c>
    </row>
    <row r="186">
      <c r="A186" s="61" t="n">
        <v>47</v>
      </c>
      <c r="B186" s="62" t="inlineStr">
        <is>
          <t xml:space="preserve">            v = "postgresql://" + v[len("postgres://"):]</t>
        </is>
      </c>
    </row>
    <row r="187">
      <c r="A187" s="61" t="n">
        <v>48</v>
      </c>
      <c r="B187" s="62" t="inlineStr">
        <is>
          <t xml:space="preserve">        if v.startswith("postgresql://"):</t>
        </is>
      </c>
    </row>
    <row r="188">
      <c r="A188" s="61" t="n">
        <v>49</v>
      </c>
      <c r="B188" s="62" t="inlineStr">
        <is>
          <t xml:space="preserve">            v = "postgresql+psycopg://" + v[len("postgresql://"):]</t>
        </is>
      </c>
    </row>
    <row r="189">
      <c r="A189" s="61" t="n">
        <v>50</v>
      </c>
      <c r="B189" s="62" t="inlineStr">
        <is>
          <t xml:space="preserve">        return v</t>
        </is>
      </c>
    </row>
    <row r="190">
      <c r="A190" s="61" t="n">
        <v>51</v>
      </c>
      <c r="B190" s="62" t="n"/>
    </row>
    <row r="191">
      <c r="A191" s="61" t="n">
        <v>52</v>
      </c>
      <c r="B191" s="62" t="inlineStr">
        <is>
          <t xml:space="preserve">    @property</t>
        </is>
      </c>
    </row>
    <row r="192">
      <c r="A192" s="61" t="n">
        <v>53</v>
      </c>
      <c r="B192" s="62" t="inlineStr">
        <is>
          <t xml:space="preserve">    def origins(self) -&gt; list[str]:</t>
        </is>
      </c>
    </row>
    <row r="193">
      <c r="A193" s="61" t="n">
        <v>54</v>
      </c>
      <c r="B193" s="62" t="inlineStr">
        <is>
          <t xml:space="preserve">        return [o.strip() for o in self.allowed_origins.split(",") if o.strip()]</t>
        </is>
      </c>
    </row>
    <row r="194">
      <c r="A194" s="61" t="n">
        <v>55</v>
      </c>
      <c r="B194" s="62" t="n"/>
    </row>
    <row r="195">
      <c r="A195" s="61" t="n">
        <v>56</v>
      </c>
      <c r="B195" s="62" t="n"/>
    </row>
    <row r="196">
      <c r="A196" s="61" t="n">
        <v>57</v>
      </c>
      <c r="B196" s="62" t="inlineStr">
        <is>
          <t>@lru_cache</t>
        </is>
      </c>
    </row>
    <row r="197">
      <c r="A197" s="61" t="n">
        <v>58</v>
      </c>
      <c r="B197" s="62" t="inlineStr">
        <is>
          <t>def get_settings() -&gt; Settings:</t>
        </is>
      </c>
    </row>
    <row r="198">
      <c r="A198" s="61" t="n">
        <v>59</v>
      </c>
      <c r="B198" s="62" t="inlineStr">
        <is>
          <t xml:space="preserve">    return Settings()</t>
        </is>
      </c>
    </row>
    <row r="201">
      <c r="A201" s="60" t="inlineStr">
        <is>
          <t>C06</t>
        </is>
      </c>
      <c r="B201" s="60" t="inlineStr">
        <is>
          <t>services/backend/app/db.py   ·   Phase P3   ·   SQLAlchemy engine (bounded pool) and one session per request.</t>
        </is>
      </c>
    </row>
    <row r="202">
      <c r="B202" s="55" t="inlineStr">
        <is>
          <t>↑ back to Code Index</t>
        </is>
      </c>
    </row>
    <row r="203">
      <c r="A203" s="61" t="n">
        <v>1</v>
      </c>
      <c r="B203" s="62" t="inlineStr">
        <is>
          <t>"""Database engine and per-request sessions."""</t>
        </is>
      </c>
    </row>
    <row r="204">
      <c r="A204" s="61" t="n">
        <v>2</v>
      </c>
      <c r="B204" s="62" t="inlineStr">
        <is>
          <t>from collections.abc import Iterator</t>
        </is>
      </c>
    </row>
    <row r="205">
      <c r="A205" s="61" t="n">
        <v>3</v>
      </c>
      <c r="B205" s="62" t="n"/>
    </row>
    <row r="206">
      <c r="A206" s="61" t="n">
        <v>4</v>
      </c>
      <c r="B206" s="62" t="inlineStr">
        <is>
          <t>from sqlalchemy import create_engine</t>
        </is>
      </c>
    </row>
    <row r="207">
      <c r="A207" s="61" t="n">
        <v>5</v>
      </c>
      <c r="B207" s="62" t="inlineStr">
        <is>
          <t>from sqlalchemy.orm import DeclarativeBase, Session, sessionmaker</t>
        </is>
      </c>
    </row>
    <row r="208">
      <c r="A208" s="61" t="n">
        <v>6</v>
      </c>
      <c r="B208" s="62" t="n"/>
    </row>
    <row r="209">
      <c r="A209" s="61" t="n">
        <v>7</v>
      </c>
      <c r="B209" s="62" t="inlineStr">
        <is>
          <t>from app.config import get_settings</t>
        </is>
      </c>
    </row>
    <row r="210">
      <c r="A210" s="61" t="n">
        <v>8</v>
      </c>
      <c r="B210" s="62" t="n"/>
    </row>
    <row r="211">
      <c r="A211" s="61" t="n">
        <v>9</v>
      </c>
      <c r="B211" s="62" t="n"/>
    </row>
    <row r="212">
      <c r="A212" s="61" t="n">
        <v>10</v>
      </c>
      <c r="B212" s="62" t="inlineStr">
        <is>
          <t>class Base(DeclarativeBase):</t>
        </is>
      </c>
    </row>
    <row r="213">
      <c r="A213" s="61" t="n">
        <v>11</v>
      </c>
      <c r="B213" s="62" t="inlineStr">
        <is>
          <t xml:space="preserve">    """All ORM models inherit from this so Alembic can discover them."""</t>
        </is>
      </c>
    </row>
    <row r="214">
      <c r="A214" s="61" t="n">
        <v>12</v>
      </c>
      <c r="B214" s="62" t="n"/>
    </row>
    <row r="215">
      <c r="A215" s="61" t="n">
        <v>13</v>
      </c>
      <c r="B215" s="62" t="n"/>
    </row>
    <row r="216">
      <c r="A216" s="61" t="n">
        <v>14</v>
      </c>
      <c r="B216" s="62" t="inlineStr">
        <is>
          <t># A small, bounded pool: managed Postgres plans have low connection limits.</t>
        </is>
      </c>
    </row>
    <row r="217">
      <c r="A217" s="61" t="n">
        <v>15</v>
      </c>
      <c r="B217" s="62" t="inlineStr">
        <is>
          <t>engine = create_engine(</t>
        </is>
      </c>
    </row>
    <row r="218">
      <c r="A218" s="61" t="n">
        <v>16</v>
      </c>
      <c r="B218" s="62" t="inlineStr">
        <is>
          <t xml:space="preserve">    get_settings().database_url,</t>
        </is>
      </c>
    </row>
    <row r="219">
      <c r="A219" s="61" t="n">
        <v>17</v>
      </c>
      <c r="B219" s="62" t="inlineStr">
        <is>
          <t xml:space="preserve">    pool_size=5,</t>
        </is>
      </c>
    </row>
    <row r="220">
      <c r="A220" s="61" t="n">
        <v>18</v>
      </c>
      <c r="B220" s="62" t="inlineStr">
        <is>
          <t xml:space="preserve">    max_overflow=5,</t>
        </is>
      </c>
    </row>
    <row r="221">
      <c r="A221" s="61" t="n">
        <v>19</v>
      </c>
      <c r="B221" s="62" t="inlineStr">
        <is>
          <t xml:space="preserve">    pool_pre_ping=True,  # transparently replace connections the server closed</t>
        </is>
      </c>
    </row>
    <row r="222">
      <c r="A222" s="61" t="n">
        <v>20</v>
      </c>
      <c r="B222" s="62" t="inlineStr">
        <is>
          <t>)</t>
        </is>
      </c>
    </row>
    <row r="223">
      <c r="A223" s="61" t="n">
        <v>21</v>
      </c>
      <c r="B223" s="62" t="inlineStr">
        <is>
          <t>SessionLocal = sessionmaker(bind=engine, expire_on_commit=False)</t>
        </is>
      </c>
    </row>
    <row r="224">
      <c r="A224" s="61" t="n">
        <v>22</v>
      </c>
      <c r="B224" s="62" t="n"/>
    </row>
    <row r="225">
      <c r="A225" s="61" t="n">
        <v>23</v>
      </c>
      <c r="B225" s="62" t="n"/>
    </row>
    <row r="226">
      <c r="A226" s="61" t="n">
        <v>24</v>
      </c>
      <c r="B226" s="62" t="inlineStr">
        <is>
          <t>def get_db() -&gt; Iterator[Session]:</t>
        </is>
      </c>
    </row>
    <row r="227">
      <c r="A227" s="61" t="n">
        <v>25</v>
      </c>
      <c r="B227" s="62" t="inlineStr">
        <is>
          <t xml:space="preserve">    """FastAPI dependency: one session per request, always closed afterwards."""</t>
        </is>
      </c>
    </row>
    <row r="228">
      <c r="A228" s="61" t="n">
        <v>26</v>
      </c>
      <c r="B228" s="62" t="inlineStr">
        <is>
          <t xml:space="preserve">    with SessionLocal() as db:</t>
        </is>
      </c>
    </row>
    <row r="229">
      <c r="A229" s="61" t="n">
        <v>27</v>
      </c>
      <c r="B229" s="62" t="inlineStr">
        <is>
          <t xml:space="preserve">        yield db</t>
        </is>
      </c>
    </row>
    <row r="232">
      <c r="A232" s="60" t="inlineStr">
        <is>
          <t>C07</t>
        </is>
      </c>
      <c r="B232" s="60" t="inlineStr">
        <is>
          <t>services/backend/app/models.py   ·   Phase P3   ·   All 10 tables with database-level constraints.</t>
        </is>
      </c>
    </row>
    <row r="233">
      <c r="B233" s="55" t="inlineStr">
        <is>
          <t>↑ back to Code Index</t>
        </is>
      </c>
    </row>
    <row r="234">
      <c r="A234" s="61" t="n">
        <v>1</v>
      </c>
      <c r="B234" s="62" t="inlineStr">
        <is>
          <t>"""Database tables as SQLAlchemy 2.0 typed models.</t>
        </is>
      </c>
    </row>
    <row r="235">
      <c r="A235" s="61" t="n">
        <v>2</v>
      </c>
      <c r="B235" s="62" t="n"/>
    </row>
    <row r="236">
      <c r="A236" s="61" t="n">
        <v>3</v>
      </c>
      <c r="B236" s="62" t="inlineStr">
        <is>
          <t>Rule of thumb: constraints that protect correctness (uniqueness, foreign keys) live in the</t>
        </is>
      </c>
    </row>
    <row r="237">
      <c r="A237" s="61" t="n">
        <v>4</v>
      </c>
      <c r="B237" s="62" t="inlineStr">
        <is>
          <t>database, not only in Python, because two requests or two workers can race each other.</t>
        </is>
      </c>
    </row>
    <row r="238">
      <c r="A238" s="61" t="n">
        <v>5</v>
      </c>
      <c r="B238" s="62" t="inlineStr">
        <is>
          <t>"""</t>
        </is>
      </c>
    </row>
    <row r="239">
      <c r="A239" s="61" t="n">
        <v>6</v>
      </c>
      <c r="B239" s="62" t="inlineStr">
        <is>
          <t>import uuid</t>
        </is>
      </c>
    </row>
    <row r="240">
      <c r="A240" s="61" t="n">
        <v>7</v>
      </c>
      <c r="B240" s="62" t="inlineStr">
        <is>
          <t>from datetime import datetime</t>
        </is>
      </c>
    </row>
    <row r="241">
      <c r="A241" s="61" t="n">
        <v>8</v>
      </c>
      <c r="B241" s="62" t="inlineStr">
        <is>
          <t>from typing import Any</t>
        </is>
      </c>
    </row>
    <row r="242">
      <c r="A242" s="61" t="n">
        <v>9</v>
      </c>
      <c r="B242" s="62" t="n"/>
    </row>
    <row r="243">
      <c r="A243" s="61" t="n">
        <v>10</v>
      </c>
      <c r="B243" s="62" t="inlineStr">
        <is>
          <t>from sqlalchemy import (</t>
        </is>
      </c>
    </row>
    <row r="244">
      <c r="A244" s="61" t="n">
        <v>11</v>
      </c>
      <c r="B244" s="62" t="inlineStr">
        <is>
          <t xml:space="preserve">    BigInteger,</t>
        </is>
      </c>
    </row>
    <row r="245">
      <c r="A245" s="61" t="n">
        <v>12</v>
      </c>
      <c r="B245" s="62" t="inlineStr">
        <is>
          <t xml:space="preserve">    Boolean,</t>
        </is>
      </c>
    </row>
    <row r="246">
      <c r="A246" s="61" t="n">
        <v>13</v>
      </c>
      <c r="B246" s="62" t="inlineStr">
        <is>
          <t xml:space="preserve">    DateTime,</t>
        </is>
      </c>
    </row>
    <row r="247">
      <c r="A247" s="61" t="n">
        <v>14</v>
      </c>
      <c r="B247" s="62" t="inlineStr">
        <is>
          <t xml:space="preserve">    Float,</t>
        </is>
      </c>
    </row>
    <row r="248">
      <c r="A248" s="61" t="n">
        <v>15</v>
      </c>
      <c r="B248" s="62" t="inlineStr">
        <is>
          <t xml:space="preserve">    ForeignKey,</t>
        </is>
      </c>
    </row>
    <row r="249">
      <c r="A249" s="61" t="n">
        <v>16</v>
      </c>
      <c r="B249" s="62" t="inlineStr">
        <is>
          <t xml:space="preserve">    Index,</t>
        </is>
      </c>
    </row>
    <row r="250">
      <c r="A250" s="61" t="n">
        <v>17</v>
      </c>
      <c r="B250" s="62" t="inlineStr">
        <is>
          <t xml:space="preserve">    Integer,</t>
        </is>
      </c>
    </row>
    <row r="251">
      <c r="A251" s="61" t="n">
        <v>18</v>
      </c>
      <c r="B251" s="62" t="inlineStr">
        <is>
          <t xml:space="preserve">    String,</t>
        </is>
      </c>
    </row>
    <row r="252">
      <c r="A252" s="61" t="n">
        <v>19</v>
      </c>
      <c r="B252" s="62" t="inlineStr">
        <is>
          <t xml:space="preserve">    Text,</t>
        </is>
      </c>
    </row>
    <row r="253">
      <c r="A253" s="61" t="n">
        <v>20</v>
      </c>
      <c r="B253" s="62" t="inlineStr">
        <is>
          <t xml:space="preserve">    UniqueConstraint,</t>
        </is>
      </c>
    </row>
    <row r="254">
      <c r="A254" s="61" t="n">
        <v>21</v>
      </c>
      <c r="B254" s="62" t="inlineStr">
        <is>
          <t xml:space="preserve">    func,</t>
        </is>
      </c>
    </row>
    <row r="255">
      <c r="A255" s="61" t="n">
        <v>22</v>
      </c>
      <c r="B255" s="62" t="inlineStr">
        <is>
          <t>)</t>
        </is>
      </c>
    </row>
    <row r="256">
      <c r="A256" s="61" t="n">
        <v>23</v>
      </c>
      <c r="B256" s="62" t="inlineStr">
        <is>
          <t>from sqlalchemy.dialects.postgresql import JSONB, UUID</t>
        </is>
      </c>
    </row>
    <row r="257">
      <c r="A257" s="61" t="n">
        <v>24</v>
      </c>
      <c r="B257" s="62" t="inlineStr">
        <is>
          <t>from sqlalchemy.orm import Mapped, mapped_column</t>
        </is>
      </c>
    </row>
    <row r="258">
      <c r="A258" s="61" t="n">
        <v>25</v>
      </c>
      <c r="B258" s="62" t="n"/>
    </row>
    <row r="259">
      <c r="A259" s="61" t="n">
        <v>26</v>
      </c>
      <c r="B259" s="62" t="inlineStr">
        <is>
          <t>from app.db import Base</t>
        </is>
      </c>
    </row>
    <row r="260">
      <c r="A260" s="61" t="n">
        <v>27</v>
      </c>
      <c r="B260" s="62" t="n"/>
    </row>
    <row r="261">
      <c r="A261" s="61" t="n">
        <v>28</v>
      </c>
      <c r="B261" s="62" t="inlineStr">
        <is>
          <t>TZ = DateTime(timezone=True)</t>
        </is>
      </c>
    </row>
    <row r="262">
      <c r="A262" s="61" t="n">
        <v>29</v>
      </c>
      <c r="B262" s="62" t="n"/>
    </row>
    <row r="263">
      <c r="A263" s="61" t="n">
        <v>30</v>
      </c>
      <c r="B263" s="62" t="n"/>
    </row>
    <row r="264">
      <c r="A264" s="61" t="n">
        <v>31</v>
      </c>
      <c r="B264" s="62" t="inlineStr">
        <is>
          <t>class Visitor(Base):</t>
        </is>
      </c>
    </row>
    <row r="265">
      <c r="A265" s="61" t="n">
        <v>32</v>
      </c>
      <c r="B265" s="62" t="inlineStr">
        <is>
          <t xml:space="preserve">    __tablename__ = "visitors"</t>
        </is>
      </c>
    </row>
    <row r="266">
      <c r="A266" s="61" t="n">
        <v>33</v>
      </c>
      <c r="B266" s="62" t="n"/>
    </row>
    <row r="267">
      <c r="A267" s="61" t="n">
        <v>34</v>
      </c>
      <c r="B267" s="62" t="inlineStr">
        <is>
          <t xml:space="preserve">    id: Mapped[uuid.UUID] = mapped_column(UUID(as_uuid=True), primary_key=True, default=uuid.uuid4)</t>
        </is>
      </c>
    </row>
    <row r="268">
      <c r="A268" s="61" t="n">
        <v>35</v>
      </c>
      <c r="B268" s="62" t="inlineStr">
        <is>
          <t xml:space="preserve">    token_hash: Mapped[str] = mapped_column(String(64), unique=True)  # sha256 hex of the guest token</t>
        </is>
      </c>
    </row>
    <row r="269">
      <c r="A269" s="61" t="n">
        <v>36</v>
      </c>
      <c r="B269" s="62" t="inlineStr">
        <is>
          <t xml:space="preserve">    created_at: Mapped[datetime] = mapped_column(TZ, server_default=func.now())</t>
        </is>
      </c>
    </row>
    <row r="270">
      <c r="A270" s="61" t="n">
        <v>37</v>
      </c>
      <c r="B270" s="62" t="inlineStr">
        <is>
          <t xml:space="preserve">    last_seen_at: Mapped[datetime] = mapped_column(TZ, server_default=func.now())</t>
        </is>
      </c>
    </row>
    <row r="271">
      <c r="A271" s="61" t="n">
        <v>38</v>
      </c>
      <c r="B271" s="62" t="inlineStr">
        <is>
          <t xml:space="preserve">    expires_at: Mapped[datetime] = mapped_column(TZ, index=True)</t>
        </is>
      </c>
    </row>
    <row r="272">
      <c r="A272" s="61" t="n">
        <v>39</v>
      </c>
      <c r="B272" s="62" t="n"/>
    </row>
    <row r="273">
      <c r="A273" s="61" t="n">
        <v>40</v>
      </c>
      <c r="B273" s="62" t="n"/>
    </row>
    <row r="274">
      <c r="A274" s="61" t="n">
        <v>41</v>
      </c>
      <c r="B274" s="62" t="inlineStr">
        <is>
          <t>class ImportRun(Base):</t>
        </is>
      </c>
    </row>
    <row r="275">
      <c r="A275" s="61" t="n">
        <v>42</v>
      </c>
      <c r="B275" s="62" t="inlineStr">
        <is>
          <t xml:space="preserve">    __tablename__ = "import_runs"</t>
        </is>
      </c>
    </row>
    <row r="276">
      <c r="A276" s="61" t="n">
        <v>43</v>
      </c>
      <c r="B276" s="62" t="n"/>
    </row>
    <row r="277">
      <c r="A277" s="61" t="n">
        <v>44</v>
      </c>
      <c r="B277" s="62" t="inlineStr">
        <is>
          <t xml:space="preserve">    id: Mapped[uuid.UUID] = mapped_column(UUID(as_uuid=True), primary_key=True, default=uuid.uuid4)</t>
        </is>
      </c>
    </row>
    <row r="278">
      <c r="A278" s="61" t="n">
        <v>45</v>
      </c>
      <c r="B278" s="62" t="inlineStr">
        <is>
          <t xml:space="preserve">    owner_id: Mapped[uuid.UUID] = mapped_column(ForeignKey("visitors.id", ondelete="CASCADE"), index=True)</t>
        </is>
      </c>
    </row>
    <row r="279">
      <c r="A279" s="61" t="n">
        <v>46</v>
      </c>
      <c r="B279" s="62" t="inlineStr">
        <is>
          <t xml:space="preserve">    provider: Mapped[str] = mapped_column(String(16))  # lichess | chesscom | pgn</t>
        </is>
      </c>
    </row>
    <row r="280">
      <c r="A280" s="61" t="n">
        <v>47</v>
      </c>
      <c r="B280" s="62" t="inlineStr">
        <is>
          <t xml:space="preserve">    username: Mapped[str | None] = mapped_column(String(40))</t>
        </is>
      </c>
    </row>
    <row r="281">
      <c r="A281" s="61" t="n">
        <v>48</v>
      </c>
      <c r="B281" s="62" t="inlineStr">
        <is>
          <t xml:space="preserve">    target_limit: Mapped[int] = mapped_column(Integer)</t>
        </is>
      </c>
    </row>
    <row r="282">
      <c r="A282" s="61" t="n">
        <v>49</v>
      </c>
      <c r="B282" s="62" t="inlineStr">
        <is>
          <t xml:space="preserve">    fetched: Mapped[int] = mapped_column(Integer, default=0)</t>
        </is>
      </c>
    </row>
    <row r="283">
      <c r="A283" s="61" t="n">
        <v>50</v>
      </c>
      <c r="B283" s="62" t="inlineStr">
        <is>
          <t xml:space="preserve">    eligible: Mapped[int] = mapped_column(Integer, default=0)</t>
        </is>
      </c>
    </row>
    <row r="284">
      <c r="A284" s="61" t="n">
        <v>51</v>
      </c>
      <c r="B284" s="62" t="inlineStr">
        <is>
          <t xml:space="preserve">    excluded: Mapped[int] = mapped_column(Integer, default=0)</t>
        </is>
      </c>
    </row>
    <row r="285">
      <c r="A285" s="61" t="n">
        <v>52</v>
      </c>
      <c r="B285" s="62" t="inlineStr">
        <is>
          <t xml:space="preserve">    state: Mapped[str] = mapped_column(String(16), default="queued")</t>
        </is>
      </c>
    </row>
    <row r="286">
      <c r="A286" s="61" t="n">
        <v>53</v>
      </c>
      <c r="B286" s="62" t="inlineStr">
        <is>
          <t xml:space="preserve">    error_code: Mapped[str | None] = mapped_column(String(64))</t>
        </is>
      </c>
    </row>
    <row r="287">
      <c r="A287" s="61" t="n">
        <v>54</v>
      </c>
      <c r="B287" s="62" t="inlineStr">
        <is>
          <t xml:space="preserve">    job_id: Mapped[int | None] = mapped_column(BigInteger)</t>
        </is>
      </c>
    </row>
    <row r="288">
      <c r="A288" s="61" t="n">
        <v>55</v>
      </c>
      <c r="B288" s="62" t="inlineStr">
        <is>
          <t xml:space="preserve">    created_at: Mapped[datetime] = mapped_column(TZ, server_default=func.now())</t>
        </is>
      </c>
    </row>
    <row r="289">
      <c r="A289" s="61" t="n">
        <v>56</v>
      </c>
      <c r="B289" s="62" t="inlineStr">
        <is>
          <t xml:space="preserve">    updated_at: Mapped[datetime] = mapped_column(TZ, server_default=func.now(), onupdate=func.now())</t>
        </is>
      </c>
    </row>
    <row r="290">
      <c r="A290" s="61" t="n">
        <v>57</v>
      </c>
      <c r="B290" s="62" t="n"/>
    </row>
    <row r="291">
      <c r="A291" s="61" t="n">
        <v>58</v>
      </c>
      <c r="B291" s="62" t="n"/>
    </row>
    <row r="292">
      <c r="A292" s="61" t="n">
        <v>59</v>
      </c>
      <c r="B292" s="62" t="inlineStr">
        <is>
          <t>class Game(Base):</t>
        </is>
      </c>
    </row>
    <row r="293">
      <c r="A293" s="61" t="n">
        <v>60</v>
      </c>
      <c r="B293" s="62" t="inlineStr">
        <is>
          <t xml:space="preserve">    __tablename__ = "games"</t>
        </is>
      </c>
    </row>
    <row r="294">
      <c r="A294" s="61" t="n">
        <v>61</v>
      </c>
      <c r="B294" s="62" t="inlineStr">
        <is>
          <t xml:space="preserve">    __table_args__ = (</t>
        </is>
      </c>
    </row>
    <row r="295">
      <c r="A295" s="61" t="n">
        <v>62</v>
      </c>
      <c r="B295" s="62" t="inlineStr">
        <is>
          <t xml:space="preserve">        UniqueConstraint("owner_id", "source", "source_game_id", name="uq_game_source"),</t>
        </is>
      </c>
    </row>
    <row r="296">
      <c r="A296" s="61" t="n">
        <v>63</v>
      </c>
      <c r="B296" s="62" t="inlineStr">
        <is>
          <t xml:space="preserve">        Index("ix_games_owner_created", "owner_id", "created_at"),</t>
        </is>
      </c>
    </row>
    <row r="297">
      <c r="A297" s="61" t="n">
        <v>64</v>
      </c>
      <c r="B297" s="62" t="inlineStr">
        <is>
          <t xml:space="preserve">    )</t>
        </is>
      </c>
    </row>
    <row r="298">
      <c r="A298" s="61" t="n">
        <v>65</v>
      </c>
      <c r="B298" s="62" t="n"/>
    </row>
    <row r="299">
      <c r="A299" s="61" t="n">
        <v>66</v>
      </c>
      <c r="B299" s="62" t="inlineStr">
        <is>
          <t xml:space="preserve">    id: Mapped[uuid.UUID] = mapped_column(UUID(as_uuid=True), primary_key=True, default=uuid.uuid4)</t>
        </is>
      </c>
    </row>
    <row r="300">
      <c r="A300" s="61" t="n">
        <v>67</v>
      </c>
      <c r="B300" s="62" t="inlineStr">
        <is>
          <t xml:space="preserve">    owner_id: Mapped[uuid.UUID] = mapped_column(ForeignKey("visitors.id", ondelete="CASCADE"))</t>
        </is>
      </c>
    </row>
    <row r="301">
      <c r="A301" s="61" t="n">
        <v>68</v>
      </c>
      <c r="B301" s="62" t="inlineStr">
        <is>
          <t xml:space="preserve">    import_id: Mapped[uuid.UUID | None] = mapped_column(ForeignKey("import_runs.id", ondelete="SET NULL"))</t>
        </is>
      </c>
    </row>
    <row r="302">
      <c r="A302" s="61" t="n">
        <v>69</v>
      </c>
      <c r="B302" s="62" t="inlineStr">
        <is>
          <t xml:space="preserve">    source: Mapped[str] = mapped_column(String(16))  # played | lichess | chesscom | pgn</t>
        </is>
      </c>
    </row>
    <row r="303">
      <c r="A303" s="61" t="n">
        <v>70</v>
      </c>
      <c r="B303" s="62" t="inlineStr">
        <is>
          <t xml:space="preserve">    source_game_id: Mapped[str] = mapped_column(String(128))  # provider id, or a hash for played/pgn</t>
        </is>
      </c>
    </row>
    <row r="304">
      <c r="A304" s="61" t="n">
        <v>71</v>
      </c>
      <c r="B304" s="62" t="inlineStr">
        <is>
          <t xml:space="preserve">    player_color: Mapped[str] = mapped_column(String(5))  # white | black</t>
        </is>
      </c>
    </row>
    <row r="305">
      <c r="A305" s="61" t="n">
        <v>72</v>
      </c>
      <c r="B305" s="62" t="inlineStr">
        <is>
          <t xml:space="preserve">    white_name: Mapped[str] = mapped_column(String(80), default="?")</t>
        </is>
      </c>
    </row>
    <row r="306">
      <c r="A306" s="61" t="n">
        <v>73</v>
      </c>
      <c r="B306" s="62" t="inlineStr">
        <is>
          <t xml:space="preserve">    black_name: Mapped[str] = mapped_column(String(80), default="?")</t>
        </is>
      </c>
    </row>
    <row r="307">
      <c r="A307" s="61" t="n">
        <v>74</v>
      </c>
      <c r="B307" s="62" t="inlineStr">
        <is>
          <t xml:space="preserve">    result: Mapped[str] = mapped_column(String(8), default="*")</t>
        </is>
      </c>
    </row>
    <row r="308">
      <c r="A308" s="61" t="n">
        <v>75</v>
      </c>
      <c r="B308" s="62" t="inlineStr">
        <is>
          <t xml:space="preserve">    pgn: Mapped[str] = mapped_column(Text)</t>
        </is>
      </c>
    </row>
    <row r="309">
      <c r="A309" s="61" t="n">
        <v>76</v>
      </c>
      <c r="B309" s="62" t="inlineStr">
        <is>
          <t xml:space="preserve">    initial_fen: Mapped[str] = mapped_column(Text)</t>
        </is>
      </c>
    </row>
    <row r="310">
      <c r="A310" s="61" t="n">
        <v>77</v>
      </c>
      <c r="B310" s="62" t="inlineStr">
        <is>
          <t xml:space="preserve">    ply_count: Mapped[int] = mapped_column(Integer)</t>
        </is>
      </c>
    </row>
    <row r="311">
      <c r="A311" s="61" t="n">
        <v>78</v>
      </c>
      <c r="B311" s="62" t="inlineStr">
        <is>
          <t xml:space="preserve">    time_control: Mapped[str | None] = mapped_column(String(32))</t>
        </is>
      </c>
    </row>
    <row r="312">
      <c r="A312" s="61" t="n">
        <v>79</v>
      </c>
      <c r="B312" s="62" t="inlineStr">
        <is>
          <t xml:space="preserve">    engine_label: Mapped[str | None] = mapped_column(String(40))</t>
        </is>
      </c>
    </row>
    <row r="313">
      <c r="A313" s="61" t="n">
        <v>80</v>
      </c>
      <c r="B313" s="62" t="inlineStr">
        <is>
          <t xml:space="preserve">    played_at: Mapped[datetime | None] = mapped_column(TZ)</t>
        </is>
      </c>
    </row>
    <row r="314">
      <c r="A314" s="61" t="n">
        <v>81</v>
      </c>
      <c r="B314" s="62" t="inlineStr">
        <is>
          <t xml:space="preserve">    created_at: Mapped[datetime] = mapped_column(TZ, server_default=func.now())</t>
        </is>
      </c>
    </row>
    <row r="315">
      <c r="A315" s="61" t="n">
        <v>82</v>
      </c>
      <c r="B315" s="62" t="n"/>
    </row>
    <row r="316">
      <c r="A316" s="61" t="n">
        <v>83</v>
      </c>
      <c r="B316" s="62" t="n"/>
    </row>
    <row r="317">
      <c r="A317" s="61" t="n">
        <v>84</v>
      </c>
      <c r="B317" s="62" t="inlineStr">
        <is>
          <t>class Job(Base):</t>
        </is>
      </c>
    </row>
    <row r="318">
      <c r="A318" s="61" t="n">
        <v>85</v>
      </c>
      <c r="B318" s="62" t="inlineStr">
        <is>
          <t xml:space="preserve">    __tablename__ = "jobs"</t>
        </is>
      </c>
    </row>
    <row r="319">
      <c r="A319" s="61" t="n">
        <v>86</v>
      </c>
      <c r="B319" s="62" t="inlineStr">
        <is>
          <t xml:space="preserve">    __table_args__ = (Index("ix_jobs_ready", "status", "run_after"),)</t>
        </is>
      </c>
    </row>
    <row r="320">
      <c r="A320" s="61" t="n">
        <v>87</v>
      </c>
      <c r="B320" s="62" t="n"/>
    </row>
    <row r="321">
      <c r="A321" s="61" t="n">
        <v>88</v>
      </c>
      <c r="B321" s="62" t="inlineStr">
        <is>
          <t xml:space="preserve">    id: Mapped[int] = mapped_column(BigInteger, primary_key=True)</t>
        </is>
      </c>
    </row>
    <row r="322">
      <c r="A322" s="61" t="n">
        <v>89</v>
      </c>
      <c r="B322" s="62" t="inlineStr">
        <is>
          <t xml:space="preserve">    kind: Mapped[str] = mapped_column(String(32))</t>
        </is>
      </c>
    </row>
    <row r="323">
      <c r="A323" s="61" t="n">
        <v>90</v>
      </c>
      <c r="B323" s="62" t="inlineStr">
        <is>
          <t xml:space="preserve">    owner_id: Mapped[uuid.UUID | None] = mapped_column(ForeignKey("visitors.id", ondelete="CASCADE"), index=True)</t>
        </is>
      </c>
    </row>
    <row r="324">
      <c r="A324" s="61" t="n">
        <v>91</v>
      </c>
      <c r="B324" s="62" t="inlineStr">
        <is>
          <t xml:space="preserve">    payload: Mapped[dict[str, Any]] = mapped_column(JSONB, default=dict)</t>
        </is>
      </c>
    </row>
    <row r="325">
      <c r="A325" s="61" t="n">
        <v>92</v>
      </c>
      <c r="B325" s="62" t="inlineStr">
        <is>
          <t xml:space="preserve">    priority: Mapped[int] = mapped_column(Integer, default=0)</t>
        </is>
      </c>
    </row>
    <row r="326">
      <c r="A326" s="61" t="n">
        <v>93</v>
      </c>
      <c r="B326" s="62" t="inlineStr">
        <is>
          <t xml:space="preserve">    status: Mapped[str] = mapped_column(String(20), default="queued")</t>
        </is>
      </c>
    </row>
    <row r="327">
      <c r="A327" s="61" t="n">
        <v>94</v>
      </c>
      <c r="B327" s="62" t="inlineStr">
        <is>
          <t xml:space="preserve">    run_after: Mapped[datetime] = mapped_column(TZ, server_default=func.now())</t>
        </is>
      </c>
    </row>
    <row r="328">
      <c r="A328" s="61" t="n">
        <v>95</v>
      </c>
      <c r="B328" s="62" t="inlineStr">
        <is>
          <t xml:space="preserve">    attempts: Mapped[int] = mapped_column(Integer, default=0)</t>
        </is>
      </c>
    </row>
    <row r="329">
      <c r="A329" s="61" t="n">
        <v>96</v>
      </c>
      <c r="B329" s="62" t="inlineStr">
        <is>
          <t xml:space="preserve">    max_attempts: Mapped[int] = mapped_column(Integer, default=5)</t>
        </is>
      </c>
    </row>
    <row r="330">
      <c r="A330" s="61" t="n">
        <v>97</v>
      </c>
      <c r="B330" s="62" t="inlineStr">
        <is>
          <t xml:space="preserve">    lease_expires_at: Mapped[datetime | None] = mapped_column(TZ)</t>
        </is>
      </c>
    </row>
    <row r="331">
      <c r="A331" s="61" t="n">
        <v>98</v>
      </c>
      <c r="B331" s="62" t="inlineStr">
        <is>
          <t xml:space="preserve">    heartbeat_at: Mapped[datetime | None] = mapped_column(TZ)</t>
        </is>
      </c>
    </row>
    <row r="332">
      <c r="A332" s="61" t="n">
        <v>99</v>
      </c>
      <c r="B332" s="62" t="inlineStr">
        <is>
          <t xml:space="preserve">    cancel_requested: Mapped[bool] = mapped_column(Boolean, default=False)</t>
        </is>
      </c>
    </row>
    <row r="333">
      <c r="A333" s="61" t="n">
        <v>100</v>
      </c>
      <c r="B333" s="62" t="inlineStr">
        <is>
          <t xml:space="preserve">    dedupe_key: Mapped[str | None] = mapped_column(String(200), unique=True)</t>
        </is>
      </c>
    </row>
    <row r="334">
      <c r="A334" s="61" t="n">
        <v>101</v>
      </c>
      <c r="B334" s="62" t="inlineStr">
        <is>
          <t xml:space="preserve">    progress: Mapped[dict[str, Any]] = mapped_column(JSONB, default=dict)</t>
        </is>
      </c>
    </row>
    <row r="335">
      <c r="A335" s="61" t="n">
        <v>102</v>
      </c>
      <c r="B335" s="62" t="inlineStr">
        <is>
          <t xml:space="preserve">    result: Mapped[dict[str, Any] | None] = mapped_column(JSONB)</t>
        </is>
      </c>
    </row>
    <row r="336">
      <c r="A336" s="61" t="n">
        <v>103</v>
      </c>
      <c r="B336" s="62" t="inlineStr">
        <is>
          <t xml:space="preserve">    error_code: Mapped[str | None] = mapped_column(String(64))</t>
        </is>
      </c>
    </row>
    <row r="337">
      <c r="A337" s="61" t="n">
        <v>104</v>
      </c>
      <c r="B337" s="62" t="inlineStr">
        <is>
          <t xml:space="preserve">    error_detail: Mapped[str | None] = mapped_column(Text)</t>
        </is>
      </c>
    </row>
    <row r="338">
      <c r="A338" s="61" t="n">
        <v>105</v>
      </c>
      <c r="B338" s="62" t="inlineStr">
        <is>
          <t xml:space="preserve">    created_at: Mapped[datetime] = mapped_column(TZ, server_default=func.now())</t>
        </is>
      </c>
    </row>
    <row r="339">
      <c r="A339" s="61" t="n">
        <v>106</v>
      </c>
      <c r="B339" s="62" t="inlineStr">
        <is>
          <t xml:space="preserve">    updated_at: Mapped[datetime] = mapped_column(TZ, server_default=func.now(), onupdate=func.now())</t>
        </is>
      </c>
    </row>
    <row r="340">
      <c r="A340" s="61" t="n">
        <v>107</v>
      </c>
      <c r="B340" s="62" t="n"/>
    </row>
    <row r="341">
      <c r="A341" s="61" t="n">
        <v>108</v>
      </c>
      <c r="B341" s="62" t="n"/>
    </row>
    <row r="342">
      <c r="A342" s="61" t="n">
        <v>109</v>
      </c>
      <c r="B342" s="62" t="inlineStr">
        <is>
          <t>class AnalysisRun(Base):</t>
        </is>
      </c>
    </row>
    <row r="343">
      <c r="A343" s="61" t="n">
        <v>110</v>
      </c>
      <c r="B343" s="62" t="inlineStr">
        <is>
          <t xml:space="preserve">    __tablename__ = "analysis_runs"</t>
        </is>
      </c>
    </row>
    <row r="344">
      <c r="A344" s="61" t="n">
        <v>111</v>
      </c>
      <c r="B344" s="62" t="inlineStr">
        <is>
          <t xml:space="preserve">    __table_args__ = (UniqueConstraint("game_id", "pipeline_version", name="uq_analysis_version"),)</t>
        </is>
      </c>
    </row>
    <row r="345">
      <c r="A345" s="61" t="n">
        <v>112</v>
      </c>
      <c r="B345" s="62" t="n"/>
    </row>
    <row r="346">
      <c r="A346" s="61" t="n">
        <v>113</v>
      </c>
      <c r="B346" s="62" t="inlineStr">
        <is>
          <t xml:space="preserve">    id: Mapped[uuid.UUID] = mapped_column(UUID(as_uuid=True), primary_key=True, default=uuid.uuid4)</t>
        </is>
      </c>
    </row>
    <row r="347">
      <c r="A347" s="61" t="n">
        <v>114</v>
      </c>
      <c r="B347" s="62" t="inlineStr">
        <is>
          <t xml:space="preserve">    game_id: Mapped[uuid.UUID] = mapped_column(ForeignKey("games.id", ondelete="CASCADE"))</t>
        </is>
      </c>
    </row>
    <row r="348">
      <c r="A348" s="61" t="n">
        <v>115</v>
      </c>
      <c r="B348" s="62" t="inlineStr">
        <is>
          <t xml:space="preserve">    pipeline_version: Mapped[str] = mapped_column(String(32))</t>
        </is>
      </c>
    </row>
    <row r="349">
      <c r="A349" s="61" t="n">
        <v>116</v>
      </c>
      <c r="B349" s="62" t="inlineStr">
        <is>
          <t xml:space="preserve">    engine_name: Mapped[str | None] = mapped_column(String(80))</t>
        </is>
      </c>
    </row>
    <row r="350">
      <c r="A350" s="61" t="n">
        <v>117</v>
      </c>
      <c r="B350" s="62" t="inlineStr">
        <is>
          <t xml:space="preserve">    limits: Mapped[dict[str, Any]] = mapped_column(JSONB, default=dict)</t>
        </is>
      </c>
    </row>
    <row r="351">
      <c r="A351" s="61" t="n">
        <v>118</v>
      </c>
      <c r="B351" s="62" t="inlineStr">
        <is>
          <t xml:space="preserve">    state: Mapped[str] = mapped_column(String(16), default="running")  # running|succeeded|partial|failed</t>
        </is>
      </c>
    </row>
    <row r="352">
      <c r="A352" s="61" t="n">
        <v>119</v>
      </c>
      <c r="B352" s="62" t="inlineStr">
        <is>
          <t xml:space="preserve">    positions_total: Mapped[int] = mapped_column(Integer, default=0)</t>
        </is>
      </c>
    </row>
    <row r="353">
      <c r="A353" s="61" t="n">
        <v>120</v>
      </c>
      <c r="B353" s="62" t="inlineStr">
        <is>
          <t xml:space="preserve">    positions_analyzed: Mapped[int] = mapped_column(Integer, default=0)</t>
        </is>
      </c>
    </row>
    <row r="354">
      <c r="A354" s="61" t="n">
        <v>121</v>
      </c>
      <c r="B354" s="62" t="inlineStr">
        <is>
          <t xml:space="preserve">    created_at: Mapped[datetime] = mapped_column(TZ, server_default=func.now())</t>
        </is>
      </c>
    </row>
    <row r="355">
      <c r="A355" s="61" t="n">
        <v>122</v>
      </c>
      <c r="B355" s="62" t="inlineStr">
        <is>
          <t xml:space="preserve">    finished_at: Mapped[datetime | None] = mapped_column(TZ)</t>
        </is>
      </c>
    </row>
    <row r="356">
      <c r="A356" s="61" t="n">
        <v>123</v>
      </c>
      <c r="B356" s="62" t="n"/>
    </row>
    <row r="357">
      <c r="A357" s="61" t="n">
        <v>124</v>
      </c>
      <c r="B357" s="62" t="n"/>
    </row>
    <row r="358">
      <c r="A358" s="61" t="n">
        <v>125</v>
      </c>
      <c r="B358" s="62" t="inlineStr">
        <is>
          <t>class TacticalEvidence(Base):</t>
        </is>
      </c>
    </row>
    <row r="359">
      <c r="A359" s="61" t="n">
        <v>126</v>
      </c>
      <c r="B359" s="62" t="inlineStr">
        <is>
          <t xml:space="preserve">    """A versioned, structured record of what was observed and verified. Prose is derived from it."""</t>
        </is>
      </c>
    </row>
    <row r="360">
      <c r="A360" s="61" t="n">
        <v>127</v>
      </c>
      <c r="B360" s="62" t="n"/>
    </row>
    <row r="361">
      <c r="A361" s="61" t="n">
        <v>128</v>
      </c>
      <c r="B361" s="62" t="inlineStr">
        <is>
          <t xml:space="preserve">    __tablename__ = "tactical_evidence"</t>
        </is>
      </c>
    </row>
    <row r="362">
      <c r="A362" s="61" t="n">
        <v>129</v>
      </c>
      <c r="B362" s="62" t="inlineStr">
        <is>
          <t xml:space="preserve">    __table_args__ = (UniqueConstraint("analysis_run_id", "ply", "concept", name="uq_evidence_ply"),)</t>
        </is>
      </c>
    </row>
    <row r="363">
      <c r="A363" s="61" t="n">
        <v>130</v>
      </c>
      <c r="B363" s="62" t="n"/>
    </row>
    <row r="364">
      <c r="A364" s="61" t="n">
        <v>131</v>
      </c>
      <c r="B364" s="62" t="inlineStr">
        <is>
          <t xml:space="preserve">    id: Mapped[uuid.UUID] = mapped_column(UUID(as_uuid=True), primary_key=True, default=uuid.uuid4)</t>
        </is>
      </c>
    </row>
    <row r="365">
      <c r="A365" s="61" t="n">
        <v>132</v>
      </c>
      <c r="B365" s="62" t="inlineStr">
        <is>
          <t xml:space="preserve">    analysis_run_id: Mapped[uuid.UUID] = mapped_column(ForeignKey("analysis_runs.id", ondelete="CASCADE"))</t>
        </is>
      </c>
    </row>
    <row r="366">
      <c r="A366" s="61" t="n">
        <v>133</v>
      </c>
      <c r="B366" s="62" t="inlineStr">
        <is>
          <t xml:space="preserve">    game_id: Mapped[uuid.UUID] = mapped_column(ForeignKey("games.id", ondelete="CASCADE"), index=True)</t>
        </is>
      </c>
    </row>
    <row r="367">
      <c r="A367" s="61" t="n">
        <v>134</v>
      </c>
      <c r="B367" s="62" t="inlineStr">
        <is>
          <t xml:space="preserve">    ply: Mapped[int] = mapped_column(Integer)  # 0-based index of the move in the game</t>
        </is>
      </c>
    </row>
    <row r="368">
      <c r="A368" s="61" t="n">
        <v>135</v>
      </c>
      <c r="B368" s="62" t="inlineStr">
        <is>
          <t xml:space="preserve">    concept: Mapped[str] = mapped_column(String(32))  # knight_fork | hanging_piece</t>
        </is>
      </c>
    </row>
    <row r="369">
      <c r="A369" s="61" t="n">
        <v>136</v>
      </c>
      <c r="B369" s="62" t="inlineStr">
        <is>
          <t xml:space="preserve">    kind: Mapped[str] = mapped_column(String(32), default="missed_opportunity")</t>
        </is>
      </c>
    </row>
    <row r="370">
      <c r="A370" s="61" t="n">
        <v>137</v>
      </c>
      <c r="B370" s="62" t="inlineStr">
        <is>
          <t xml:space="preserve">    fen_before: Mapped[str] = mapped_column(Text)</t>
        </is>
      </c>
    </row>
    <row r="371">
      <c r="A371" s="61" t="n">
        <v>138</v>
      </c>
      <c r="B371" s="62" t="inlineStr">
        <is>
          <t xml:space="preserve">    actual_uci: Mapped[str] = mapped_column(String(8))</t>
        </is>
      </c>
    </row>
    <row r="372">
      <c r="A372" s="61" t="n">
        <v>139</v>
      </c>
      <c r="B372" s="62" t="inlineStr">
        <is>
          <t xml:space="preserve">    actual_san: Mapped[str] = mapped_column(String(12))</t>
        </is>
      </c>
    </row>
    <row r="373">
      <c r="A373" s="61" t="n">
        <v>140</v>
      </c>
      <c r="B373" s="62" t="inlineStr">
        <is>
          <t xml:space="preserve">    candidate_uci: Mapped[str] = mapped_column(String(8))</t>
        </is>
      </c>
    </row>
    <row r="374">
      <c r="A374" s="61" t="n">
        <v>141</v>
      </c>
      <c r="B374" s="62" t="inlineStr">
        <is>
          <t xml:space="preserve">    candidate_san: Mapped[str] = mapped_column(String(12))</t>
        </is>
      </c>
    </row>
    <row r="375">
      <c r="A375" s="61" t="n">
        <v>142</v>
      </c>
      <c r="B375" s="62" t="inlineStr">
        <is>
          <t xml:space="preserve">    targets: Mapped[list[dict[str, Any]]] = mapped_column(JSONB)  # [{"square": "e8", "piece": "king"}]</t>
        </is>
      </c>
    </row>
    <row r="376">
      <c r="A376" s="61" t="n">
        <v>143</v>
      </c>
      <c r="B376" s="62" t="inlineStr">
        <is>
          <t xml:space="preserve">    line_uci: Mapped[list[str]] = mapped_column(JSONB)</t>
        </is>
      </c>
    </row>
    <row r="377">
      <c r="A377" s="61" t="n">
        <v>144</v>
      </c>
      <c r="B377" s="62" t="inlineStr">
        <is>
          <t xml:space="preserve">    line_san: Mapped[list[str]] = mapped_column(JSONB)</t>
        </is>
      </c>
    </row>
    <row r="378">
      <c r="A378" s="61" t="n">
        <v>145</v>
      </c>
      <c r="B378" s="62" t="inlineStr">
        <is>
          <t xml:space="preserve">    cp_actual: Mapped[int] = mapped_column(Integer)</t>
        </is>
      </c>
    </row>
    <row r="379">
      <c r="A379" s="61" t="n">
        <v>146</v>
      </c>
      <c r="B379" s="62" t="inlineStr">
        <is>
          <t xml:space="preserve">    cp_candidate: Mapped[int] = mapped_column(Integer)</t>
        </is>
      </c>
    </row>
    <row r="380">
      <c r="A380" s="61" t="n">
        <v>147</v>
      </c>
      <c r="B380" s="62" t="inlineStr">
        <is>
          <t xml:space="preserve">    mate_candidate: Mapped[int | None] = mapped_column(Integer)</t>
        </is>
      </c>
    </row>
    <row r="381">
      <c r="A381" s="61" t="n">
        <v>148</v>
      </c>
      <c r="B381" s="62" t="inlineStr">
        <is>
          <t xml:space="preserve">    material_gain: Mapped[int] = mapped_column(Integer)</t>
        </is>
      </c>
    </row>
    <row r="382">
      <c r="A382" s="61" t="n">
        <v>149</v>
      </c>
      <c r="B382" s="62" t="inlineStr">
        <is>
          <t xml:space="preserve">    engine_limits: Mapped[dict[str, Any]] = mapped_column(JSONB)</t>
        </is>
      </c>
    </row>
    <row r="383">
      <c r="A383" s="61" t="n">
        <v>150</v>
      </c>
      <c r="B383" s="62" t="inlineStr">
        <is>
          <t xml:space="preserve">    explanation_version: Mapped[str] = mapped_column(String(32))</t>
        </is>
      </c>
    </row>
    <row r="384">
      <c r="A384" s="61" t="n">
        <v>151</v>
      </c>
      <c r="B384" s="62" t="inlineStr">
        <is>
          <t xml:space="preserve">    explanation: Mapped[str] = mapped_column(Text)</t>
        </is>
      </c>
    </row>
    <row r="385">
      <c r="A385" s="61" t="n">
        <v>152</v>
      </c>
      <c r="B385" s="62" t="inlineStr">
        <is>
          <t xml:space="preserve">    created_at: Mapped[datetime] = mapped_column(TZ, server_default=func.now())</t>
        </is>
      </c>
    </row>
    <row r="386">
      <c r="A386" s="61" t="n">
        <v>153</v>
      </c>
      <c r="B386" s="62" t="n"/>
    </row>
    <row r="387">
      <c r="A387" s="61" t="n">
        <v>154</v>
      </c>
      <c r="B387" s="62" t="n"/>
    </row>
    <row r="388">
      <c r="A388" s="61" t="n">
        <v>155</v>
      </c>
      <c r="B388" s="62" t="inlineStr">
        <is>
          <t>class Puzzle(Base):</t>
        </is>
      </c>
    </row>
    <row r="389">
      <c r="A389" s="61" t="n">
        <v>156</v>
      </c>
      <c r="B389" s="62" t="inlineStr">
        <is>
          <t xml:space="preserve">    __tablename__ = "puzzles"</t>
        </is>
      </c>
    </row>
    <row r="390">
      <c r="A390" s="61" t="n">
        <v>157</v>
      </c>
      <c r="B390" s="62" t="inlineStr">
        <is>
          <t xml:space="preserve">    __table_args__ = (Index("ix_puzzles_pool_concept_rating", "pool", "concept", "rating"),)</t>
        </is>
      </c>
    </row>
    <row r="391">
      <c r="A391" s="61" t="n">
        <v>158</v>
      </c>
      <c r="B391" s="62" t="n"/>
    </row>
    <row r="392">
      <c r="A392" s="61" t="n">
        <v>159</v>
      </c>
      <c r="B392" s="62" t="inlineStr">
        <is>
          <t xml:space="preserve">    id: Mapped[str] = mapped_column(String(16), primary_key=True)  # Lichess PuzzleId</t>
        </is>
      </c>
    </row>
    <row r="393">
      <c r="A393" s="61" t="n">
        <v>160</v>
      </c>
      <c r="B393" s="62" t="inlineStr">
        <is>
          <t xml:space="preserve">    source_fen: Mapped[str] = mapped_column(Text)  # position BEFORE the opponent's setup move</t>
        </is>
      </c>
    </row>
    <row r="394">
      <c r="A394" s="61" t="n">
        <v>161</v>
      </c>
      <c r="B394" s="62" t="inlineStr">
        <is>
          <t xml:space="preserve">    setup_uci: Mapped[str] = mapped_column(String(8))</t>
        </is>
      </c>
    </row>
    <row r="395">
      <c r="A395" s="61" t="n">
        <v>162</v>
      </c>
      <c r="B395" s="62" t="inlineStr">
        <is>
          <t xml:space="preserve">    playable_fen: Mapped[str] = mapped_column(Text)  # position shown to the solver</t>
        </is>
      </c>
    </row>
    <row r="396">
      <c r="A396" s="61" t="n">
        <v>163</v>
      </c>
      <c r="B396" s="62" t="inlineStr">
        <is>
          <t xml:space="preserve">    solution_uci: Mapped[list[str]] = mapped_column(JSONB)  # solver, opponent, solver, ...</t>
        </is>
      </c>
    </row>
    <row r="397">
      <c r="A397" s="61" t="n">
        <v>164</v>
      </c>
      <c r="B397" s="62" t="inlineStr">
        <is>
          <t xml:space="preserve">    rating: Mapped[int] = mapped_column(Integer)</t>
        </is>
      </c>
    </row>
    <row r="398">
      <c r="A398" s="61" t="n">
        <v>165</v>
      </c>
      <c r="B398" s="62" t="inlineStr">
        <is>
          <t xml:space="preserve">    rating_deviation: Mapped[int] = mapped_column(Integer)</t>
        </is>
      </c>
    </row>
    <row r="399">
      <c r="A399" s="61" t="n">
        <v>166</v>
      </c>
      <c r="B399" s="62" t="inlineStr">
        <is>
          <t xml:space="preserve">    popularity: Mapped[int] = mapped_column(Integer)</t>
        </is>
      </c>
    </row>
    <row r="400">
      <c r="A400" s="61" t="n">
        <v>167</v>
      </c>
      <c r="B400" s="62" t="inlineStr">
        <is>
          <t xml:space="preserve">    nb_plays: Mapped[int] = mapped_column(Integer)</t>
        </is>
      </c>
    </row>
    <row r="401">
      <c r="A401" s="61" t="n">
        <v>168</v>
      </c>
      <c r="B401" s="62" t="inlineStr">
        <is>
          <t xml:space="preserve">    themes: Mapped[list[str]] = mapped_column(JSONB)</t>
        </is>
      </c>
    </row>
    <row r="402">
      <c r="A402" s="61" t="n">
        <v>169</v>
      </c>
      <c r="B402" s="62" t="inlineStr">
        <is>
          <t xml:space="preserve">    concept: Mapped[str] = mapped_column(String(32))</t>
        </is>
      </c>
    </row>
    <row r="403">
      <c r="A403" s="61" t="n">
        <v>170</v>
      </c>
      <c r="B403" s="62" t="inlineStr">
        <is>
          <t xml:space="preserve">    pool: Mapped[str] = mapped_column(String(12))  # practice | assessment | eval</t>
        </is>
      </c>
    </row>
    <row r="404">
      <c r="A404" s="61" t="n">
        <v>171</v>
      </c>
      <c r="B404" s="62" t="inlineStr">
        <is>
          <t xml:space="preserve">    game_url: Mapped[str] = mapped_column(String(200))</t>
        </is>
      </c>
    </row>
    <row r="405">
      <c r="A405" s="61" t="n">
        <v>172</v>
      </c>
      <c r="B405" s="62" t="inlineStr">
        <is>
          <t xml:space="preserve">    dataset_version: Mapped[str] = mapped_column(String(40))</t>
        </is>
      </c>
    </row>
    <row r="406">
      <c r="A406" s="61" t="n">
        <v>173</v>
      </c>
      <c r="B406" s="62" t="n"/>
    </row>
    <row r="407">
      <c r="A407" s="61" t="n">
        <v>174</v>
      </c>
      <c r="B407" s="62" t="n"/>
    </row>
    <row r="408">
      <c r="A408" s="61" t="n">
        <v>175</v>
      </c>
      <c r="B408" s="62" t="inlineStr">
        <is>
          <t>class PracticeSession(Base):</t>
        </is>
      </c>
    </row>
    <row r="409">
      <c r="A409" s="61" t="n">
        <v>176</v>
      </c>
      <c r="B409" s="62" t="inlineStr">
        <is>
          <t xml:space="preserve">    __tablename__ = "practice_sessions"</t>
        </is>
      </c>
    </row>
    <row r="410">
      <c r="A410" s="61" t="n">
        <v>177</v>
      </c>
      <c r="B410" s="62" t="inlineStr">
        <is>
          <t xml:space="preserve">    __table_args__ = (Index("ix_practice_owner_started", "owner_id", "started_at"),)</t>
        </is>
      </c>
    </row>
    <row r="411">
      <c r="A411" s="61" t="n">
        <v>178</v>
      </c>
      <c r="B411" s="62" t="n"/>
    </row>
    <row r="412">
      <c r="A412" s="61" t="n">
        <v>179</v>
      </c>
      <c r="B412" s="62" t="inlineStr">
        <is>
          <t xml:space="preserve">    id: Mapped[uuid.UUID] = mapped_column(UUID(as_uuid=True), primary_key=True, default=uuid.uuid4)</t>
        </is>
      </c>
    </row>
    <row r="413">
      <c r="A413" s="61" t="n">
        <v>180</v>
      </c>
      <c r="B413" s="62" t="inlineStr">
        <is>
          <t xml:space="preserve">    owner_id: Mapped[uuid.UUID] = mapped_column(ForeignKey("visitors.id", ondelete="CASCADE"))</t>
        </is>
      </c>
    </row>
    <row r="414">
      <c r="A414" s="61" t="n">
        <v>181</v>
      </c>
      <c r="B414" s="62" t="inlineStr">
        <is>
          <t xml:space="preserve">    puzzle_id: Mapped[str] = mapped_column(ForeignKey("puzzles.id"))</t>
        </is>
      </c>
    </row>
    <row r="415">
      <c r="A415" s="61" t="n">
        <v>182</v>
      </c>
      <c r="B415" s="62" t="inlineStr">
        <is>
          <t xml:space="preserve">    concept: Mapped[str] = mapped_column(String(32))</t>
        </is>
      </c>
    </row>
    <row r="416">
      <c r="A416" s="61" t="n">
        <v>183</v>
      </c>
      <c r="B416" s="62" t="inlineStr">
        <is>
          <t xml:space="preserve">    mode: Mapped[str] = mapped_column(String(12), default="practice")  # practice | assessment</t>
        </is>
      </c>
    </row>
    <row r="417">
      <c r="A417" s="61" t="n">
        <v>184</v>
      </c>
      <c r="B417" s="62" t="inlineStr">
        <is>
          <t xml:space="preserve">    source_evidence_id: Mapped[uuid.UUID | None] = mapped_column(UUID(as_uuid=True))</t>
        </is>
      </c>
    </row>
    <row r="418">
      <c r="A418" s="61" t="n">
        <v>185</v>
      </c>
      <c r="B418" s="62" t="inlineStr">
        <is>
          <t xml:space="preserve">    rating_before: Mapped[float] = mapped_column(Float)</t>
        </is>
      </c>
    </row>
    <row r="419">
      <c r="A419" s="61" t="n">
        <v>186</v>
      </c>
      <c r="B419" s="62" t="inlineStr">
        <is>
          <t xml:space="preserve">    predicted_p: Mapped[float] = mapped_column(Float)  # saved BEFORE the attempt, for calibration</t>
        </is>
      </c>
    </row>
    <row r="420">
      <c r="A420" s="61" t="n">
        <v>187</v>
      </c>
      <c r="B420" s="62" t="inlineStr">
        <is>
          <t xml:space="preserve">    selection_reason: Mapped[str] = mapped_column(String(64))</t>
        </is>
      </c>
    </row>
    <row r="421">
      <c r="A421" s="61" t="n">
        <v>188</v>
      </c>
      <c r="B421" s="62" t="inlineStr">
        <is>
          <t xml:space="preserve">    model_version: Mapped[str] = mapped_column(String(32))</t>
        </is>
      </c>
    </row>
    <row r="422">
      <c r="A422" s="61" t="n">
        <v>189</v>
      </c>
      <c r="B422" s="62" t="inlineStr">
        <is>
          <t xml:space="preserve">    exposure_count: Mapped[int] = mapped_column(Integer, default=0)  # prior sessions on this concept</t>
        </is>
      </c>
    </row>
    <row r="423">
      <c r="A423" s="61" t="n">
        <v>190</v>
      </c>
      <c r="B423" s="62" t="inlineStr">
        <is>
          <t xml:space="preserve">    progress_index: Mapped[int] = mapped_column(Integer, default=0)  # index into solution_uci</t>
        </is>
      </c>
    </row>
    <row r="424">
      <c r="A424" s="61" t="n">
        <v>191</v>
      </c>
      <c r="B424" s="62" t="inlineStr">
        <is>
          <t xml:space="preserve">    state: Mapped[str] = mapped_column(String(12), default="active")  # active | solved | failed</t>
        </is>
      </c>
    </row>
    <row r="425">
      <c r="A425" s="61" t="n">
        <v>192</v>
      </c>
      <c r="B425" s="62" t="inlineStr">
        <is>
          <t xml:space="preserve">    hints_used: Mapped[int] = mapped_column(Integer, default=0)</t>
        </is>
      </c>
    </row>
    <row r="426">
      <c r="A426" s="61" t="n">
        <v>193</v>
      </c>
      <c r="B426" s="62" t="inlineStr">
        <is>
          <t xml:space="preserve">    mistakes: Mapped[int] = mapped_column(Integer, default=0)</t>
        </is>
      </c>
    </row>
    <row r="427">
      <c r="A427" s="61" t="n">
        <v>194</v>
      </c>
      <c r="B427" s="62" t="inlineStr">
        <is>
          <t xml:space="preserve">    first_try_success: Mapped[bool | None] = mapped_column(Boolean)</t>
        </is>
      </c>
    </row>
    <row r="428">
      <c r="A428" s="61" t="n">
        <v>195</v>
      </c>
      <c r="B428" s="62" t="inlineStr">
        <is>
          <t xml:space="preserve">    rating_applied: Mapped[bool] = mapped_column(Boolean, default=False)</t>
        </is>
      </c>
    </row>
    <row r="429">
      <c r="A429" s="61" t="n">
        <v>196</v>
      </c>
      <c r="B429" s="62" t="inlineStr">
        <is>
          <t xml:space="preserve">    started_at: Mapped[datetime] = mapped_column(TZ, server_default=func.now())</t>
        </is>
      </c>
    </row>
    <row r="430">
      <c r="A430" s="61" t="n">
        <v>197</v>
      </c>
      <c r="B430" s="62" t="inlineStr">
        <is>
          <t xml:space="preserve">    finished_at: Mapped[datetime | None] = mapped_column(TZ)</t>
        </is>
      </c>
    </row>
    <row r="431">
      <c r="A431" s="61" t="n">
        <v>198</v>
      </c>
      <c r="B431" s="62" t="n"/>
    </row>
    <row r="432">
      <c r="A432" s="61" t="n">
        <v>199</v>
      </c>
      <c r="B432" s="62" t="n"/>
    </row>
    <row r="433">
      <c r="A433" s="61" t="n">
        <v>200</v>
      </c>
      <c r="B433" s="62" t="inlineStr">
        <is>
          <t>class PracticeEvent(Base):</t>
        </is>
      </c>
    </row>
    <row r="434">
      <c r="A434" s="61" t="n">
        <v>201</v>
      </c>
      <c r="B434" s="62" t="inlineStr">
        <is>
          <t xml:space="preserve">    __tablename__ = "practice_events"</t>
        </is>
      </c>
    </row>
    <row r="435">
      <c r="A435" s="61" t="n">
        <v>202</v>
      </c>
      <c r="B435" s="62" t="n"/>
    </row>
    <row r="436">
      <c r="A436" s="61" t="n">
        <v>203</v>
      </c>
      <c r="B436" s="62" t="inlineStr">
        <is>
          <t xml:space="preserve">    id: Mapped[int] = mapped_column(BigInteger, primary_key=True)</t>
        </is>
      </c>
    </row>
    <row r="437">
      <c r="A437" s="61" t="n">
        <v>204</v>
      </c>
      <c r="B437" s="62" t="inlineStr">
        <is>
          <t xml:space="preserve">    session_id: Mapped[uuid.UUID] = mapped_column(ForeignKey("practice_sessions.id", ondelete="CASCADE"), index=True)</t>
        </is>
      </c>
    </row>
    <row r="438">
      <c r="A438" s="61" t="n">
        <v>205</v>
      </c>
      <c r="B438" s="62" t="inlineStr">
        <is>
          <t xml:space="preserve">    kind: Mapped[str] = mapped_column(String(8))  # move | hint</t>
        </is>
      </c>
    </row>
    <row r="439">
      <c r="A439" s="61" t="n">
        <v>206</v>
      </c>
      <c r="B439" s="62" t="inlineStr">
        <is>
          <t xml:space="preserve">    uci: Mapped[str | None] = mapped_column(String(8))</t>
        </is>
      </c>
    </row>
    <row r="440">
      <c r="A440" s="61" t="n">
        <v>207</v>
      </c>
      <c r="B440" s="62" t="inlineStr">
        <is>
          <t xml:space="preserve">    correct: Mapped[bool | None] = mapped_column(Boolean)</t>
        </is>
      </c>
    </row>
    <row r="441">
      <c r="A441" s="61" t="n">
        <v>208</v>
      </c>
      <c r="B441" s="62" t="inlineStr">
        <is>
          <t xml:space="preserve">    hint_level: Mapped[int | None] = mapped_column(Integer)</t>
        </is>
      </c>
    </row>
    <row r="442">
      <c r="A442" s="61" t="n">
        <v>209</v>
      </c>
      <c r="B442" s="62" t="inlineStr">
        <is>
          <t xml:space="preserve">    created_at: Mapped[datetime] = mapped_column(TZ, server_default=func.now())</t>
        </is>
      </c>
    </row>
    <row r="443">
      <c r="A443" s="61" t="n">
        <v>210</v>
      </c>
      <c r="B443" s="62" t="n"/>
    </row>
    <row r="444">
      <c r="A444" s="61" t="n">
        <v>211</v>
      </c>
      <c r="B444" s="62" t="n"/>
    </row>
    <row r="445">
      <c r="A445" s="61" t="n">
        <v>212</v>
      </c>
      <c r="B445" s="62" t="inlineStr">
        <is>
          <t>class ConceptRating(Base):</t>
        </is>
      </c>
    </row>
    <row r="446">
      <c r="A446" s="61" t="n">
        <v>213</v>
      </c>
      <c r="B446" s="62" t="inlineStr">
        <is>
          <t xml:space="preserve">    __tablename__ = "concept_ratings"</t>
        </is>
      </c>
    </row>
    <row r="447">
      <c r="A447" s="61" t="n">
        <v>214</v>
      </c>
      <c r="B447" s="62" t="n"/>
    </row>
    <row r="448">
      <c r="A448" s="61" t="n">
        <v>215</v>
      </c>
      <c r="B448" s="62" t="inlineStr">
        <is>
          <t xml:space="preserve">    owner_id: Mapped[uuid.UUID] = mapped_column(ForeignKey("visitors.id", ondelete="CASCADE"), primary_key=True)</t>
        </is>
      </c>
    </row>
    <row r="449">
      <c r="A449" s="61" t="n">
        <v>216</v>
      </c>
      <c r="B449" s="62" t="inlineStr">
        <is>
          <t xml:space="preserve">    concept: Mapped[str] = mapped_column(String(32), primary_key=True)</t>
        </is>
      </c>
    </row>
    <row r="450">
      <c r="A450" s="61" t="n">
        <v>217</v>
      </c>
      <c r="B450" s="62" t="inlineStr">
        <is>
          <t xml:space="preserve">    rating: Mapped[float] = mapped_column(Float, default=1500.0)</t>
        </is>
      </c>
    </row>
    <row r="451">
      <c r="A451" s="61" t="n">
        <v>218</v>
      </c>
      <c r="B451" s="62" t="inlineStr">
        <is>
          <t xml:space="preserve">    attempts: Mapped[int] = mapped_column(Integer, default=0)</t>
        </is>
      </c>
    </row>
    <row r="452">
      <c r="A452" s="61" t="n">
        <v>219</v>
      </c>
      <c r="B452" s="62" t="inlineStr">
        <is>
          <t xml:space="preserve">    model_version: Mapped[str] = mapped_column(String(32))</t>
        </is>
      </c>
    </row>
    <row r="453">
      <c r="A453" s="61" t="n">
        <v>220</v>
      </c>
      <c r="B453" s="62" t="inlineStr">
        <is>
          <t xml:space="preserve">    updated_at: Mapped[datetime] = mapped_column(TZ, server_default=func.now(), onupdate=func.now())</t>
        </is>
      </c>
    </row>
    <row r="456">
      <c r="A456" s="60" t="inlineStr">
        <is>
          <t>C08</t>
        </is>
      </c>
      <c r="B456" s="60" t="inlineStr">
        <is>
          <t>services/backend/migrations/env.py.additions   ·   Phase P3   ·   The 3 edits to Alembic's generated env.py.</t>
        </is>
      </c>
    </row>
    <row r="457">
      <c r="B457" s="55" t="inlineStr">
        <is>
          <t>↑ back to Code Index</t>
        </is>
      </c>
    </row>
    <row r="458">
      <c r="A458" s="61" t="n">
        <v>1</v>
      </c>
      <c r="B458" s="62" t="inlineStr">
        <is>
          <t># --- services/backend/migrations/env.py : the only 3 edits you make to the generated file ---</t>
        </is>
      </c>
    </row>
    <row r="459">
      <c r="A459" s="61" t="n">
        <v>2</v>
      </c>
      <c r="B459" s="62" t="n"/>
    </row>
    <row r="460">
      <c r="A460" s="61" t="n">
        <v>3</v>
      </c>
      <c r="B460" s="62" t="inlineStr">
        <is>
          <t># (1) Under "from alembic import context", add:</t>
        </is>
      </c>
    </row>
    <row r="461">
      <c r="A461" s="61" t="n">
        <v>4</v>
      </c>
      <c r="B461" s="62" t="inlineStr">
        <is>
          <t>import app.models  # noqa: F401  (importing the module registers every table on Base.metadata)</t>
        </is>
      </c>
    </row>
    <row r="462">
      <c r="A462" s="61" t="n">
        <v>5</v>
      </c>
      <c r="B462" s="62" t="inlineStr">
        <is>
          <t>from app.config import get_settings</t>
        </is>
      </c>
    </row>
    <row r="463">
      <c r="A463" s="61" t="n">
        <v>6</v>
      </c>
      <c r="B463" s="62" t="inlineStr">
        <is>
          <t>from app.db import Base</t>
        </is>
      </c>
    </row>
    <row r="464">
      <c r="A464" s="61" t="n">
        <v>7</v>
      </c>
      <c r="B464" s="62" t="n"/>
    </row>
    <row r="465">
      <c r="A465" s="61" t="n">
        <v>8</v>
      </c>
      <c r="B465" s="62" t="inlineStr">
        <is>
          <t># (2) Directly under "config = context.config", add:</t>
        </is>
      </c>
    </row>
    <row r="466">
      <c r="A466" s="61" t="n">
        <v>9</v>
      </c>
      <c r="B466" s="62" t="inlineStr">
        <is>
          <t># Use the same DATABASE_URL as the app; '%' must be doubled because alembic.ini is parsed by configparser.</t>
        </is>
      </c>
    </row>
    <row r="467">
      <c r="A467" s="61" t="n">
        <v>10</v>
      </c>
      <c r="B467" s="62" t="inlineStr">
        <is>
          <t>config.set_main_option("sqlalchemy.url", get_settings().database_url.replace("%", "%%"))</t>
        </is>
      </c>
    </row>
    <row r="468">
      <c r="A468" s="61" t="n">
        <v>11</v>
      </c>
      <c r="B468" s="62" t="n"/>
    </row>
    <row r="469">
      <c r="A469" s="61" t="n">
        <v>12</v>
      </c>
      <c r="B469" s="62" t="inlineStr">
        <is>
          <t># (3) Replace "target_metadata = None" with:</t>
        </is>
      </c>
    </row>
    <row r="470">
      <c r="A470" s="61" t="n">
        <v>13</v>
      </c>
      <c r="B470" s="62" t="inlineStr">
        <is>
          <t>target_metadata = Base.metadata</t>
        </is>
      </c>
    </row>
    <row r="473">
      <c r="A473" s="60" t="inlineStr">
        <is>
          <t>C09</t>
        </is>
      </c>
      <c r="B473" s="60" t="inlineStr">
        <is>
          <t>services/backend/app/errors.py   ·   Phase P3   ·   Uniform error JSON; tracebacks only in logs.</t>
        </is>
      </c>
    </row>
    <row r="474">
      <c r="B474" s="55" t="inlineStr">
        <is>
          <t>↑ back to Code Index</t>
        </is>
      </c>
    </row>
    <row r="475">
      <c r="A475" s="61" t="n">
        <v>1</v>
      </c>
      <c r="B475" s="62" t="inlineStr">
        <is>
          <t>"""One error shape for the whole API: {"error": {"code": "...", "message": "..."}}.</t>
        </is>
      </c>
    </row>
    <row r="476">
      <c r="A476" s="61" t="n">
        <v>2</v>
      </c>
      <c r="B476" s="62" t="n"/>
    </row>
    <row r="477">
      <c r="A477" s="61" t="n">
        <v>3</v>
      </c>
      <c r="B477" s="62" t="inlineStr">
        <is>
          <t>The frontend switches on `code` (stable, machine-readable); `message` is for humans.</t>
        </is>
      </c>
    </row>
    <row r="478">
      <c r="A478" s="61" t="n">
        <v>4</v>
      </c>
      <c r="B478" s="62" t="inlineStr">
        <is>
          <t>Tracebacks are logged on the server and never sent to the browser.</t>
        </is>
      </c>
    </row>
    <row r="479">
      <c r="A479" s="61" t="n">
        <v>5</v>
      </c>
      <c r="B479" s="62" t="inlineStr">
        <is>
          <t>"""</t>
        </is>
      </c>
    </row>
    <row r="480">
      <c r="A480" s="61" t="n">
        <v>6</v>
      </c>
      <c r="B480" s="62" t="inlineStr">
        <is>
          <t>import logging</t>
        </is>
      </c>
    </row>
    <row r="481">
      <c r="A481" s="61" t="n">
        <v>7</v>
      </c>
      <c r="B481" s="62" t="n"/>
    </row>
    <row r="482">
      <c r="A482" s="61" t="n">
        <v>8</v>
      </c>
      <c r="B482" s="62" t="inlineStr">
        <is>
          <t>from fastapi import Request</t>
        </is>
      </c>
    </row>
    <row r="483">
      <c r="A483" s="61" t="n">
        <v>9</v>
      </c>
      <c r="B483" s="62" t="inlineStr">
        <is>
          <t>from fastapi.exceptions import RequestValidationError</t>
        </is>
      </c>
    </row>
    <row r="484">
      <c r="A484" s="61" t="n">
        <v>10</v>
      </c>
      <c r="B484" s="62" t="inlineStr">
        <is>
          <t>from fastapi.responses import JSONResponse</t>
        </is>
      </c>
    </row>
    <row r="485">
      <c r="A485" s="61" t="n">
        <v>11</v>
      </c>
      <c r="B485" s="62" t="n"/>
    </row>
    <row r="486">
      <c r="A486" s="61" t="n">
        <v>12</v>
      </c>
      <c r="B486" s="62" t="inlineStr">
        <is>
          <t>logger = logging.getLogger("chesslab.errors")</t>
        </is>
      </c>
    </row>
    <row r="487">
      <c r="A487" s="61" t="n">
        <v>13</v>
      </c>
      <c r="B487" s="62" t="n"/>
    </row>
    <row r="488">
      <c r="A488" s="61" t="n">
        <v>14</v>
      </c>
      <c r="B488" s="62" t="n"/>
    </row>
    <row r="489">
      <c r="A489" s="61" t="n">
        <v>15</v>
      </c>
      <c r="B489" s="62" t="inlineStr">
        <is>
          <t>class ApiError(Exception):</t>
        </is>
      </c>
    </row>
    <row r="490">
      <c r="A490" s="61" t="n">
        <v>16</v>
      </c>
      <c r="B490" s="62" t="inlineStr">
        <is>
          <t xml:space="preserve">    def __init__(self, status: int, code: str, message: str):</t>
        </is>
      </c>
    </row>
    <row r="491">
      <c r="A491" s="61" t="n">
        <v>17</v>
      </c>
      <c r="B491" s="62" t="inlineStr">
        <is>
          <t xml:space="preserve">        super().__init__(message)</t>
        </is>
      </c>
    </row>
    <row r="492">
      <c r="A492" s="61" t="n">
        <v>18</v>
      </c>
      <c r="B492" s="62" t="inlineStr">
        <is>
          <t xml:space="preserve">        self.status = status</t>
        </is>
      </c>
    </row>
    <row r="493">
      <c r="A493" s="61" t="n">
        <v>19</v>
      </c>
      <c r="B493" s="62" t="inlineStr">
        <is>
          <t xml:space="preserve">        self.code = code</t>
        </is>
      </c>
    </row>
    <row r="494">
      <c r="A494" s="61" t="n">
        <v>20</v>
      </c>
      <c r="B494" s="62" t="inlineStr">
        <is>
          <t xml:space="preserve">        self.message = message</t>
        </is>
      </c>
    </row>
    <row r="495">
      <c r="A495" s="61" t="n">
        <v>21</v>
      </c>
      <c r="B495" s="62" t="n"/>
    </row>
    <row r="496">
      <c r="A496" s="61" t="n">
        <v>22</v>
      </c>
      <c r="B496" s="62" t="n"/>
    </row>
    <row r="497">
      <c r="A497" s="61" t="n">
        <v>23</v>
      </c>
      <c r="B497" s="62" t="inlineStr">
        <is>
          <t>def _body(code: str, message: str) -&gt; dict:</t>
        </is>
      </c>
    </row>
    <row r="498">
      <c r="A498" s="61" t="n">
        <v>24</v>
      </c>
      <c r="B498" s="62" t="inlineStr">
        <is>
          <t xml:space="preserve">    return {"error": {"code": code, "message": message}}</t>
        </is>
      </c>
    </row>
    <row r="499">
      <c r="A499" s="61" t="n">
        <v>25</v>
      </c>
      <c r="B499" s="62" t="n"/>
    </row>
    <row r="500">
      <c r="A500" s="61" t="n">
        <v>26</v>
      </c>
      <c r="B500" s="62" t="n"/>
    </row>
    <row r="501">
      <c r="A501" s="61" t="n">
        <v>27</v>
      </c>
      <c r="B501" s="62" t="inlineStr">
        <is>
          <t>async def api_error_handler(request: Request, exc: ApiError) -&gt; JSONResponse:</t>
        </is>
      </c>
    </row>
    <row r="502">
      <c r="A502" s="61" t="n">
        <v>28</v>
      </c>
      <c r="B502" s="62" t="inlineStr">
        <is>
          <t xml:space="preserve">    return JSONResponse(status_code=exc.status, content=_body(exc.code, exc.message))</t>
        </is>
      </c>
    </row>
    <row r="503">
      <c r="A503" s="61" t="n">
        <v>29</v>
      </c>
      <c r="B503" s="62" t="n"/>
    </row>
    <row r="504">
      <c r="A504" s="61" t="n">
        <v>30</v>
      </c>
      <c r="B504" s="62" t="n"/>
    </row>
    <row r="505">
      <c r="A505" s="61" t="n">
        <v>31</v>
      </c>
      <c r="B505" s="62" t="inlineStr">
        <is>
          <t>async def validation_error_handler(request: Request, exc: RequestValidationError) -&gt; JSONResponse:</t>
        </is>
      </c>
    </row>
    <row r="506">
      <c r="A506" s="61" t="n">
        <v>32</v>
      </c>
      <c r="B506" s="62" t="inlineStr">
        <is>
          <t xml:space="preserve">    first = exc.errors()[0] if exc.errors() else {}</t>
        </is>
      </c>
    </row>
    <row r="507">
      <c r="A507" s="61" t="n">
        <v>33</v>
      </c>
      <c r="B507" s="62" t="inlineStr">
        <is>
          <t xml:space="preserve">    where = ".".join(str(p) for p in first.get("loc", []))</t>
        </is>
      </c>
    </row>
    <row r="508">
      <c r="A508" s="61" t="n">
        <v>34</v>
      </c>
      <c r="B508" s="62" t="inlineStr">
        <is>
          <t xml:space="preserve">    return JSONResponse(status_code=422, content=_body("VALIDATION_FAILED", f"{where}: {first.get('msg', 'invalid')}"))</t>
        </is>
      </c>
    </row>
    <row r="509">
      <c r="A509" s="61" t="n">
        <v>35</v>
      </c>
      <c r="B509" s="62" t="n"/>
    </row>
    <row r="510">
      <c r="A510" s="61" t="n">
        <v>36</v>
      </c>
      <c r="B510" s="62" t="n"/>
    </row>
    <row r="511">
      <c r="A511" s="61" t="n">
        <v>37</v>
      </c>
      <c r="B511" s="62" t="inlineStr">
        <is>
          <t>async def unhandled_error_handler(request: Request, exc: Exception) -&gt; JSONResponse:</t>
        </is>
      </c>
    </row>
    <row r="512">
      <c r="A512" s="61" t="n">
        <v>38</v>
      </c>
      <c r="B512" s="62" t="inlineStr">
        <is>
          <t xml:space="preserve">    logger.exception("unhandled error on %s %s", request.method, request.url.path)</t>
        </is>
      </c>
    </row>
    <row r="513">
      <c r="A513" s="61" t="n">
        <v>39</v>
      </c>
      <c r="B513" s="62" t="inlineStr">
        <is>
          <t xml:space="preserve">    return JSONResponse(status_code=500, content=_body("INTERNAL", "Something went wrong. Please try again."))</t>
        </is>
      </c>
    </row>
    <row r="516">
      <c r="A516" s="60" t="inlineStr">
        <is>
          <t>C10</t>
        </is>
      </c>
      <c r="B516" s="60" t="inlineStr">
        <is>
          <t>services/backend/app/security.py   ·   Phase P3   ·   Guest tokens: generate, hash, authenticate, sliding expiry.</t>
        </is>
      </c>
    </row>
    <row r="517">
      <c r="B517" s="55" t="inlineStr">
        <is>
          <t>↑ back to Code Index</t>
        </is>
      </c>
    </row>
    <row r="518">
      <c r="A518" s="61" t="n">
        <v>1</v>
      </c>
      <c r="B518" s="62" t="inlineStr">
        <is>
          <t>"""Guest credentials: a random opaque token the browser keeps; the database stores only its hash."""</t>
        </is>
      </c>
    </row>
    <row r="519">
      <c r="A519" s="61" t="n">
        <v>2</v>
      </c>
      <c r="B519" s="62" t="inlineStr">
        <is>
          <t>import hashlib</t>
        </is>
      </c>
    </row>
    <row r="520">
      <c r="A520" s="61" t="n">
        <v>3</v>
      </c>
      <c r="B520" s="62" t="inlineStr">
        <is>
          <t>import secrets</t>
        </is>
      </c>
    </row>
    <row r="521">
      <c r="A521" s="61" t="n">
        <v>4</v>
      </c>
      <c r="B521" s="62" t="inlineStr">
        <is>
          <t>from datetime import datetime, timedelta, timezone</t>
        </is>
      </c>
    </row>
    <row r="522">
      <c r="A522" s="61" t="n">
        <v>5</v>
      </c>
      <c r="B522" s="62" t="n"/>
    </row>
    <row r="523">
      <c r="A523" s="61" t="n">
        <v>6</v>
      </c>
      <c r="B523" s="62" t="inlineStr">
        <is>
          <t>from fastapi import Depends</t>
        </is>
      </c>
    </row>
    <row r="524">
      <c r="A524" s="61" t="n">
        <v>7</v>
      </c>
      <c r="B524" s="62" t="inlineStr">
        <is>
          <t>from fastapi.security import HTTPAuthorizationCredentials, HTTPBearer</t>
        </is>
      </c>
    </row>
    <row r="525">
      <c r="A525" s="61" t="n">
        <v>8</v>
      </c>
      <c r="B525" s="62" t="inlineStr">
        <is>
          <t>from sqlalchemy import select</t>
        </is>
      </c>
    </row>
    <row r="526">
      <c r="A526" s="61" t="n">
        <v>9</v>
      </c>
      <c r="B526" s="62" t="inlineStr">
        <is>
          <t>from sqlalchemy.orm import Session</t>
        </is>
      </c>
    </row>
    <row r="527">
      <c r="A527" s="61" t="n">
        <v>10</v>
      </c>
      <c r="B527" s="62" t="n"/>
    </row>
    <row r="528">
      <c r="A528" s="61" t="n">
        <v>11</v>
      </c>
      <c r="B528" s="62" t="inlineStr">
        <is>
          <t>from app.config import get_settings</t>
        </is>
      </c>
    </row>
    <row r="529">
      <c r="A529" s="61" t="n">
        <v>12</v>
      </c>
      <c r="B529" s="62" t="inlineStr">
        <is>
          <t>from app.db import get_db</t>
        </is>
      </c>
    </row>
    <row r="530">
      <c r="A530" s="61" t="n">
        <v>13</v>
      </c>
      <c r="B530" s="62" t="inlineStr">
        <is>
          <t>from app.errors import ApiError</t>
        </is>
      </c>
    </row>
    <row r="531">
      <c r="A531" s="61" t="n">
        <v>14</v>
      </c>
      <c r="B531" s="62" t="inlineStr">
        <is>
          <t>from app.models import Visitor</t>
        </is>
      </c>
    </row>
    <row r="532">
      <c r="A532" s="61" t="n">
        <v>15</v>
      </c>
      <c r="B532" s="62" t="n"/>
    </row>
    <row r="533">
      <c r="A533" s="61" t="n">
        <v>16</v>
      </c>
      <c r="B533" s="62" t="inlineStr">
        <is>
          <t>bearer = HTTPBearer(auto_error=False)</t>
        </is>
      </c>
    </row>
    <row r="534">
      <c r="A534" s="61" t="n">
        <v>17</v>
      </c>
      <c r="B534" s="62" t="n"/>
    </row>
    <row r="535">
      <c r="A535" s="61" t="n">
        <v>18</v>
      </c>
      <c r="B535" s="62" t="n"/>
    </row>
    <row r="536">
      <c r="A536" s="61" t="n">
        <v>19</v>
      </c>
      <c r="B536" s="62" t="inlineStr">
        <is>
          <t>def new_token() -&gt; str:</t>
        </is>
      </c>
    </row>
    <row r="537">
      <c r="A537" s="61" t="n">
        <v>20</v>
      </c>
      <c r="B537" s="62" t="inlineStr">
        <is>
          <t xml:space="preserve">    # 32 random bytes = 256 bits of entropy; unguessable, so a fast hash is enough (no bcrypt needed).</t>
        </is>
      </c>
    </row>
    <row r="538">
      <c r="A538" s="61" t="n">
        <v>21</v>
      </c>
      <c r="B538" s="62" t="inlineStr">
        <is>
          <t xml:space="preserve">    return secrets.token_urlsafe(32)</t>
        </is>
      </c>
    </row>
    <row r="539">
      <c r="A539" s="61" t="n">
        <v>22</v>
      </c>
      <c r="B539" s="62" t="n"/>
    </row>
    <row r="540">
      <c r="A540" s="61" t="n">
        <v>23</v>
      </c>
      <c r="B540" s="62" t="n"/>
    </row>
    <row r="541">
      <c r="A541" s="61" t="n">
        <v>24</v>
      </c>
      <c r="B541" s="62" t="inlineStr">
        <is>
          <t>def hash_token(token: str) -&gt; str:</t>
        </is>
      </c>
    </row>
    <row r="542">
      <c r="A542" s="61" t="n">
        <v>25</v>
      </c>
      <c r="B542" s="62" t="inlineStr">
        <is>
          <t xml:space="preserve">    return hashlib.sha256(token.encode()).hexdigest()</t>
        </is>
      </c>
    </row>
    <row r="543">
      <c r="A543" s="61" t="n">
        <v>26</v>
      </c>
      <c r="B543" s="62" t="n"/>
    </row>
    <row r="544">
      <c r="A544" s="61" t="n">
        <v>27</v>
      </c>
      <c r="B544" s="62" t="n"/>
    </row>
    <row r="545">
      <c r="A545" s="61" t="n">
        <v>28</v>
      </c>
      <c r="B545" s="62" t="inlineStr">
        <is>
          <t>def expiry_from(now: datetime) -&gt; datetime:</t>
        </is>
      </c>
    </row>
    <row r="546">
      <c r="A546" s="61" t="n">
        <v>29</v>
      </c>
      <c r="B546" s="62" t="inlineStr">
        <is>
          <t xml:space="preserve">    return now + timedelta(days=get_settings().session_ttl_days)</t>
        </is>
      </c>
    </row>
    <row r="547">
      <c r="A547" s="61" t="n">
        <v>30</v>
      </c>
      <c r="B547" s="62" t="n"/>
    </row>
    <row r="548">
      <c r="A548" s="61" t="n">
        <v>31</v>
      </c>
      <c r="B548" s="62" t="n"/>
    </row>
    <row r="549">
      <c r="A549" s="61" t="n">
        <v>32</v>
      </c>
      <c r="B549" s="62" t="inlineStr">
        <is>
          <t>def current_visitor(</t>
        </is>
      </c>
    </row>
    <row r="550">
      <c r="A550" s="61" t="n">
        <v>33</v>
      </c>
      <c r="B550" s="62" t="inlineStr">
        <is>
          <t xml:space="preserve">    creds: HTTPAuthorizationCredentials | None = Depends(bearer),</t>
        </is>
      </c>
    </row>
    <row r="551">
      <c r="A551" s="61" t="n">
        <v>34</v>
      </c>
      <c r="B551" s="62" t="inlineStr">
        <is>
          <t xml:space="preserve">    db: Session = Depends(get_db),</t>
        </is>
      </c>
    </row>
    <row r="552">
      <c r="A552" s="61" t="n">
        <v>35</v>
      </c>
      <c r="B552" s="62" t="inlineStr">
        <is>
          <t>) -&gt; Visitor:</t>
        </is>
      </c>
    </row>
    <row r="553">
      <c r="A553" s="61" t="n">
        <v>36</v>
      </c>
      <c r="B553" s="62" t="inlineStr">
        <is>
          <t xml:space="preserve">    """FastAPI dependency. Any route that declares it is private to the token's owner."""</t>
        </is>
      </c>
    </row>
    <row r="554">
      <c r="A554" s="61" t="n">
        <v>37</v>
      </c>
      <c r="B554" s="62" t="inlineStr">
        <is>
          <t xml:space="preserve">    if creds is None:</t>
        </is>
      </c>
    </row>
    <row r="555">
      <c r="A555" s="61" t="n">
        <v>38</v>
      </c>
      <c r="B555" s="62" t="inlineStr">
        <is>
          <t xml:space="preserve">        raise ApiError(401, "AUTH_REQUIRED", "Missing guest token.")</t>
        </is>
      </c>
    </row>
    <row r="556">
      <c r="A556" s="61" t="n">
        <v>39</v>
      </c>
      <c r="B556" s="62" t="inlineStr">
        <is>
          <t xml:space="preserve">    visitor = db.scalar(select(Visitor).where(Visitor.token_hash == hash_token(creds.credentials)))</t>
        </is>
      </c>
    </row>
    <row r="557">
      <c r="A557" s="61" t="n">
        <v>40</v>
      </c>
      <c r="B557" s="62" t="inlineStr">
        <is>
          <t xml:space="preserve">    now = datetime.now(timezone.utc)</t>
        </is>
      </c>
    </row>
    <row r="558">
      <c r="A558" s="61" t="n">
        <v>41</v>
      </c>
      <c r="B558" s="62" t="inlineStr">
        <is>
          <t xml:space="preserve">    if visitor is None or visitor.expires_at &lt; now:</t>
        </is>
      </c>
    </row>
    <row r="559">
      <c r="A559" s="61" t="n">
        <v>42</v>
      </c>
      <c r="B559" s="62" t="inlineStr">
        <is>
          <t xml:space="preserve">        raise ApiError(401, "AUTH_INVALID", "Your guest session has expired or is invalid.")</t>
        </is>
      </c>
    </row>
    <row r="560">
      <c r="A560" s="61" t="n">
        <v>43</v>
      </c>
      <c r="B560" s="62" t="inlineStr">
        <is>
          <t xml:space="preserve">    # Sliding expiry: active visitors keep their data; inactive ones are cleaned up later.</t>
        </is>
      </c>
    </row>
    <row r="561">
      <c r="A561" s="61" t="n">
        <v>44</v>
      </c>
      <c r="B561" s="62" t="inlineStr">
        <is>
          <t xml:space="preserve">    visitor.last_seen_at = now</t>
        </is>
      </c>
    </row>
    <row r="562">
      <c r="A562" s="61" t="n">
        <v>45</v>
      </c>
      <c r="B562" s="62" t="inlineStr">
        <is>
          <t xml:space="preserve">    visitor.expires_at = expiry_from(now)</t>
        </is>
      </c>
    </row>
    <row r="563">
      <c r="A563" s="61" t="n">
        <v>46</v>
      </c>
      <c r="B563" s="62" t="inlineStr">
        <is>
          <t xml:space="preserve">    db.commit()</t>
        </is>
      </c>
    </row>
    <row r="564">
      <c r="A564" s="61" t="n">
        <v>47</v>
      </c>
      <c r="B564" s="62" t="inlineStr">
        <is>
          <t xml:space="preserve">    return visitor</t>
        </is>
      </c>
    </row>
    <row r="567">
      <c r="A567" s="60" t="inlineStr">
        <is>
          <t>C11</t>
        </is>
      </c>
      <c r="B567" s="60" t="inlineStr">
        <is>
          <t>services/backend/app/ratelimit.py   ·   Phase P3   ·   Small per-IP sliding-window rate limiter dependency.</t>
        </is>
      </c>
    </row>
    <row r="568">
      <c r="B568" s="55" t="inlineStr">
        <is>
          <t>↑ back to Code Index</t>
        </is>
      </c>
    </row>
    <row r="569">
      <c r="A569" s="61" t="n">
        <v>1</v>
      </c>
      <c r="B569" s="62" t="inlineStr">
        <is>
          <t>"""A tiny in-memory rate limiter (sliding window per client IP).</t>
        </is>
      </c>
    </row>
    <row r="570">
      <c r="A570" s="61" t="n">
        <v>2</v>
      </c>
      <c r="B570" s="62" t="n"/>
    </row>
    <row r="571">
      <c r="A571" s="61" t="n">
        <v>3</v>
      </c>
      <c r="B571" s="62" t="inlineStr">
        <is>
          <t>Good enough for one API instance. If you ever run several instances, move the counters</t>
        </is>
      </c>
    </row>
    <row r="572">
      <c r="A572" s="61" t="n">
        <v>4</v>
      </c>
      <c r="B572" s="62" t="inlineStr">
        <is>
          <t>to Postgres or Redis, because each process would otherwise keep its own count.</t>
        </is>
      </c>
    </row>
    <row r="573">
      <c r="A573" s="61" t="n">
        <v>5</v>
      </c>
      <c r="B573" s="62" t="inlineStr">
        <is>
          <t>"""</t>
        </is>
      </c>
    </row>
    <row r="574">
      <c r="A574" s="61" t="n">
        <v>6</v>
      </c>
      <c r="B574" s="62" t="inlineStr">
        <is>
          <t>import time</t>
        </is>
      </c>
    </row>
    <row r="575">
      <c r="A575" s="61" t="n">
        <v>7</v>
      </c>
      <c r="B575" s="62" t="inlineStr">
        <is>
          <t>from collections import defaultdict, deque</t>
        </is>
      </c>
    </row>
    <row r="576">
      <c r="A576" s="61" t="n">
        <v>8</v>
      </c>
      <c r="B576" s="62" t="n"/>
    </row>
    <row r="577">
      <c r="A577" s="61" t="n">
        <v>9</v>
      </c>
      <c r="B577" s="62" t="inlineStr">
        <is>
          <t>from fastapi import Request</t>
        </is>
      </c>
    </row>
    <row r="578">
      <c r="A578" s="61" t="n">
        <v>10</v>
      </c>
      <c r="B578" s="62" t="n"/>
    </row>
    <row r="579">
      <c r="A579" s="61" t="n">
        <v>11</v>
      </c>
      <c r="B579" s="62" t="inlineStr">
        <is>
          <t>from app.errors import ApiError</t>
        </is>
      </c>
    </row>
    <row r="580">
      <c r="A580" s="61" t="n">
        <v>12</v>
      </c>
      <c r="B580" s="62" t="n"/>
    </row>
    <row r="581">
      <c r="A581" s="61" t="n">
        <v>13</v>
      </c>
      <c r="B581" s="62" t="inlineStr">
        <is>
          <t>_hits: dict[str, deque[float]] = defaultdict(deque)</t>
        </is>
      </c>
    </row>
    <row r="582">
      <c r="A582" s="61" t="n">
        <v>14</v>
      </c>
      <c r="B582" s="62" t="n"/>
    </row>
    <row r="583">
      <c r="A583" s="61" t="n">
        <v>15</v>
      </c>
      <c r="B583" s="62" t="n"/>
    </row>
    <row r="584">
      <c r="A584" s="61" t="n">
        <v>16</v>
      </c>
      <c r="B584" s="62" t="inlineStr">
        <is>
          <t>def client_ip(request: Request) -&gt; str:</t>
        </is>
      </c>
    </row>
    <row r="585">
      <c r="A585" s="61" t="n">
        <v>17</v>
      </c>
      <c r="B585" s="62" t="inlineStr">
        <is>
          <t xml:space="preserve">    # Render and Vercel put the real client address first in X-Forwarded-For.</t>
        </is>
      </c>
    </row>
    <row r="586">
      <c r="A586" s="61" t="n">
        <v>18</v>
      </c>
      <c r="B586" s="62" t="inlineStr">
        <is>
          <t xml:space="preserve">    forwarded = request.headers.get("x-forwarded-for")</t>
        </is>
      </c>
    </row>
    <row r="587">
      <c r="A587" s="61" t="n">
        <v>19</v>
      </c>
      <c r="B587" s="62" t="inlineStr">
        <is>
          <t xml:space="preserve">    if forwarded:</t>
        </is>
      </c>
    </row>
    <row r="588">
      <c r="A588" s="61" t="n">
        <v>20</v>
      </c>
      <c r="B588" s="62" t="inlineStr">
        <is>
          <t xml:space="preserve">        return forwarded.split(",")[0].strip()</t>
        </is>
      </c>
    </row>
    <row r="589">
      <c r="A589" s="61" t="n">
        <v>21</v>
      </c>
      <c r="B589" s="62" t="inlineStr">
        <is>
          <t xml:space="preserve">    return request.client.host if request.client else "unknown"</t>
        </is>
      </c>
    </row>
    <row r="590">
      <c r="A590" s="61" t="n">
        <v>22</v>
      </c>
      <c r="B590" s="62" t="n"/>
    </row>
    <row r="591">
      <c r="A591" s="61" t="n">
        <v>23</v>
      </c>
      <c r="B591" s="62" t="n"/>
    </row>
    <row r="592">
      <c r="A592" s="61" t="n">
        <v>24</v>
      </c>
      <c r="B592" s="62" t="inlineStr">
        <is>
          <t>def limit(name: str, max_calls: int, per_seconds: int):</t>
        </is>
      </c>
    </row>
    <row r="593">
      <c r="A593" s="61" t="n">
        <v>25</v>
      </c>
      <c r="B593" s="62" t="inlineStr">
        <is>
          <t xml:space="preserve">    """Returns a FastAPI dependency: Depends(limit("sessions", 10, 60))."""</t>
        </is>
      </c>
    </row>
    <row r="594">
      <c r="A594" s="61" t="n">
        <v>26</v>
      </c>
      <c r="B594" s="62" t="n"/>
    </row>
    <row r="595">
      <c r="A595" s="61" t="n">
        <v>27</v>
      </c>
      <c r="B595" s="62" t="inlineStr">
        <is>
          <t xml:space="preserve">    def dependency(request: Request) -&gt; None:</t>
        </is>
      </c>
    </row>
    <row r="596">
      <c r="A596" s="61" t="n">
        <v>28</v>
      </c>
      <c r="B596" s="62" t="inlineStr">
        <is>
          <t xml:space="preserve">        key = f"{name}:{client_ip(request)}"</t>
        </is>
      </c>
    </row>
    <row r="597">
      <c r="A597" s="61" t="n">
        <v>29</v>
      </c>
      <c r="B597" s="62" t="inlineStr">
        <is>
          <t xml:space="preserve">        now = time.monotonic()</t>
        </is>
      </c>
    </row>
    <row r="598">
      <c r="A598" s="61" t="n">
        <v>30</v>
      </c>
      <c r="B598" s="62" t="inlineStr">
        <is>
          <t xml:space="preserve">        window = _hits[key]</t>
        </is>
      </c>
    </row>
    <row r="599">
      <c r="A599" s="61" t="n">
        <v>31</v>
      </c>
      <c r="B599" s="62" t="inlineStr">
        <is>
          <t xml:space="preserve">        while window and now - window[0] &gt; per_seconds:</t>
        </is>
      </c>
    </row>
    <row r="600">
      <c r="A600" s="61" t="n">
        <v>32</v>
      </c>
      <c r="B600" s="62" t="inlineStr">
        <is>
          <t xml:space="preserve">            window.popleft()</t>
        </is>
      </c>
    </row>
    <row r="601">
      <c r="A601" s="61" t="n">
        <v>33</v>
      </c>
      <c r="B601" s="62" t="inlineStr">
        <is>
          <t xml:space="preserve">        if len(window) &gt;= max_calls:</t>
        </is>
      </c>
    </row>
    <row r="602">
      <c r="A602" s="61" t="n">
        <v>34</v>
      </c>
      <c r="B602" s="62" t="inlineStr">
        <is>
          <t xml:space="preserve">            raise ApiError(429, "RATE_LIMITED", "Too many requests. Please wait a moment.")</t>
        </is>
      </c>
    </row>
    <row r="603">
      <c r="A603" s="61" t="n">
        <v>35</v>
      </c>
      <c r="B603" s="62" t="inlineStr">
        <is>
          <t xml:space="preserve">        window.append(now)</t>
        </is>
      </c>
    </row>
    <row r="604">
      <c r="A604" s="61" t="n">
        <v>36</v>
      </c>
      <c r="B604" s="62" t="n"/>
    </row>
    <row r="605">
      <c r="A605" s="61" t="n">
        <v>37</v>
      </c>
      <c r="B605" s="62" t="inlineStr">
        <is>
          <t xml:space="preserve">    return dependency</t>
        </is>
      </c>
    </row>
    <row r="608">
      <c r="A608" s="60" t="inlineStr">
        <is>
          <t>C12</t>
        </is>
      </c>
      <c r="B608" s="60" t="inlineStr">
        <is>
          <t>services/backend/app/api/sessions.py   ·   Phase P3   ·   POST /v1/sessions and GET /v1/me.</t>
        </is>
      </c>
    </row>
    <row r="609">
      <c r="B609" s="55" t="inlineStr">
        <is>
          <t>↑ back to Code Index</t>
        </is>
      </c>
    </row>
    <row r="610">
      <c r="A610" s="61" t="n">
        <v>1</v>
      </c>
      <c r="B610" s="62" t="inlineStr">
        <is>
          <t>import uuid</t>
        </is>
      </c>
    </row>
    <row r="611">
      <c r="A611" s="61" t="n">
        <v>2</v>
      </c>
      <c r="B611" s="62" t="inlineStr">
        <is>
          <t>from datetime import datetime, timezone</t>
        </is>
      </c>
    </row>
    <row r="612">
      <c r="A612" s="61" t="n">
        <v>3</v>
      </c>
      <c r="B612" s="62" t="n"/>
    </row>
    <row r="613">
      <c r="A613" s="61" t="n">
        <v>4</v>
      </c>
      <c r="B613" s="62" t="inlineStr">
        <is>
          <t>from fastapi import APIRouter, Depends</t>
        </is>
      </c>
    </row>
    <row r="614">
      <c r="A614" s="61" t="n">
        <v>5</v>
      </c>
      <c r="B614" s="62" t="inlineStr">
        <is>
          <t>from pydantic import BaseModel</t>
        </is>
      </c>
    </row>
    <row r="615">
      <c r="A615" s="61" t="n">
        <v>6</v>
      </c>
      <c r="B615" s="62" t="inlineStr">
        <is>
          <t>from sqlalchemy.orm import Session</t>
        </is>
      </c>
    </row>
    <row r="616">
      <c r="A616" s="61" t="n">
        <v>7</v>
      </c>
      <c r="B616" s="62" t="n"/>
    </row>
    <row r="617">
      <c r="A617" s="61" t="n">
        <v>8</v>
      </c>
      <c r="B617" s="62" t="inlineStr">
        <is>
          <t>from app.db import get_db</t>
        </is>
      </c>
    </row>
    <row r="618">
      <c r="A618" s="61" t="n">
        <v>9</v>
      </c>
      <c r="B618" s="62" t="inlineStr">
        <is>
          <t>from app.models import Visitor</t>
        </is>
      </c>
    </row>
    <row r="619">
      <c r="A619" s="61" t="n">
        <v>10</v>
      </c>
      <c r="B619" s="62" t="inlineStr">
        <is>
          <t>from app.ratelimit import limit</t>
        </is>
      </c>
    </row>
    <row r="620">
      <c r="A620" s="61" t="n">
        <v>11</v>
      </c>
      <c r="B620" s="62" t="inlineStr">
        <is>
          <t>from app.security import current_visitor, expiry_from, hash_token, new_token</t>
        </is>
      </c>
    </row>
    <row r="621">
      <c r="A621" s="61" t="n">
        <v>12</v>
      </c>
      <c r="B621" s="62" t="n"/>
    </row>
    <row r="622">
      <c r="A622" s="61" t="n">
        <v>13</v>
      </c>
      <c r="B622" s="62" t="inlineStr">
        <is>
          <t>router = APIRouter(prefix="/v1", tags=["sessions"])</t>
        </is>
      </c>
    </row>
    <row r="623">
      <c r="A623" s="61" t="n">
        <v>14</v>
      </c>
      <c r="B623" s="62" t="n"/>
    </row>
    <row r="624">
      <c r="A624" s="61" t="n">
        <v>15</v>
      </c>
      <c r="B624" s="62" t="n"/>
    </row>
    <row r="625">
      <c r="A625" s="61" t="n">
        <v>16</v>
      </c>
      <c r="B625" s="62" t="inlineStr">
        <is>
          <t>class SessionOut(BaseModel):</t>
        </is>
      </c>
    </row>
    <row r="626">
      <c r="A626" s="61" t="n">
        <v>17</v>
      </c>
      <c r="B626" s="62" t="inlineStr">
        <is>
          <t xml:space="preserve">    token: str</t>
        </is>
      </c>
    </row>
    <row r="627">
      <c r="A627" s="61" t="n">
        <v>18</v>
      </c>
      <c r="B627" s="62" t="inlineStr">
        <is>
          <t xml:space="preserve">    visitor_id: uuid.UUID</t>
        </is>
      </c>
    </row>
    <row r="628">
      <c r="A628" s="61" t="n">
        <v>19</v>
      </c>
      <c r="B628" s="62" t="inlineStr">
        <is>
          <t xml:space="preserve">    expires_at: datetime</t>
        </is>
      </c>
    </row>
    <row r="629">
      <c r="A629" s="61" t="n">
        <v>20</v>
      </c>
      <c r="B629" s="62" t="n"/>
    </row>
    <row r="630">
      <c r="A630" s="61" t="n">
        <v>21</v>
      </c>
      <c r="B630" s="62" t="n"/>
    </row>
    <row r="631">
      <c r="A631" s="61" t="n">
        <v>22</v>
      </c>
      <c r="B631" s="62" t="inlineStr">
        <is>
          <t>class MeOut(BaseModel):</t>
        </is>
      </c>
    </row>
    <row r="632">
      <c r="A632" s="61" t="n">
        <v>23</v>
      </c>
      <c r="B632" s="62" t="inlineStr">
        <is>
          <t xml:space="preserve">    visitor_id: uuid.UUID</t>
        </is>
      </c>
    </row>
    <row r="633">
      <c r="A633" s="61" t="n">
        <v>24</v>
      </c>
      <c r="B633" s="62" t="inlineStr">
        <is>
          <t xml:space="preserve">    expires_at: datetime</t>
        </is>
      </c>
    </row>
    <row r="634">
      <c r="A634" s="61" t="n">
        <v>25</v>
      </c>
      <c r="B634" s="62" t="n"/>
    </row>
    <row r="635">
      <c r="A635" s="61" t="n">
        <v>26</v>
      </c>
      <c r="B635" s="62" t="n"/>
    </row>
    <row r="636">
      <c r="A636" s="61" t="n">
        <v>27</v>
      </c>
      <c r="B636" s="62" t="inlineStr">
        <is>
          <t>@router.post("/sessions", response_model=SessionOut, status_code=201,</t>
        </is>
      </c>
    </row>
    <row r="637">
      <c r="A637" s="61" t="n">
        <v>28</v>
      </c>
      <c r="B637" s="62" t="inlineStr">
        <is>
          <t xml:space="preserve">             dependencies=[Depends(limit("sessions", max_calls=10, per_seconds=60))])</t>
        </is>
      </c>
    </row>
    <row r="638">
      <c r="A638" s="61" t="n">
        <v>29</v>
      </c>
      <c r="B638" s="62" t="inlineStr">
        <is>
          <t>def create_session(db: Session = Depends(get_db)) -&gt; SessionOut:</t>
        </is>
      </c>
    </row>
    <row r="639">
      <c r="A639" s="61" t="n">
        <v>30</v>
      </c>
      <c r="B639" s="62" t="inlineStr">
        <is>
          <t xml:space="preserve">    token = new_token()</t>
        </is>
      </c>
    </row>
    <row r="640">
      <c r="A640" s="61" t="n">
        <v>31</v>
      </c>
      <c r="B640" s="62" t="inlineStr">
        <is>
          <t xml:space="preserve">    visitor = Visitor(token_hash=hash_token(token), expires_at=expiry_from(datetime.now(timezone.utc)))</t>
        </is>
      </c>
    </row>
    <row r="641">
      <c r="A641" s="61" t="n">
        <v>32</v>
      </c>
      <c r="B641" s="62" t="inlineStr">
        <is>
          <t xml:space="preserve">    db.add(visitor)</t>
        </is>
      </c>
    </row>
    <row r="642">
      <c r="A642" s="61" t="n">
        <v>33</v>
      </c>
      <c r="B642" s="62" t="inlineStr">
        <is>
          <t xml:space="preserve">    db.commit()</t>
        </is>
      </c>
    </row>
    <row r="643">
      <c r="A643" s="61" t="n">
        <v>34</v>
      </c>
      <c r="B643" s="62" t="inlineStr">
        <is>
          <t xml:space="preserve">    # The plain token is returned exactly once. We only ever store its hash.</t>
        </is>
      </c>
    </row>
    <row r="644">
      <c r="A644" s="61" t="n">
        <v>35</v>
      </c>
      <c r="B644" s="62" t="inlineStr">
        <is>
          <t xml:space="preserve">    return SessionOut(token=token, visitor_id=visitor.id, expires_at=visitor.expires_at)</t>
        </is>
      </c>
    </row>
    <row r="645">
      <c r="A645" s="61" t="n">
        <v>36</v>
      </c>
      <c r="B645" s="62" t="n"/>
    </row>
    <row r="646">
      <c r="A646" s="61" t="n">
        <v>37</v>
      </c>
      <c r="B646" s="62" t="n"/>
    </row>
    <row r="647">
      <c r="A647" s="61" t="n">
        <v>38</v>
      </c>
      <c r="B647" s="62" t="inlineStr">
        <is>
          <t>@router.get("/me", response_model=MeOut)</t>
        </is>
      </c>
    </row>
    <row r="648">
      <c r="A648" s="61" t="n">
        <v>39</v>
      </c>
      <c r="B648" s="62" t="inlineStr">
        <is>
          <t>def read_me(visitor: Visitor = Depends(current_visitor)) -&gt; MeOut:</t>
        </is>
      </c>
    </row>
    <row r="649">
      <c r="A649" s="61" t="n">
        <v>40</v>
      </c>
      <c r="B649" s="62" t="inlineStr">
        <is>
          <t xml:space="preserve">    return MeOut(visitor_id=visitor.id, expires_at=visitor.expires_at)</t>
        </is>
      </c>
    </row>
    <row r="652">
      <c r="A652" s="60" t="inlineStr">
        <is>
          <t>C13</t>
        </is>
      </c>
      <c r="B652" s="60" t="inlineStr">
        <is>
          <t>services/backend/app/main.py   ·   Phase P3   ·   FastAPI app: CORS, error handlers, routers, health checks.</t>
        </is>
      </c>
    </row>
    <row r="653">
      <c r="B653" s="55" t="inlineStr">
        <is>
          <t>↑ back to Code Index</t>
        </is>
      </c>
    </row>
    <row r="654">
      <c r="A654" s="61" t="n">
        <v>1</v>
      </c>
      <c r="B654" s="62" t="inlineStr">
        <is>
          <t>"""API entry point:  uvicorn app.main:app --reload"""</t>
        </is>
      </c>
    </row>
    <row r="655">
      <c r="A655" s="61" t="n">
        <v>2</v>
      </c>
      <c r="B655" s="62" t="inlineStr">
        <is>
          <t>import logging</t>
        </is>
      </c>
    </row>
    <row r="656">
      <c r="A656" s="61" t="n">
        <v>3</v>
      </c>
      <c r="B656" s="62" t="n"/>
    </row>
    <row r="657">
      <c r="A657" s="61" t="n">
        <v>4</v>
      </c>
      <c r="B657" s="62" t="inlineStr">
        <is>
          <t>from fastapi import Depends, FastAPI</t>
        </is>
      </c>
    </row>
    <row r="658">
      <c r="A658" s="61" t="n">
        <v>5</v>
      </c>
      <c r="B658" s="62" t="inlineStr">
        <is>
          <t>from fastapi.exceptions import RequestValidationError</t>
        </is>
      </c>
    </row>
    <row r="659">
      <c r="A659" s="61" t="n">
        <v>6</v>
      </c>
      <c r="B659" s="62" t="inlineStr">
        <is>
          <t>from fastapi.middleware.cors import CORSMiddleware</t>
        </is>
      </c>
    </row>
    <row r="660">
      <c r="A660" s="61" t="n">
        <v>7</v>
      </c>
      <c r="B660" s="62" t="inlineStr">
        <is>
          <t>from sqlalchemy import text</t>
        </is>
      </c>
    </row>
    <row r="661">
      <c r="A661" s="61" t="n">
        <v>8</v>
      </c>
      <c r="B661" s="62" t="inlineStr">
        <is>
          <t>from sqlalchemy.orm import Session</t>
        </is>
      </c>
    </row>
    <row r="662">
      <c r="A662" s="61" t="n">
        <v>9</v>
      </c>
      <c r="B662" s="62" t="n"/>
    </row>
    <row r="663">
      <c r="A663" s="61" t="n">
        <v>10</v>
      </c>
      <c r="B663" s="62" t="inlineStr">
        <is>
          <t>from app.api import games, imports, jobs, me, practice, progress, review, sessions</t>
        </is>
      </c>
    </row>
    <row r="664">
      <c r="A664" s="61" t="n">
        <v>11</v>
      </c>
      <c r="B664" s="62" t="inlineStr">
        <is>
          <t>from app.config import get_settings</t>
        </is>
      </c>
    </row>
    <row r="665">
      <c r="A665" s="61" t="n">
        <v>12</v>
      </c>
      <c r="B665" s="62" t="inlineStr">
        <is>
          <t>from app.db import get_db</t>
        </is>
      </c>
    </row>
    <row r="666">
      <c r="A666" s="61" t="n">
        <v>13</v>
      </c>
      <c r="B666" s="62" t="inlineStr">
        <is>
          <t>from app.errors import ApiError, api_error_handler, unhandled_error_handler, validation_error_handler</t>
        </is>
      </c>
    </row>
    <row r="667">
      <c r="A667" s="61" t="n">
        <v>14</v>
      </c>
      <c r="B667" s="62" t="n"/>
    </row>
    <row r="668">
      <c r="A668" s="61" t="n">
        <v>15</v>
      </c>
      <c r="B668" s="62" t="inlineStr">
        <is>
          <t>settings = get_settings()</t>
        </is>
      </c>
    </row>
    <row r="669">
      <c r="A669" s="61" t="n">
        <v>16</v>
      </c>
      <c r="B669" s="62" t="inlineStr">
        <is>
          <t>logging.basicConfig(level=settings.log_level, format="%(asctime)s %(levelname)s %(name)s %(message)s")</t>
        </is>
      </c>
    </row>
    <row r="670">
      <c r="A670" s="61" t="n">
        <v>17</v>
      </c>
      <c r="B670" s="62" t="n"/>
    </row>
    <row r="671">
      <c r="A671" s="61" t="n">
        <v>18</v>
      </c>
      <c r="B671" s="62" t="inlineStr">
        <is>
          <t>app = FastAPI(title="ChessLab API", version="0.1.0")</t>
        </is>
      </c>
    </row>
    <row r="672">
      <c r="A672" s="61" t="n">
        <v>19</v>
      </c>
      <c r="B672" s="62" t="n"/>
    </row>
    <row r="673">
      <c r="A673" s="61" t="n">
        <v>20</v>
      </c>
      <c r="B673" s="62" t="inlineStr">
        <is>
          <t>app.add_middleware(</t>
        </is>
      </c>
    </row>
    <row r="674">
      <c r="A674" s="61" t="n">
        <v>21</v>
      </c>
      <c r="B674" s="62" t="inlineStr">
        <is>
          <t xml:space="preserve">    CORSMiddleware,</t>
        </is>
      </c>
    </row>
    <row r="675">
      <c r="A675" s="61" t="n">
        <v>22</v>
      </c>
      <c r="B675" s="62" t="inlineStr">
        <is>
          <t xml:space="preserve">    allow_origins=settings.origins,  # exact origins only, never "*", because we send Authorization headers</t>
        </is>
      </c>
    </row>
    <row r="676">
      <c r="A676" s="61" t="n">
        <v>23</v>
      </c>
      <c r="B676" s="62" t="inlineStr">
        <is>
          <t xml:space="preserve">    allow_methods=["GET", "POST", "DELETE"],</t>
        </is>
      </c>
    </row>
    <row r="677">
      <c r="A677" s="61" t="n">
        <v>24</v>
      </c>
      <c r="B677" s="62" t="inlineStr">
        <is>
          <t xml:space="preserve">    allow_headers=["Authorization", "Content-Type"],</t>
        </is>
      </c>
    </row>
    <row r="678">
      <c r="A678" s="61" t="n">
        <v>25</v>
      </c>
      <c r="B678" s="62" t="inlineStr">
        <is>
          <t>)</t>
        </is>
      </c>
    </row>
    <row r="679">
      <c r="A679" s="61" t="n">
        <v>26</v>
      </c>
      <c r="B679" s="62" t="inlineStr">
        <is>
          <t>app.add_exception_handler(ApiError, api_error_handler)</t>
        </is>
      </c>
    </row>
    <row r="680">
      <c r="A680" s="61" t="n">
        <v>27</v>
      </c>
      <c r="B680" s="62" t="inlineStr">
        <is>
          <t>app.add_exception_handler(RequestValidationError, validation_error_handler)</t>
        </is>
      </c>
    </row>
    <row r="681">
      <c r="A681" s="61" t="n">
        <v>28</v>
      </c>
      <c r="B681" s="62" t="inlineStr">
        <is>
          <t>app.add_exception_handler(Exception, unhandled_error_handler)</t>
        </is>
      </c>
    </row>
    <row r="682">
      <c r="A682" s="61" t="n">
        <v>29</v>
      </c>
      <c r="B682" s="62" t="n"/>
    </row>
    <row r="683">
      <c r="A683" s="61" t="n">
        <v>30</v>
      </c>
      <c r="B683" s="62" t="inlineStr">
        <is>
          <t>for module in (sessions, games, imports, jobs, review, practice, progress, me):</t>
        </is>
      </c>
    </row>
    <row r="684">
      <c r="A684" s="61" t="n">
        <v>31</v>
      </c>
      <c r="B684" s="62" t="inlineStr">
        <is>
          <t xml:space="preserve">    app.include_router(module.router)</t>
        </is>
      </c>
    </row>
    <row r="685">
      <c r="A685" s="61" t="n">
        <v>32</v>
      </c>
      <c r="B685" s="62" t="n"/>
    </row>
    <row r="686">
      <c r="A686" s="61" t="n">
        <v>33</v>
      </c>
      <c r="B686" s="62" t="n"/>
    </row>
    <row r="687">
      <c r="A687" s="61" t="n">
        <v>34</v>
      </c>
      <c r="B687" s="62" t="inlineStr">
        <is>
          <t>@app.get("/health/live", tags=["health"])</t>
        </is>
      </c>
    </row>
    <row r="688">
      <c r="A688" s="61" t="n">
        <v>35</v>
      </c>
      <c r="B688" s="62" t="inlineStr">
        <is>
          <t>def live() -&gt; dict:</t>
        </is>
      </c>
    </row>
    <row r="689">
      <c r="A689" s="61" t="n">
        <v>36</v>
      </c>
      <c r="B689" s="62" t="inlineStr">
        <is>
          <t xml:space="preserve">    """The process is up. Cheap: no database, no engine."""</t>
        </is>
      </c>
    </row>
    <row r="690">
      <c r="A690" s="61" t="n">
        <v>37</v>
      </c>
      <c r="B690" s="62" t="inlineStr">
        <is>
          <t xml:space="preserve">    return {"status": "ok"}</t>
        </is>
      </c>
    </row>
    <row r="691">
      <c r="A691" s="61" t="n">
        <v>38</v>
      </c>
      <c r="B691" s="62" t="n"/>
    </row>
    <row r="692">
      <c r="A692" s="61" t="n">
        <v>39</v>
      </c>
      <c r="B692" s="62" t="n"/>
    </row>
    <row r="693">
      <c r="A693" s="61" t="n">
        <v>40</v>
      </c>
      <c r="B693" s="62" t="inlineStr">
        <is>
          <t>@app.get("/health/ready", tags=["health"])</t>
        </is>
      </c>
    </row>
    <row r="694">
      <c r="A694" s="61" t="n">
        <v>41</v>
      </c>
      <c r="B694" s="62" t="inlineStr">
        <is>
          <t>def ready(db: Session = Depends(get_db)) -&gt; dict:</t>
        </is>
      </c>
    </row>
    <row r="695">
      <c r="A695" s="61" t="n">
        <v>42</v>
      </c>
      <c r="B695" s="62" t="inlineStr">
        <is>
          <t xml:space="preserve">    """The process can serve traffic: configuration loaded and the database answers."""</t>
        </is>
      </c>
    </row>
    <row r="696">
      <c r="A696" s="61" t="n">
        <v>43</v>
      </c>
      <c r="B696" s="62" t="inlineStr">
        <is>
          <t xml:space="preserve">    db.execute(text("SELECT 1"))</t>
        </is>
      </c>
    </row>
    <row r="697">
      <c r="A697" s="61" t="n">
        <v>44</v>
      </c>
      <c r="B697" s="62" t="inlineStr">
        <is>
          <t xml:space="preserve">    return {"status": "ready", "environment": settings.environment}</t>
        </is>
      </c>
    </row>
    <row r="700">
      <c r="A700" s="60" t="inlineStr">
        <is>
          <t>C14</t>
        </is>
      </c>
      <c r="B700" s="60" t="inlineStr">
        <is>
          <t>services/backend/tests/conftest.py   ·   Phase P3   ·   Test database, table cleanup, client/auth/puzzle fixtures.</t>
        </is>
      </c>
    </row>
    <row r="701">
      <c r="B701" s="55" t="inlineStr">
        <is>
          <t>↑ back to Code Index</t>
        </is>
      </c>
    </row>
    <row r="702">
      <c r="A702" s="61" t="n">
        <v>1</v>
      </c>
      <c r="B702" s="62" t="inlineStr">
        <is>
          <t>"""Integration-test fixtures. These run against a REAL Postgres (SKIP LOCKED, JSONB and ON CONFLICT</t>
        </is>
      </c>
    </row>
    <row r="703">
      <c r="A703" s="61" t="n">
        <v>2</v>
      </c>
      <c r="B703" s="62" t="inlineStr">
        <is>
          <t>do not exist in SQLite). Start it with:  docker compose up -d db</t>
        </is>
      </c>
    </row>
    <row r="704">
      <c r="A704" s="61" t="n">
        <v>3</v>
      </c>
      <c r="B704" s="62" t="inlineStr">
        <is>
          <t>The tests use a separate database, chesslab_test, so they never touch your development data."""</t>
        </is>
      </c>
    </row>
    <row r="705">
      <c r="A705" s="61" t="n">
        <v>4</v>
      </c>
      <c r="B705" s="62" t="inlineStr">
        <is>
          <t>import os</t>
        </is>
      </c>
    </row>
    <row r="706">
      <c r="A706" s="61" t="n">
        <v>5</v>
      </c>
      <c r="B706" s="62" t="n"/>
    </row>
    <row r="707">
      <c r="A707" s="61" t="n">
        <v>6</v>
      </c>
      <c r="B707" s="62" t="inlineStr">
        <is>
          <t>os.environ.setdefault("DATABASE_URL", "postgresql+psycopg://chesslab:chesslab@localhost:5433/chesslab_test")</t>
        </is>
      </c>
    </row>
    <row r="708">
      <c r="A708" s="61" t="n">
        <v>7</v>
      </c>
      <c r="B708" s="62" t="inlineStr">
        <is>
          <t>os.environ.setdefault("ALLOWED_ORIGINS", "http://localhost:5180")</t>
        </is>
      </c>
    </row>
    <row r="709">
      <c r="A709" s="61" t="n">
        <v>8</v>
      </c>
      <c r="B709" s="62" t="n"/>
    </row>
    <row r="710">
      <c r="A710" s="61" t="n">
        <v>9</v>
      </c>
      <c r="B710" s="62" t="inlineStr">
        <is>
          <t>import pytest</t>
        </is>
      </c>
    </row>
    <row r="711">
      <c r="A711" s="61" t="n">
        <v>10</v>
      </c>
      <c r="B711" s="62" t="inlineStr">
        <is>
          <t>from fastapi.testclient import TestClient</t>
        </is>
      </c>
    </row>
    <row r="712">
      <c r="A712" s="61" t="n">
        <v>11</v>
      </c>
      <c r="B712" s="62" t="inlineStr">
        <is>
          <t>from sqlalchemy import create_engine, text</t>
        </is>
      </c>
    </row>
    <row r="713">
      <c r="A713" s="61" t="n">
        <v>12</v>
      </c>
      <c r="B713" s="62" t="n"/>
    </row>
    <row r="714">
      <c r="A714" s="61" t="n">
        <v>13</v>
      </c>
      <c r="B714" s="62" t="inlineStr">
        <is>
          <t>from app.db import Base, engine</t>
        </is>
      </c>
    </row>
    <row r="715">
      <c r="A715" s="61" t="n">
        <v>14</v>
      </c>
      <c r="B715" s="62" t="inlineStr">
        <is>
          <t>from app.main import app</t>
        </is>
      </c>
    </row>
    <row r="716">
      <c r="A716" s="61" t="n">
        <v>15</v>
      </c>
      <c r="B716" s="62" t="inlineStr">
        <is>
          <t>from app.models import Puzzle</t>
        </is>
      </c>
    </row>
    <row r="717">
      <c r="A717" s="61" t="n">
        <v>16</v>
      </c>
      <c r="B717" s="62" t="n"/>
    </row>
    <row r="718">
      <c r="A718" s="61" t="n">
        <v>17</v>
      </c>
      <c r="B718" s="62" t="n"/>
    </row>
    <row r="719">
      <c r="A719" s="61" t="n">
        <v>18</v>
      </c>
      <c r="B719" s="62" t="inlineStr">
        <is>
          <t>def _ensure_test_database() -&gt; None:</t>
        </is>
      </c>
    </row>
    <row r="720">
      <c r="A720" s="61" t="n">
        <v>19</v>
      </c>
      <c r="B720" s="62" t="inlineStr">
        <is>
          <t xml:space="preserve">    admin_url = engine.url.set(database="postgres")</t>
        </is>
      </c>
    </row>
    <row r="721">
      <c r="A721" s="61" t="n">
        <v>20</v>
      </c>
      <c r="B721" s="62" t="inlineStr">
        <is>
          <t xml:space="preserve">    admin = create_engine(admin_url, isolation_level="AUTOCOMMIT")</t>
        </is>
      </c>
    </row>
    <row r="722">
      <c r="A722" s="61" t="n">
        <v>21</v>
      </c>
      <c r="B722" s="62" t="inlineStr">
        <is>
          <t xml:space="preserve">    with admin.connect() as conn:</t>
        </is>
      </c>
    </row>
    <row r="723">
      <c r="A723" s="61" t="n">
        <v>22</v>
      </c>
      <c r="B723" s="62" t="inlineStr">
        <is>
          <t xml:space="preserve">        exists = conn.scalar(text("SELECT 1 FROM pg_database WHERE datname = :n"), {"n": engine.url.database})</t>
        </is>
      </c>
    </row>
    <row r="724">
      <c r="A724" s="61" t="n">
        <v>23</v>
      </c>
      <c r="B724" s="62" t="inlineStr">
        <is>
          <t xml:space="preserve">        if not exists:</t>
        </is>
      </c>
    </row>
    <row r="725">
      <c r="A725" s="61" t="n">
        <v>24</v>
      </c>
      <c r="B725" s="62" t="inlineStr">
        <is>
          <t xml:space="preserve">            conn.execute(text(f'CREATE DATABASE "{engine.url.database}"'))</t>
        </is>
      </c>
    </row>
    <row r="726">
      <c r="A726" s="61" t="n">
        <v>25</v>
      </c>
      <c r="B726" s="62" t="inlineStr">
        <is>
          <t xml:space="preserve">    admin.dispose()</t>
        </is>
      </c>
    </row>
    <row r="727">
      <c r="A727" s="61" t="n">
        <v>26</v>
      </c>
      <c r="B727" s="62" t="n"/>
    </row>
    <row r="728">
      <c r="A728" s="61" t="n">
        <v>27</v>
      </c>
      <c r="B728" s="62" t="n"/>
    </row>
    <row r="729">
      <c r="A729" s="61" t="n">
        <v>28</v>
      </c>
      <c r="B729" s="62" t="inlineStr">
        <is>
          <t>@pytest.fixture(scope="session", autouse=True)</t>
        </is>
      </c>
    </row>
    <row r="730">
      <c r="A730" s="61" t="n">
        <v>29</v>
      </c>
      <c r="B730" s="62" t="inlineStr">
        <is>
          <t>def schema():</t>
        </is>
      </c>
    </row>
    <row r="731">
      <c r="A731" s="61" t="n">
        <v>30</v>
      </c>
      <c r="B731" s="62" t="inlineStr">
        <is>
          <t xml:space="preserve">    _ensure_test_database()</t>
        </is>
      </c>
    </row>
    <row r="732">
      <c r="A732" s="61" t="n">
        <v>31</v>
      </c>
      <c r="B732" s="62" t="inlineStr">
        <is>
          <t xml:space="preserve">    Base.metadata.drop_all(engine)</t>
        </is>
      </c>
    </row>
    <row r="733">
      <c r="A733" s="61" t="n">
        <v>32</v>
      </c>
      <c r="B733" s="62" t="inlineStr">
        <is>
          <t xml:space="preserve">    Base.metadata.create_all(engine)  # tests use create_all; real environments use Alembic migrations</t>
        </is>
      </c>
    </row>
    <row r="734">
      <c r="A734" s="61" t="n">
        <v>33</v>
      </c>
      <c r="B734" s="62" t="inlineStr">
        <is>
          <t xml:space="preserve">    yield</t>
        </is>
      </c>
    </row>
    <row r="735">
      <c r="A735" s="61" t="n">
        <v>34</v>
      </c>
      <c r="B735" s="62" t="inlineStr">
        <is>
          <t xml:space="preserve">    engine.dispose()</t>
        </is>
      </c>
    </row>
    <row r="736">
      <c r="A736" s="61" t="n">
        <v>35</v>
      </c>
      <c r="B736" s="62" t="n"/>
    </row>
    <row r="737">
      <c r="A737" s="61" t="n">
        <v>36</v>
      </c>
      <c r="B737" s="62" t="n"/>
    </row>
    <row r="738">
      <c r="A738" s="61" t="n">
        <v>37</v>
      </c>
      <c r="B738" s="62" t="inlineStr">
        <is>
          <t>@pytest.fixture(autouse=True)</t>
        </is>
      </c>
    </row>
    <row r="739">
      <c r="A739" s="61" t="n">
        <v>38</v>
      </c>
      <c r="B739" s="62" t="inlineStr">
        <is>
          <t>def clean_tables():</t>
        </is>
      </c>
    </row>
    <row r="740">
      <c r="A740" s="61" t="n">
        <v>39</v>
      </c>
      <c r="B740" s="62" t="inlineStr">
        <is>
          <t xml:space="preserve">    yield</t>
        </is>
      </c>
    </row>
    <row r="741">
      <c r="A741" s="61" t="n">
        <v>40</v>
      </c>
      <c r="B741" s="62" t="inlineStr">
        <is>
          <t xml:space="preserve">    with engine.begin() as conn:</t>
        </is>
      </c>
    </row>
    <row r="742">
      <c r="A742" s="61" t="n">
        <v>41</v>
      </c>
      <c r="B742" s="62" t="inlineStr">
        <is>
          <t xml:space="preserve">        names = ", ".join(t.name for t in reversed(Base.metadata.sorted_tables))</t>
        </is>
      </c>
    </row>
    <row r="743">
      <c r="A743" s="61" t="n">
        <v>42</v>
      </c>
      <c r="B743" s="62" t="inlineStr">
        <is>
          <t xml:space="preserve">        conn.execute(text(f"TRUNCATE {names} RESTART IDENTITY CASCADE"))</t>
        </is>
      </c>
    </row>
    <row r="744">
      <c r="A744" s="61" t="n">
        <v>43</v>
      </c>
      <c r="B744" s="62" t="n"/>
    </row>
    <row r="745">
      <c r="A745" s="61" t="n">
        <v>44</v>
      </c>
      <c r="B745" s="62" t="n"/>
    </row>
    <row r="746">
      <c r="A746" s="61" t="n">
        <v>45</v>
      </c>
      <c r="B746" s="62" t="inlineStr">
        <is>
          <t>@pytest.fixture</t>
        </is>
      </c>
    </row>
    <row r="747">
      <c r="A747" s="61" t="n">
        <v>46</v>
      </c>
      <c r="B747" s="62" t="inlineStr">
        <is>
          <t>def client() -&gt; TestClient:</t>
        </is>
      </c>
    </row>
    <row r="748">
      <c r="A748" s="61" t="n">
        <v>47</v>
      </c>
      <c r="B748" s="62" t="inlineStr">
        <is>
          <t xml:space="preserve">    return TestClient(app)</t>
        </is>
      </c>
    </row>
    <row r="749">
      <c r="A749" s="61" t="n">
        <v>48</v>
      </c>
      <c r="B749" s="62" t="n"/>
    </row>
    <row r="750">
      <c r="A750" s="61" t="n">
        <v>49</v>
      </c>
      <c r="B750" s="62" t="n"/>
    </row>
    <row r="751">
      <c r="A751" s="61" t="n">
        <v>50</v>
      </c>
      <c r="B751" s="62" t="inlineStr">
        <is>
          <t>@pytest.fixture</t>
        </is>
      </c>
    </row>
    <row r="752">
      <c r="A752" s="61" t="n">
        <v>51</v>
      </c>
      <c r="B752" s="62" t="inlineStr">
        <is>
          <t>def auth(client):</t>
        </is>
      </c>
    </row>
    <row r="753">
      <c r="A753" s="61" t="n">
        <v>52</v>
      </c>
      <c r="B753" s="62" t="inlineStr">
        <is>
          <t xml:space="preserve">    """Returns a function that creates a fresh guest and gives back its Authorization header."""</t>
        </is>
      </c>
    </row>
    <row r="754">
      <c r="A754" s="61" t="n">
        <v>53</v>
      </c>
      <c r="B754" s="62" t="n"/>
    </row>
    <row r="755">
      <c r="A755" s="61" t="n">
        <v>54</v>
      </c>
      <c r="B755" s="62" t="inlineStr">
        <is>
          <t xml:space="preserve">    def make() -&gt; dict:</t>
        </is>
      </c>
    </row>
    <row r="756">
      <c r="A756" s="61" t="n">
        <v>55</v>
      </c>
      <c r="B756" s="62" t="inlineStr">
        <is>
          <t xml:space="preserve">        response = client.post("/v1/sessions")</t>
        </is>
      </c>
    </row>
    <row r="757">
      <c r="A757" s="61" t="n">
        <v>56</v>
      </c>
      <c r="B757" s="62" t="inlineStr">
        <is>
          <t xml:space="preserve">        assert response.status_code == 201</t>
        </is>
      </c>
    </row>
    <row r="758">
      <c r="A758" s="61" t="n">
        <v>57</v>
      </c>
      <c r="B758" s="62" t="inlineStr">
        <is>
          <t xml:space="preserve">        return {"Authorization": f"Bearer {response.json()['token']}"}</t>
        </is>
      </c>
    </row>
    <row r="759">
      <c r="A759" s="61" t="n">
        <v>58</v>
      </c>
      <c r="B759" s="62" t="n"/>
    </row>
    <row r="760">
      <c r="A760" s="61" t="n">
        <v>59</v>
      </c>
      <c r="B760" s="62" t="inlineStr">
        <is>
          <t xml:space="preserve">    return make</t>
        </is>
      </c>
    </row>
    <row r="761">
      <c r="A761" s="61" t="n">
        <v>60</v>
      </c>
      <c r="B761" s="62" t="n"/>
    </row>
    <row r="762">
      <c r="A762" s="61" t="n">
        <v>61</v>
      </c>
      <c r="B762" s="62" t="n"/>
    </row>
    <row r="763">
      <c r="A763" s="61" t="n">
        <v>62</v>
      </c>
      <c r="B763" s="62" t="inlineStr">
        <is>
          <t>@pytest.fixture</t>
        </is>
      </c>
    </row>
    <row r="764">
      <c r="A764" s="61" t="n">
        <v>63</v>
      </c>
      <c r="B764" s="62" t="inlineStr">
        <is>
          <t>def fork_puzzle():</t>
        </is>
      </c>
    </row>
    <row r="765">
      <c r="A765" s="61" t="n">
        <v>64</v>
      </c>
      <c r="B765" s="62" t="inlineStr">
        <is>
          <t xml:space="preserve">    """One practice puzzle: White plays Nc7+ (fork), Black's king steps away, White takes the rook."""</t>
        </is>
      </c>
    </row>
    <row r="766">
      <c r="A766" s="61" t="n">
        <v>65</v>
      </c>
      <c r="B766" s="62" t="inlineStr">
        <is>
          <t xml:space="preserve">    from app.db import SessionLocal</t>
        </is>
      </c>
    </row>
    <row r="767">
      <c r="A767" s="61" t="n">
        <v>66</v>
      </c>
      <c r="B767" s="62" t="n"/>
    </row>
    <row r="768">
      <c r="A768" s="61" t="n">
        <v>67</v>
      </c>
      <c r="B768" s="62" t="inlineStr">
        <is>
          <t xml:space="preserve">    with SessionLocal() as db:</t>
        </is>
      </c>
    </row>
    <row r="769">
      <c r="A769" s="61" t="n">
        <v>68</v>
      </c>
      <c r="B769" s="62" t="inlineStr">
        <is>
          <t xml:space="preserve">        db.add(Puzzle(id="TEST1", source_fen="4k3/r7/8/3N4/8/8/8/4K3 b - - 0 1", setup_uci="a7a8",</t>
        </is>
      </c>
    </row>
    <row r="770">
      <c r="A770" s="61" t="n">
        <v>69</v>
      </c>
      <c r="B770" s="62" t="inlineStr">
        <is>
          <t xml:space="preserve">                      playable_fen="r3k3/8/8/3N4/8/8/8/4K3 w - - 1 2", solution_uci=["d5c7", "e8d7", "c7a8"],</t>
        </is>
      </c>
    </row>
    <row r="771">
      <c r="A771" s="61" t="n">
        <v>70</v>
      </c>
      <c r="B771" s="62" t="inlineStr">
        <is>
          <t xml:space="preserve">                      rating=1400, rating_deviation=75, popularity=95, nb_plays=1000, themes=["fork"],</t>
        </is>
      </c>
    </row>
    <row r="772">
      <c r="A772" s="61" t="n">
        <v>71</v>
      </c>
      <c r="B772" s="62" t="inlineStr">
        <is>
          <t xml:space="preserve">                      concept="knight_fork", pool="practice", game_url="https://lichess.org/test",</t>
        </is>
      </c>
    </row>
    <row r="773">
      <c r="A773" s="61" t="n">
        <v>72</v>
      </c>
      <c r="B773" s="62" t="inlineStr">
        <is>
          <t xml:space="preserve">                      dataset_version="test"))</t>
        </is>
      </c>
    </row>
    <row r="774">
      <c r="A774" s="61" t="n">
        <v>73</v>
      </c>
      <c r="B774" s="62" t="inlineStr">
        <is>
          <t xml:space="preserve">        db.commit()</t>
        </is>
      </c>
    </row>
    <row r="775">
      <c r="A775" s="61" t="n">
        <v>74</v>
      </c>
      <c r="B775" s="62" t="inlineStr">
        <is>
          <t xml:space="preserve">    return "TEST1"</t>
        </is>
      </c>
    </row>
    <row r="778">
      <c r="A778" s="60" t="inlineStr">
        <is>
          <t>C15</t>
        </is>
      </c>
      <c r="B778" s="60" t="inlineStr">
        <is>
          <t>apps/web/.env.example   ·   Phase P4   ·   Frontend public config (VITE_API_BASE_URL).</t>
        </is>
      </c>
    </row>
    <row r="779">
      <c r="B779" s="55" t="inlineStr">
        <is>
          <t>↑ back to Code Index</t>
        </is>
      </c>
    </row>
    <row r="780">
      <c r="A780" s="61" t="n">
        <v>1</v>
      </c>
      <c r="B780" s="62" t="inlineStr">
        <is>
          <t># Copy to .env.local. Everything prefixed VITE_ is PUBLIC: it is baked into the JavaScript bundle.</t>
        </is>
      </c>
    </row>
    <row r="781">
      <c r="A781" s="61" t="n">
        <v>2</v>
      </c>
      <c r="B781" s="62" t="inlineStr">
        <is>
          <t>VITE_API_BASE_URL=http://localhost:8010</t>
        </is>
      </c>
    </row>
    <row r="784">
      <c r="A784" s="60" t="inlineStr">
        <is>
          <t>C16</t>
        </is>
      </c>
      <c r="B784" s="60" t="inlineStr">
        <is>
          <t>apps/web/vite.config.ts   ·   Phase P2   ·   Vite config with the fixed dev port 5180.</t>
        </is>
      </c>
    </row>
    <row r="785">
      <c r="B785" s="55" t="inlineStr">
        <is>
          <t>↑ back to Code Index</t>
        </is>
      </c>
    </row>
    <row r="786">
      <c r="A786" s="61" t="n">
        <v>1</v>
      </c>
      <c r="B786" s="62" t="inlineStr">
        <is>
          <t>import react from "@vitejs/plugin-react";</t>
        </is>
      </c>
    </row>
    <row r="787">
      <c r="A787" s="61" t="n">
        <v>2</v>
      </c>
      <c r="B787" s="62" t="inlineStr">
        <is>
          <t>import { defineConfig } from "vite";</t>
        </is>
      </c>
    </row>
    <row r="788">
      <c r="A788" s="61" t="n">
        <v>3</v>
      </c>
      <c r="B788" s="62" t="n"/>
    </row>
    <row r="789">
      <c r="A789" s="61" t="n">
        <v>4</v>
      </c>
      <c r="B789" s="62" t="inlineStr">
        <is>
          <t>// Port 5180 (not Vite's default 5173) so ChessLab does not collide with other projects on this machine.</t>
        </is>
      </c>
    </row>
    <row r="790">
      <c r="A790" s="61" t="n">
        <v>5</v>
      </c>
      <c r="B790" s="62" t="inlineStr">
        <is>
          <t>export default defineConfig({</t>
        </is>
      </c>
    </row>
    <row r="791">
      <c r="A791" s="61" t="n">
        <v>6</v>
      </c>
      <c r="B791" s="62" t="inlineStr">
        <is>
          <t xml:space="preserve">  plugins: [react()],</t>
        </is>
      </c>
    </row>
    <row r="792">
      <c r="A792" s="61" t="n">
        <v>7</v>
      </c>
      <c r="B792" s="62" t="inlineStr">
        <is>
          <t xml:space="preserve">  server: { port: 5180, strictPort: true },</t>
        </is>
      </c>
    </row>
    <row r="793">
      <c r="A793" s="61" t="n">
        <v>8</v>
      </c>
      <c r="B793" s="62" t="inlineStr">
        <is>
          <t xml:space="preserve">  preview: { port: 5180, strictPort: true },</t>
        </is>
      </c>
    </row>
    <row r="794">
      <c r="A794" s="61" t="n">
        <v>9</v>
      </c>
      <c r="B794" s="62" t="inlineStr">
        <is>
          <t>});</t>
        </is>
      </c>
    </row>
    <row r="797">
      <c r="A797" s="60" t="inlineStr">
        <is>
          <t>C17</t>
        </is>
      </c>
      <c r="B797" s="60" t="inlineStr">
        <is>
          <t>apps/web/src/main.tsx   ·   Phase P4   ·   React entry point.</t>
        </is>
      </c>
    </row>
    <row r="798">
      <c r="B798" s="55" t="inlineStr">
        <is>
          <t>↑ back to Code Index</t>
        </is>
      </c>
    </row>
    <row r="799">
      <c r="A799" s="61" t="n">
        <v>1</v>
      </c>
      <c r="B799" s="62" t="inlineStr">
        <is>
          <t>import { StrictMode } from "react";</t>
        </is>
      </c>
    </row>
    <row r="800">
      <c r="A800" s="61" t="n">
        <v>2</v>
      </c>
      <c r="B800" s="62" t="inlineStr">
        <is>
          <t>import { createRoot } from "react-dom/client";</t>
        </is>
      </c>
    </row>
    <row r="801">
      <c r="A801" s="61" t="n">
        <v>3</v>
      </c>
      <c r="B801" s="62" t="inlineStr">
        <is>
          <t>import App from "./App";</t>
        </is>
      </c>
    </row>
    <row r="802">
      <c r="A802" s="61" t="n">
        <v>4</v>
      </c>
      <c r="B802" s="62" t="inlineStr">
        <is>
          <t>import "./index.css";</t>
        </is>
      </c>
    </row>
    <row r="803">
      <c r="A803" s="61" t="n">
        <v>5</v>
      </c>
      <c r="B803" s="62" t="n"/>
    </row>
    <row r="804">
      <c r="A804" s="61" t="n">
        <v>6</v>
      </c>
      <c r="B804" s="62" t="inlineStr">
        <is>
          <t>createRoot(document.getElementById("root")!).render(</t>
        </is>
      </c>
    </row>
    <row r="805">
      <c r="A805" s="61" t="n">
        <v>7</v>
      </c>
      <c r="B805" s="62" t="inlineStr">
        <is>
          <t xml:space="preserve">  &lt;StrictMode&gt;</t>
        </is>
      </c>
    </row>
    <row r="806">
      <c r="A806" s="61" t="n">
        <v>8</v>
      </c>
      <c r="B806" s="62" t="inlineStr">
        <is>
          <t xml:space="preserve">    &lt;App /&gt;</t>
        </is>
      </c>
    </row>
    <row r="807">
      <c r="A807" s="61" t="n">
        <v>9</v>
      </c>
      <c r="B807" s="62" t="inlineStr">
        <is>
          <t xml:space="preserve">  &lt;/StrictMode&gt;,</t>
        </is>
      </c>
    </row>
    <row r="808">
      <c r="A808" s="61" t="n">
        <v>10</v>
      </c>
      <c r="B808" s="62" t="inlineStr">
        <is>
          <t>);</t>
        </is>
      </c>
    </row>
    <row r="811">
      <c r="A811" s="60" t="inlineStr">
        <is>
          <t>C18</t>
        </is>
      </c>
      <c r="B811" s="60" t="inlineStr">
        <is>
          <t>apps/web/src/index.css   ·   Phase P4   ·   Small responsive stylesheet with dark mode and focus styles.</t>
        </is>
      </c>
    </row>
    <row r="812">
      <c r="B812" s="55" t="inlineStr">
        <is>
          <t>↑ back to Code Index</t>
        </is>
      </c>
    </row>
    <row r="813">
      <c r="A813" s="61" t="n">
        <v>1</v>
      </c>
      <c r="B813" s="62" t="inlineStr">
        <is>
          <t>:root {</t>
        </is>
      </c>
    </row>
    <row r="814">
      <c r="A814" s="61" t="n">
        <v>2</v>
      </c>
      <c r="B814" s="62" t="inlineStr">
        <is>
          <t xml:space="preserve">  --bg: #f8fafc; --fg: #0f172a; --muted: #64748b; --card: #ffffff; --line: #e2e8f0;</t>
        </is>
      </c>
    </row>
    <row r="815">
      <c r="A815" s="61" t="n">
        <v>3</v>
      </c>
      <c r="B815" s="62" t="inlineStr">
        <is>
          <t xml:space="preserve">  --accent: #2563eb; --accent-fg: #ffffff; --bad: #b91c1c; --good: #15803d;</t>
        </is>
      </c>
    </row>
    <row r="816">
      <c r="A816" s="61" t="n">
        <v>4</v>
      </c>
      <c r="B816" s="62" t="inlineStr">
        <is>
          <t xml:space="preserve">  font-family: system-ui, -apple-system, "Segoe UI", Roboto, sans-serif;</t>
        </is>
      </c>
    </row>
    <row r="817">
      <c r="A817" s="61" t="n">
        <v>5</v>
      </c>
      <c r="B817" s="62" t="inlineStr">
        <is>
          <t xml:space="preserve">  color: var(--fg); background: var(--bg);</t>
        </is>
      </c>
    </row>
    <row r="818">
      <c r="A818" s="61" t="n">
        <v>6</v>
      </c>
      <c r="B818" s="62" t="inlineStr">
        <is>
          <t>}</t>
        </is>
      </c>
    </row>
    <row r="819">
      <c r="A819" s="61" t="n">
        <v>7</v>
      </c>
      <c r="B819" s="62" t="inlineStr">
        <is>
          <t>@media (prefers-color-scheme: dark) {</t>
        </is>
      </c>
    </row>
    <row r="820">
      <c r="A820" s="61" t="n">
        <v>8</v>
      </c>
      <c r="B820" s="62" t="inlineStr">
        <is>
          <t xml:space="preserve">  :root { --bg: #0b1120; --fg: #e2e8f0; --muted: #94a3b8; --card: #111827; --line: #1f2937; }</t>
        </is>
      </c>
    </row>
    <row r="821">
      <c r="A821" s="61" t="n">
        <v>9</v>
      </c>
      <c r="B821" s="62" t="inlineStr">
        <is>
          <t>}</t>
        </is>
      </c>
    </row>
    <row r="822">
      <c r="A822" s="61" t="n">
        <v>10</v>
      </c>
      <c r="B822" s="62" t="inlineStr">
        <is>
          <t>* { box-sizing: border-box; }</t>
        </is>
      </c>
    </row>
    <row r="823">
      <c r="A823" s="61" t="n">
        <v>11</v>
      </c>
      <c r="B823" s="62" t="inlineStr">
        <is>
          <t>body { margin: 0; }</t>
        </is>
      </c>
    </row>
    <row r="824">
      <c r="A824" s="61" t="n">
        <v>12</v>
      </c>
      <c r="B824" s="62" t="inlineStr">
        <is>
          <t>main { max-width: 1100px; margin: 0 auto; padding: 16px; }</t>
        </is>
      </c>
    </row>
    <row r="825">
      <c r="A825" s="61" t="n">
        <v>13</v>
      </c>
      <c r="B825" s="62" t="inlineStr">
        <is>
          <t>.nav { display: flex; flex-wrap: wrap; gap: 12px; align-items: center; padding: 12px 16px; border-bottom: 1px solid var(--line); }</t>
        </is>
      </c>
    </row>
    <row r="826">
      <c r="A826" s="61" t="n">
        <v>14</v>
      </c>
      <c r="B826" s="62" t="inlineStr">
        <is>
          <t>.nav nav { display: flex; flex-wrap: wrap; gap: 12px; }</t>
        </is>
      </c>
    </row>
    <row r="827">
      <c r="A827" s="61" t="n">
        <v>15</v>
      </c>
      <c r="B827" s="62" t="inlineStr">
        <is>
          <t>.nav a { color: var(--fg); text-decoration: none; }</t>
        </is>
      </c>
    </row>
    <row r="828">
      <c r="A828" s="61" t="n">
        <v>16</v>
      </c>
      <c r="B828" s="62" t="inlineStr">
        <is>
          <t>.nav a.active { color: var(--accent); font-weight: 600; }</t>
        </is>
      </c>
    </row>
    <row r="829">
      <c r="A829" s="61" t="n">
        <v>17</v>
      </c>
      <c r="B829" s="62" t="inlineStr">
        <is>
          <t>.brand { font-weight: 700; margin-right: auto; }</t>
        </is>
      </c>
    </row>
    <row r="830">
      <c r="A830" s="61" t="n">
        <v>18</v>
      </c>
      <c r="B830" s="62" t="inlineStr">
        <is>
          <t>.play, .review, .practice { display: grid; grid-template-columns: minmax(0, 560px) minmax(0, 1fr); gap: 24px; }</t>
        </is>
      </c>
    </row>
    <row r="831">
      <c r="A831" s="61" t="n">
        <v>19</v>
      </c>
      <c r="B831" s="62" t="inlineStr">
        <is>
          <t>@media (max-width: 800px) { .play, .review, .practice { grid-template-columns: 1fr; } }</t>
        </is>
      </c>
    </row>
    <row r="832">
      <c r="A832" s="61" t="n">
        <v>20</v>
      </c>
      <c r="B832" s="62" t="inlineStr">
        <is>
          <t>.board-wrap { width: 100%; max-width: 560px; }</t>
        </is>
      </c>
    </row>
    <row r="833">
      <c r="A833" s="61" t="n">
        <v>21</v>
      </c>
      <c r="B833" s="62" t="inlineStr">
        <is>
          <t>.panel { background: var(--card); border: 1px solid var(--line); border-radius: 8px; padding: 16px; }</t>
        </is>
      </c>
    </row>
    <row r="834">
      <c r="A834" s="61" t="n">
        <v>22</v>
      </c>
      <c r="B834" s="62" t="inlineStr">
        <is>
          <t>button, .primary, select, input { font: inherit; padding: 8px 12px; border-radius: 6px; border: 1px solid var(--line); background: var(--card); color: var(--fg); }</t>
        </is>
      </c>
    </row>
    <row r="835">
      <c r="A835" s="61" t="n">
        <v>23</v>
      </c>
      <c r="B835" s="62" t="inlineStr">
        <is>
          <t>button:focus-visible, a:focus-visible { outline: 3px solid var(--accent); outline-offset: 2px; }</t>
        </is>
      </c>
    </row>
    <row r="836">
      <c r="A836" s="61" t="n">
        <v>24</v>
      </c>
      <c r="B836" s="62" t="inlineStr">
        <is>
          <t>.primary { background: var(--accent); color: var(--accent-fg); border-color: var(--accent); text-decoration: none; display: inline-block; }</t>
        </is>
      </c>
    </row>
    <row r="837">
      <c r="A837" s="61" t="n">
        <v>25</v>
      </c>
      <c r="B837" s="62" t="inlineStr">
        <is>
          <t>.link { background: none; border: none; color: var(--accent); padding: 0; cursor: pointer; text-decoration: underline; }</t>
        </is>
      </c>
    </row>
    <row r="838">
      <c r="A838" s="61" t="n">
        <v>26</v>
      </c>
      <c r="B838" s="62" t="inlineStr">
        <is>
          <t>.actions { display: flex; flex-wrap: wrap; gap: 8px; margin-top: 12px; }</t>
        </is>
      </c>
    </row>
    <row r="839">
      <c r="A839" s="61" t="n">
        <v>27</v>
      </c>
      <c r="B839" s="62" t="inlineStr">
        <is>
          <t>.error { color: var(--bad); }</t>
        </is>
      </c>
    </row>
    <row r="840">
      <c r="A840" s="61" t="n">
        <v>28</v>
      </c>
      <c r="B840" s="62" t="inlineStr">
        <is>
          <t>.muted, .coverage { color: var(--muted); font-size: 0.9em; }</t>
        </is>
      </c>
    </row>
    <row r="841">
      <c r="A841" s="61" t="n">
        <v>29</v>
      </c>
      <c r="B841" s="62" t="inlineStr">
        <is>
          <t>.banner { padding: 8px 16px; background: var(--card); border-bottom: 1px solid var(--line); margin: 0; }</t>
        </is>
      </c>
    </row>
    <row r="842">
      <c r="A842" s="61" t="n">
        <v>30</v>
      </c>
      <c r="B842" s="62" t="inlineStr">
        <is>
          <t>.move-list { border-collapse: collapse; width: 100%; max-height: 320px; overflow: auto; display: block; }</t>
        </is>
      </c>
    </row>
    <row r="843">
      <c r="A843" s="61" t="n">
        <v>31</v>
      </c>
      <c r="B843" s="62" t="inlineStr">
        <is>
          <t>.move-list th { color: var(--muted); font-weight: normal; padding-right: 8px; }</t>
        </is>
      </c>
    </row>
    <row r="844">
      <c r="A844" s="61" t="n">
        <v>32</v>
      </c>
      <c r="B844" s="62" t="inlineStr">
        <is>
          <t>.move { border: none; background: none; padding: 2px 6px; cursor: pointer; }</t>
        </is>
      </c>
    </row>
    <row r="845">
      <c r="A845" s="61" t="n">
        <v>33</v>
      </c>
      <c r="B845" s="62" t="inlineStr">
        <is>
          <t>.move.current { background: var(--accent); color: var(--accent-fg); }</t>
        </is>
      </c>
    </row>
    <row r="846">
      <c r="A846" s="61" t="n">
        <v>34</v>
      </c>
      <c r="B846" s="62" t="inlineStr">
        <is>
          <t>.move.flagged { text-decoration: underline wavy var(--bad); }</t>
        </is>
      </c>
    </row>
    <row r="847">
      <c r="A847" s="61" t="n">
        <v>35</v>
      </c>
      <c r="B847" s="62" t="inlineStr">
        <is>
          <t>.findings li.active { border-left: 3px solid var(--good); padding-left: 8px; }</t>
        </is>
      </c>
    </row>
    <row r="848">
      <c r="A848" s="61" t="n">
        <v>36</v>
      </c>
      <c r="B848" s="62" t="inlineStr">
        <is>
          <t>.dialog-backdrop { position: fixed; inset: 0; background: rgb(0 0 0 / 0.5); display: grid; place-items: center; }</t>
        </is>
      </c>
    </row>
    <row r="849">
      <c r="A849" s="61" t="n">
        <v>37</v>
      </c>
      <c r="B849" s="62" t="inlineStr">
        <is>
          <t>.dialog { background: var(--card); padding: 16px; border-radius: 8px; }</t>
        </is>
      </c>
    </row>
    <row r="850">
      <c r="A850" s="61" t="n">
        <v>38</v>
      </c>
      <c r="B850" s="62" t="inlineStr">
        <is>
          <t>.promo-row { display: flex; gap: 8px; }</t>
        </is>
      </c>
    </row>
    <row r="851">
      <c r="A851" s="61" t="n">
        <v>39</v>
      </c>
      <c r="B851" s="62" t="inlineStr">
        <is>
          <t>.promo-row button { display: flex; flex-direction: column; align-items: center; }</t>
        </is>
      </c>
    </row>
    <row r="852">
      <c r="A852" s="61" t="n">
        <v>40</v>
      </c>
      <c r="B852" s="62" t="inlineStr">
        <is>
          <t>.promo-glyph { font-size: 2rem; }</t>
        </is>
      </c>
    </row>
    <row r="853">
      <c r="A853" s="61" t="n">
        <v>41</v>
      </c>
      <c r="B853" s="62" t="inlineStr">
        <is>
          <t>.cta { display: flex; flex-wrap: wrap; gap: 12px; }</t>
        </is>
      </c>
    </row>
    <row r="854">
      <c r="A854" s="61" t="n">
        <v>42</v>
      </c>
      <c r="B854" s="62" t="inlineStr">
        <is>
          <t>form label { display: block; margin: 8px 0; }</t>
        </is>
      </c>
    </row>
    <row r="855">
      <c r="A855" s="61" t="n">
        <v>43</v>
      </c>
      <c r="B855" s="62" t="inlineStr">
        <is>
          <t>table { border-collapse: collapse; }</t>
        </is>
      </c>
    </row>
    <row r="856">
      <c r="A856" s="61" t="n">
        <v>44</v>
      </c>
      <c r="B856" s="62" t="inlineStr">
        <is>
          <t>td, th { padding: 4px 8px; text-align: left; }</t>
        </is>
      </c>
    </row>
    <row r="857">
      <c r="A857" s="61" t="n">
        <v>45</v>
      </c>
      <c r="B857" s="62" t="inlineStr">
        <is>
          <t>.concept-card { border: 1px solid var(--line); border-radius: 8px; padding: 12px 16px; margin: 12px 0; }</t>
        </is>
      </c>
    </row>
    <row r="858">
      <c r="A858" s="61" t="n">
        <v>46</v>
      </c>
      <c r="B858" s="62" t="inlineStr">
        <is>
          <t>footer { padding: 16px; color: var(--muted); border-top: 1px solid var(--line); }</t>
        </is>
      </c>
    </row>
    <row r="859">
      <c r="A859" s="61" t="n">
        <v>47</v>
      </c>
      <c r="B859" s="62" t="inlineStr">
        <is>
          <t>.prose { max-width: 70ch; line-height: 1.6; }</t>
        </is>
      </c>
    </row>
    <row r="862">
      <c r="A862" s="60" t="inlineStr">
        <is>
          <t>C19</t>
        </is>
      </c>
      <c r="B862" s="60" t="inlineStr">
        <is>
          <t>apps/web/src/App.tsx   ·   Phase P4   ·   Routes, navigation, offline banner, delete-my-data.</t>
        </is>
      </c>
    </row>
    <row r="863">
      <c r="B863" s="55" t="inlineStr">
        <is>
          <t>↑ back to Code Index</t>
        </is>
      </c>
    </row>
    <row r="864">
      <c r="A864" s="61" t="n">
        <v>1</v>
      </c>
      <c r="B864" s="62" t="inlineStr">
        <is>
          <t>import { useEffect, useState } from "react";</t>
        </is>
      </c>
    </row>
    <row r="865">
      <c r="A865" s="61" t="n">
        <v>2</v>
      </c>
      <c r="B865" s="62" t="inlineStr">
        <is>
          <t>import { BrowserRouter, Link, NavLink, Route, Routes } from "react-router-dom";</t>
        </is>
      </c>
    </row>
    <row r="866">
      <c r="A866" s="61" t="n">
        <v>3</v>
      </c>
      <c r="B866" s="62" t="inlineStr">
        <is>
          <t>import { api, forgetGuest } from "./api/client";</t>
        </is>
      </c>
    </row>
    <row r="867">
      <c r="A867" s="61" t="n">
        <v>4</v>
      </c>
      <c r="B867" s="62" t="inlineStr">
        <is>
          <t>import { DemoPage } from "./pages/DemoPage";</t>
        </is>
      </c>
    </row>
    <row r="868">
      <c r="A868" s="61" t="n">
        <v>5</v>
      </c>
      <c r="B868" s="62" t="inlineStr">
        <is>
          <t>import { GamesPage } from "./pages/GamesPage";</t>
        </is>
      </c>
    </row>
    <row r="869">
      <c r="A869" s="61" t="n">
        <v>6</v>
      </c>
      <c r="B869" s="62" t="inlineStr">
        <is>
          <t>import { ImportPage } from "./pages/ImportPage";</t>
        </is>
      </c>
    </row>
    <row r="870">
      <c r="A870" s="61" t="n">
        <v>7</v>
      </c>
      <c r="B870" s="62" t="inlineStr">
        <is>
          <t>import { MethodologyPage } from "./pages/MethodologyPage";</t>
        </is>
      </c>
    </row>
    <row r="871">
      <c r="A871" s="61" t="n">
        <v>8</v>
      </c>
      <c r="B871" s="62" t="inlineStr">
        <is>
          <t>import { PlayPage } from "./pages/PlayPage";</t>
        </is>
      </c>
    </row>
    <row r="872">
      <c r="A872" s="61" t="n">
        <v>9</v>
      </c>
      <c r="B872" s="62" t="inlineStr">
        <is>
          <t>import { PracticePage } from "./pages/PracticePage";</t>
        </is>
      </c>
    </row>
    <row r="873">
      <c r="A873" s="61" t="n">
        <v>10</v>
      </c>
      <c r="B873" s="62" t="inlineStr">
        <is>
          <t>import { ProgressPage } from "./pages/ProgressPage";</t>
        </is>
      </c>
    </row>
    <row r="874">
      <c r="A874" s="61" t="n">
        <v>11</v>
      </c>
      <c r="B874" s="62" t="inlineStr">
        <is>
          <t>import { ReviewPage } from "./pages/ReviewPage";</t>
        </is>
      </c>
    </row>
    <row r="875">
      <c r="A875" s="61" t="n">
        <v>12</v>
      </c>
      <c r="B875" s="62" t="n"/>
    </row>
    <row r="876">
      <c r="A876" s="61" t="n">
        <v>13</v>
      </c>
      <c r="B876" s="62" t="inlineStr">
        <is>
          <t>function OfflineBanner() {</t>
        </is>
      </c>
    </row>
    <row r="877">
      <c r="A877" s="61" t="n">
        <v>14</v>
      </c>
      <c r="B877" s="62" t="inlineStr">
        <is>
          <t xml:space="preserve">  const [online, setOnline] = useState(navigator.onLine);</t>
        </is>
      </c>
    </row>
    <row r="878">
      <c r="A878" s="61" t="n">
        <v>15</v>
      </c>
      <c r="B878" s="62" t="inlineStr">
        <is>
          <t xml:space="preserve">  useEffect(() =&gt; {</t>
        </is>
      </c>
    </row>
    <row r="879">
      <c r="A879" s="61" t="n">
        <v>16</v>
      </c>
      <c r="B879" s="62" t="inlineStr">
        <is>
          <t xml:space="preserve">    const on = () =&gt; setOnline(true);</t>
        </is>
      </c>
    </row>
    <row r="880">
      <c r="A880" s="61" t="n">
        <v>17</v>
      </c>
      <c r="B880" s="62" t="inlineStr">
        <is>
          <t xml:space="preserve">    const off = () =&gt; setOnline(false);</t>
        </is>
      </c>
    </row>
    <row r="881">
      <c r="A881" s="61" t="n">
        <v>18</v>
      </c>
      <c r="B881" s="62" t="inlineStr">
        <is>
          <t xml:space="preserve">    window.addEventListener("online", on);</t>
        </is>
      </c>
    </row>
    <row r="882">
      <c r="A882" s="61" t="n">
        <v>19</v>
      </c>
      <c r="B882" s="62" t="inlineStr">
        <is>
          <t xml:space="preserve">    window.addEventListener("offline", off);</t>
        </is>
      </c>
    </row>
    <row r="883">
      <c r="A883" s="61" t="n">
        <v>20</v>
      </c>
      <c r="B883" s="62" t="inlineStr">
        <is>
          <t xml:space="preserve">    return () =&gt; {</t>
        </is>
      </c>
    </row>
    <row r="884">
      <c r="A884" s="61" t="n">
        <v>21</v>
      </c>
      <c r="B884" s="62" t="inlineStr">
        <is>
          <t xml:space="preserve">      window.removeEventListener("online", on);</t>
        </is>
      </c>
    </row>
    <row r="885">
      <c r="A885" s="61" t="n">
        <v>22</v>
      </c>
      <c r="B885" s="62" t="inlineStr">
        <is>
          <t xml:space="preserve">      window.removeEventListener("offline", off);</t>
        </is>
      </c>
    </row>
    <row r="886">
      <c r="A886" s="61" t="n">
        <v>23</v>
      </c>
      <c r="B886" s="62" t="inlineStr">
        <is>
          <t xml:space="preserve">    };</t>
        </is>
      </c>
    </row>
    <row r="887">
      <c r="A887" s="61" t="n">
        <v>24</v>
      </c>
      <c r="B887" s="62" t="inlineStr">
        <is>
          <t xml:space="preserve">  }, []);</t>
        </is>
      </c>
    </row>
    <row r="888">
      <c r="A888" s="61" t="n">
        <v>25</v>
      </c>
      <c r="B888" s="62" t="inlineStr">
        <is>
          <t xml:space="preserve">  return online ? null : &lt;p className="banner error" role="status"&gt;You are offline. Your game is safe; saving will retry when you reconnect.&lt;/p&gt;;</t>
        </is>
      </c>
    </row>
    <row r="889">
      <c r="A889" s="61" t="n">
        <v>26</v>
      </c>
      <c r="B889" s="62" t="inlineStr">
        <is>
          <t>}</t>
        </is>
      </c>
    </row>
    <row r="890">
      <c r="A890" s="61" t="n">
        <v>27</v>
      </c>
      <c r="B890" s="62" t="n"/>
    </row>
    <row r="891">
      <c r="A891" s="61" t="n">
        <v>28</v>
      </c>
      <c r="B891" s="62" t="inlineStr">
        <is>
          <t>function Home() {</t>
        </is>
      </c>
    </row>
    <row r="892">
      <c r="A892" s="61" t="n">
        <v>29</v>
      </c>
      <c r="B892" s="62" t="inlineStr">
        <is>
          <t xml:space="preserve">  return (</t>
        </is>
      </c>
    </row>
    <row r="893">
      <c r="A893" s="61" t="n">
        <v>30</v>
      </c>
      <c r="B893" s="62" t="inlineStr">
        <is>
          <t xml:space="preserve">    &lt;section className="home"&gt;</t>
        </is>
      </c>
    </row>
    <row r="894">
      <c r="A894" s="61" t="n">
        <v>31</v>
      </c>
      <c r="B894" s="62" t="inlineStr">
        <is>
          <t xml:space="preserve">      &lt;h1&gt;ChessLab&lt;/h1&gt;</t>
        </is>
      </c>
    </row>
    <row r="895">
      <c r="A895" s="61" t="n">
        <v>32</v>
      </c>
      <c r="B895" s="62" t="inlineStr">
        <is>
          <t xml:space="preserve">      &lt;p&gt;Turn your games into evidence-backed tactical lessons, then practise the idea in new positions.&lt;/p&gt;</t>
        </is>
      </c>
    </row>
    <row r="896">
      <c r="A896" s="61" t="n">
        <v>33</v>
      </c>
      <c r="B896" s="62" t="inlineStr">
        <is>
          <t xml:space="preserve">      &lt;div className="cta"&gt;</t>
        </is>
      </c>
    </row>
    <row r="897">
      <c r="A897" s="61" t="n">
        <v>34</v>
      </c>
      <c r="B897" s="62" t="inlineStr">
        <is>
          <t xml:space="preserve">        &lt;Link className="primary" to="/play"&gt;Play now&lt;/Link&gt;</t>
        </is>
      </c>
    </row>
    <row r="898">
      <c r="A898" s="61" t="n">
        <v>35</v>
      </c>
      <c r="B898" s="62" t="inlineStr">
        <is>
          <t xml:space="preserve">        &lt;Link to="/import"&gt;Analyse my games&lt;/Link&gt;</t>
        </is>
      </c>
    </row>
    <row r="899">
      <c r="A899" s="61" t="n">
        <v>36</v>
      </c>
      <c r="B899" s="62" t="inlineStr">
        <is>
          <t xml:space="preserve">        &lt;Link to="/demo"&gt;Explore a sample&lt;/Link&gt;</t>
        </is>
      </c>
    </row>
    <row r="900">
      <c r="A900" s="61" t="n">
        <v>37</v>
      </c>
      <c r="B900" s="62" t="inlineStr">
        <is>
          <t xml:space="preserve">      &lt;/div&gt;</t>
        </is>
      </c>
    </row>
    <row r="901">
      <c r="A901" s="61" t="n">
        <v>38</v>
      </c>
      <c r="B901" s="62" t="inlineStr">
        <is>
          <t xml:space="preserve">    &lt;/section&gt;</t>
        </is>
      </c>
    </row>
    <row r="902">
      <c r="A902" s="61" t="n">
        <v>39</v>
      </c>
      <c r="B902" s="62" t="inlineStr">
        <is>
          <t xml:space="preserve">  );</t>
        </is>
      </c>
    </row>
    <row r="903">
      <c r="A903" s="61" t="n">
        <v>40</v>
      </c>
      <c r="B903" s="62" t="inlineStr">
        <is>
          <t>}</t>
        </is>
      </c>
    </row>
    <row r="904">
      <c r="A904" s="61" t="n">
        <v>41</v>
      </c>
      <c r="B904" s="62" t="n"/>
    </row>
    <row r="905">
      <c r="A905" s="61" t="n">
        <v>42</v>
      </c>
      <c r="B905" s="62" t="inlineStr">
        <is>
          <t>async function deleteMyData() {</t>
        </is>
      </c>
    </row>
    <row r="906">
      <c r="A906" s="61" t="n">
        <v>43</v>
      </c>
      <c r="B906" s="62" t="inlineStr">
        <is>
          <t xml:space="preserve">  if (!window.confirm("Delete all your games, findings and practice history? This cannot be undone.")) return;</t>
        </is>
      </c>
    </row>
    <row r="907">
      <c r="A907" s="61" t="n">
        <v>44</v>
      </c>
      <c r="B907" s="62" t="inlineStr">
        <is>
          <t xml:space="preserve">  await api("/v1/me/data", { method: "DELETE" });</t>
        </is>
      </c>
    </row>
    <row r="908">
      <c r="A908" s="61" t="n">
        <v>45</v>
      </c>
      <c r="B908" s="62" t="inlineStr">
        <is>
          <t xml:space="preserve">  forgetGuest();</t>
        </is>
      </c>
    </row>
    <row r="909">
      <c r="A909" s="61" t="n">
        <v>46</v>
      </c>
      <c r="B909" s="62" t="inlineStr">
        <is>
          <t xml:space="preserve">  window.location.assign("/");</t>
        </is>
      </c>
    </row>
    <row r="910">
      <c r="A910" s="61" t="n">
        <v>47</v>
      </c>
      <c r="B910" s="62" t="inlineStr">
        <is>
          <t>}</t>
        </is>
      </c>
    </row>
    <row r="911">
      <c r="A911" s="61" t="n">
        <v>48</v>
      </c>
      <c r="B911" s="62" t="n"/>
    </row>
    <row r="912">
      <c r="A912" s="61" t="n">
        <v>49</v>
      </c>
      <c r="B912" s="62" t="inlineStr">
        <is>
          <t>export default function App() {</t>
        </is>
      </c>
    </row>
    <row r="913">
      <c r="A913" s="61" t="n">
        <v>50</v>
      </c>
      <c r="B913" s="62" t="inlineStr">
        <is>
          <t xml:space="preserve">  return (</t>
        </is>
      </c>
    </row>
    <row r="914">
      <c r="A914" s="61" t="n">
        <v>51</v>
      </c>
      <c r="B914" s="62" t="inlineStr">
        <is>
          <t xml:space="preserve">    &lt;BrowserRouter future={{ v7_startTransition: true, v7_relativeSplatPath: true }}&gt;</t>
        </is>
      </c>
    </row>
    <row r="915">
      <c r="A915" s="61" t="n">
        <v>52</v>
      </c>
      <c r="B915" s="62" t="inlineStr">
        <is>
          <t xml:space="preserve">      &lt;header className="nav"&gt;</t>
        </is>
      </c>
    </row>
    <row r="916">
      <c r="A916" s="61" t="n">
        <v>53</v>
      </c>
      <c r="B916" s="62" t="inlineStr">
        <is>
          <t xml:space="preserve">        &lt;Link to="/" className="brand"&gt;ChessLab&lt;/Link&gt;</t>
        </is>
      </c>
    </row>
    <row r="917">
      <c r="A917" s="61" t="n">
        <v>54</v>
      </c>
      <c r="B917" s="62" t="inlineStr">
        <is>
          <t xml:space="preserve">        &lt;nav aria-label="Main"&gt;</t>
        </is>
      </c>
    </row>
    <row r="918">
      <c r="A918" s="61" t="n">
        <v>55</v>
      </c>
      <c r="B918" s="62" t="inlineStr">
        <is>
          <t xml:space="preserve">          {[["/play", "Play"], ["/import", "Import"], ["/games", "My games"], ["/practice", "Practice"],</t>
        </is>
      </c>
    </row>
    <row r="919">
      <c r="A919" s="61" t="n">
        <v>56</v>
      </c>
      <c r="B919" s="62" t="inlineStr">
        <is>
          <t xml:space="preserve">            ["/progress", "Progress"], ["/demo", "Demo"], ["/methodology", "Methodology"]].map(([to, label]) =&gt; (</t>
        </is>
      </c>
    </row>
    <row r="920">
      <c r="A920" s="61" t="n">
        <v>57</v>
      </c>
      <c r="B920" s="62" t="inlineStr">
        <is>
          <t xml:space="preserve">            &lt;NavLink key={to} to={to}&gt;{label}&lt;/NavLink&gt;</t>
        </is>
      </c>
    </row>
    <row r="921">
      <c r="A921" s="61" t="n">
        <v>58</v>
      </c>
      <c r="B921" s="62" t="inlineStr">
        <is>
          <t xml:space="preserve">          ))}</t>
        </is>
      </c>
    </row>
    <row r="922">
      <c r="A922" s="61" t="n">
        <v>59</v>
      </c>
      <c r="B922" s="62" t="inlineStr">
        <is>
          <t xml:space="preserve">        &lt;/nav&gt;</t>
        </is>
      </c>
    </row>
    <row r="923">
      <c r="A923" s="61" t="n">
        <v>60</v>
      </c>
      <c r="B923" s="62" t="inlineStr">
        <is>
          <t xml:space="preserve">      &lt;/header&gt;</t>
        </is>
      </c>
    </row>
    <row r="924">
      <c r="A924" s="61" t="n">
        <v>61</v>
      </c>
      <c r="B924" s="62" t="inlineStr">
        <is>
          <t xml:space="preserve">      &lt;OfflineBanner /&gt;</t>
        </is>
      </c>
    </row>
    <row r="925">
      <c r="A925" s="61" t="n">
        <v>62</v>
      </c>
      <c r="B925" s="62" t="inlineStr">
        <is>
          <t xml:space="preserve">      &lt;main&gt;</t>
        </is>
      </c>
    </row>
    <row r="926">
      <c r="A926" s="61" t="n">
        <v>63</v>
      </c>
      <c r="B926" s="62" t="inlineStr">
        <is>
          <t xml:space="preserve">        &lt;Routes&gt;</t>
        </is>
      </c>
    </row>
    <row r="927">
      <c r="A927" s="61" t="n">
        <v>64</v>
      </c>
      <c r="B927" s="62" t="inlineStr">
        <is>
          <t xml:space="preserve">          &lt;Route path="/" element={&lt;Home /&gt;} /&gt;</t>
        </is>
      </c>
    </row>
    <row r="928">
      <c r="A928" s="61" t="n">
        <v>65</v>
      </c>
      <c r="B928" s="62" t="inlineStr">
        <is>
          <t xml:space="preserve">          &lt;Route path="/play" element={&lt;PlayPage /&gt;} /&gt;</t>
        </is>
      </c>
    </row>
    <row r="929">
      <c r="A929" s="61" t="n">
        <v>66</v>
      </c>
      <c r="B929" s="62" t="inlineStr">
        <is>
          <t xml:space="preserve">          &lt;Route path="/import" element={&lt;ImportPage /&gt;} /&gt;</t>
        </is>
      </c>
    </row>
    <row r="930">
      <c r="A930" s="61" t="n">
        <v>67</v>
      </c>
      <c r="B930" s="62" t="inlineStr">
        <is>
          <t xml:space="preserve">          &lt;Route path="/games" element={&lt;GamesPage /&gt;} /&gt;</t>
        </is>
      </c>
    </row>
    <row r="931">
      <c r="A931" s="61" t="n">
        <v>68</v>
      </c>
      <c r="B931" s="62" t="inlineStr">
        <is>
          <t xml:space="preserve">          &lt;Route path="/review/:gameId" element={&lt;ReviewPage /&gt;} /&gt;</t>
        </is>
      </c>
    </row>
    <row r="932">
      <c r="A932" s="61" t="n">
        <v>69</v>
      </c>
      <c r="B932" s="62" t="inlineStr">
        <is>
          <t xml:space="preserve">          &lt;Route path="/practice" element={&lt;PracticePage /&gt;} /&gt;</t>
        </is>
      </c>
    </row>
    <row r="933">
      <c r="A933" s="61" t="n">
        <v>70</v>
      </c>
      <c r="B933" s="62" t="inlineStr">
        <is>
          <t xml:space="preserve">          &lt;Route path="/practice/:sessionId" element={&lt;PracticePage /&gt;} /&gt;</t>
        </is>
      </c>
    </row>
    <row r="934">
      <c r="A934" s="61" t="n">
        <v>71</v>
      </c>
      <c r="B934" s="62" t="inlineStr">
        <is>
          <t xml:space="preserve">          &lt;Route path="/progress" element={&lt;ProgressPage /&gt;} /&gt;</t>
        </is>
      </c>
    </row>
    <row r="935">
      <c r="A935" s="61" t="n">
        <v>72</v>
      </c>
      <c r="B935" s="62" t="inlineStr">
        <is>
          <t xml:space="preserve">          &lt;Route path="/demo" element={&lt;DemoPage /&gt;} /&gt;</t>
        </is>
      </c>
    </row>
    <row r="936">
      <c r="A936" s="61" t="n">
        <v>73</v>
      </c>
      <c r="B936" s="62" t="inlineStr">
        <is>
          <t xml:space="preserve">          &lt;Route path="/methodology" element={&lt;MethodologyPage /&gt;} /&gt;</t>
        </is>
      </c>
    </row>
    <row r="937">
      <c r="A937" s="61" t="n">
        <v>74</v>
      </c>
      <c r="B937" s="62" t="inlineStr">
        <is>
          <t xml:space="preserve">          &lt;Route path="*" element={&lt;p&gt;Page not found. &lt;Link to="/"&gt;Go home&lt;/Link&gt;&lt;/p&gt;} /&gt;</t>
        </is>
      </c>
    </row>
    <row r="938">
      <c r="A938" s="61" t="n">
        <v>75</v>
      </c>
      <c r="B938" s="62" t="inlineStr">
        <is>
          <t xml:space="preserve">        &lt;/Routes&gt;</t>
        </is>
      </c>
    </row>
    <row r="939">
      <c r="A939" s="61" t="n">
        <v>76</v>
      </c>
      <c r="B939" s="62" t="inlineStr">
        <is>
          <t xml:space="preserve">      &lt;/main&gt;</t>
        </is>
      </c>
    </row>
    <row r="940">
      <c r="A940" s="61" t="n">
        <v>77</v>
      </c>
      <c r="B940" s="62" t="inlineStr">
        <is>
          <t xml:space="preserve">      &lt;footer&gt;</t>
        </is>
      </c>
    </row>
    <row r="941">
      <c r="A941" s="61" t="n">
        <v>78</v>
      </c>
      <c r="B941" s="62" t="inlineStr">
        <is>
          <t xml:space="preserve">        &lt;button className="link" onClick={deleteMyData}&gt;Delete my data&lt;/button&gt;</t>
        </is>
      </c>
    </row>
    <row r="942">
      <c r="A942" s="61" t="n">
        <v>79</v>
      </c>
      <c r="B942" s="62" t="inlineStr">
        <is>
          <t xml:space="preserve">        &lt;span&gt; · Your data is tied to this browser. Clearing site data loses access to it.&lt;/span&gt;</t>
        </is>
      </c>
    </row>
    <row r="943">
      <c r="A943" s="61" t="n">
        <v>80</v>
      </c>
      <c r="B943" s="62" t="inlineStr">
        <is>
          <t xml:space="preserve">      &lt;/footer&gt;</t>
        </is>
      </c>
    </row>
    <row r="944">
      <c r="A944" s="61" t="n">
        <v>81</v>
      </c>
      <c r="B944" s="62" t="inlineStr">
        <is>
          <t xml:space="preserve">    &lt;/BrowserRouter&gt;</t>
        </is>
      </c>
    </row>
    <row r="945">
      <c r="A945" s="61" t="n">
        <v>82</v>
      </c>
      <c r="B945" s="62" t="inlineStr">
        <is>
          <t xml:space="preserve">  );</t>
        </is>
      </c>
    </row>
    <row r="946">
      <c r="A946" s="61" t="n">
        <v>83</v>
      </c>
      <c r="B946" s="62" t="inlineStr">
        <is>
          <t>}</t>
        </is>
      </c>
    </row>
    <row r="949">
      <c r="A949" s="60" t="inlineStr">
        <is>
          <t>C20</t>
        </is>
      </c>
      <c r="B949" s="60" t="inlineStr">
        <is>
          <t>apps/web/src/api/client.ts   ·   Phase P4   ·   fetch wrapper: base URL, lazy guest session, bearer header, ApiError.</t>
        </is>
      </c>
    </row>
    <row r="950">
      <c r="B950" s="55" t="inlineStr">
        <is>
          <t>↑ back to Code Index</t>
        </is>
      </c>
    </row>
    <row r="951">
      <c r="A951" s="61" t="n">
        <v>1</v>
      </c>
      <c r="B951" s="62" t="inlineStr">
        <is>
          <t>// One place that knows how to talk to the backend: base URL, guest token, error shape.</t>
        </is>
      </c>
    </row>
    <row r="952">
      <c r="A952" s="61" t="n">
        <v>2</v>
      </c>
      <c r="B952" s="62" t="inlineStr">
        <is>
          <t>const BASE = import.meta.env.VITE_API_BASE_URL ?? "http://localhost:8010";</t>
        </is>
      </c>
    </row>
    <row r="953">
      <c r="A953" s="61" t="n">
        <v>3</v>
      </c>
      <c r="B953" s="62" t="inlineStr">
        <is>
          <t>const TOKEN_KEY = "chesslab.guestToken";</t>
        </is>
      </c>
    </row>
    <row r="954">
      <c r="A954" s="61" t="n">
        <v>4</v>
      </c>
      <c r="B954" s="62" t="n"/>
    </row>
    <row r="955">
      <c r="A955" s="61" t="n">
        <v>5</v>
      </c>
      <c r="B955" s="62" t="inlineStr">
        <is>
          <t>export class ApiError extends Error {</t>
        </is>
      </c>
    </row>
    <row r="956">
      <c r="A956" s="61" t="n">
        <v>6</v>
      </c>
      <c r="B956" s="62" t="inlineStr">
        <is>
          <t xml:space="preserve">  status: number;</t>
        </is>
      </c>
    </row>
    <row r="957">
      <c r="A957" s="61" t="n">
        <v>7</v>
      </c>
      <c r="B957" s="62" t="inlineStr">
        <is>
          <t xml:space="preserve">  code: string;</t>
        </is>
      </c>
    </row>
    <row r="958">
      <c r="A958" s="61" t="n">
        <v>8</v>
      </c>
      <c r="B958" s="62" t="n"/>
    </row>
    <row r="959">
      <c r="A959" s="61" t="n">
        <v>9</v>
      </c>
      <c r="B959" s="62" t="inlineStr">
        <is>
          <t xml:space="preserve">  constructor(status: number, code: string, message: string) {</t>
        </is>
      </c>
    </row>
    <row r="960">
      <c r="A960" s="61" t="n">
        <v>10</v>
      </c>
      <c r="B960" s="62" t="inlineStr">
        <is>
          <t xml:space="preserve">    super(message);</t>
        </is>
      </c>
    </row>
    <row r="961">
      <c r="A961" s="61" t="n">
        <v>11</v>
      </c>
      <c r="B961" s="62" t="inlineStr">
        <is>
          <t xml:space="preserve">    this.status = status;</t>
        </is>
      </c>
    </row>
    <row r="962">
      <c r="A962" s="61" t="n">
        <v>12</v>
      </c>
      <c r="B962" s="62" t="inlineStr">
        <is>
          <t xml:space="preserve">    this.code = code;</t>
        </is>
      </c>
    </row>
    <row r="963">
      <c r="A963" s="61" t="n">
        <v>13</v>
      </c>
      <c r="B963" s="62" t="inlineStr">
        <is>
          <t xml:space="preserve">  }</t>
        </is>
      </c>
    </row>
    <row r="964">
      <c r="A964" s="61" t="n">
        <v>14</v>
      </c>
      <c r="B964" s="62" t="inlineStr">
        <is>
          <t>}</t>
        </is>
      </c>
    </row>
    <row r="965">
      <c r="A965" s="61" t="n">
        <v>15</v>
      </c>
      <c r="B965" s="62" t="n"/>
    </row>
    <row r="966">
      <c r="A966" s="61" t="n">
        <v>16</v>
      </c>
      <c r="B966" s="62" t="inlineStr">
        <is>
          <t>function readToken(): string | null {</t>
        </is>
      </c>
    </row>
    <row r="967">
      <c r="A967" s="61" t="n">
        <v>17</v>
      </c>
      <c r="B967" s="62" t="inlineStr">
        <is>
          <t xml:space="preserve">  try {</t>
        </is>
      </c>
    </row>
    <row r="968">
      <c r="A968" s="61" t="n">
        <v>18</v>
      </c>
      <c r="B968" s="62" t="inlineStr">
        <is>
          <t xml:space="preserve">    return localStorage.getItem(TOKEN_KEY);</t>
        </is>
      </c>
    </row>
    <row r="969">
      <c r="A969" s="61" t="n">
        <v>19</v>
      </c>
      <c r="B969" s="62" t="inlineStr">
        <is>
          <t xml:space="preserve">  } catch {</t>
        </is>
      </c>
    </row>
    <row r="970">
      <c r="A970" s="61" t="n">
        <v>20</v>
      </c>
      <c r="B970" s="62" t="inlineStr">
        <is>
          <t xml:space="preserve">    return null; // private mode or blocked storage: we simply create a new guest</t>
        </is>
      </c>
    </row>
    <row r="971">
      <c r="A971" s="61" t="n">
        <v>21</v>
      </c>
      <c r="B971" s="62" t="inlineStr">
        <is>
          <t xml:space="preserve">  }</t>
        </is>
      </c>
    </row>
    <row r="972">
      <c r="A972" s="61" t="n">
        <v>22</v>
      </c>
      <c r="B972" s="62" t="inlineStr">
        <is>
          <t>}</t>
        </is>
      </c>
    </row>
    <row r="973">
      <c r="A973" s="61" t="n">
        <v>23</v>
      </c>
      <c r="B973" s="62" t="n"/>
    </row>
    <row r="974">
      <c r="A974" s="61" t="n">
        <v>24</v>
      </c>
      <c r="B974" s="62" t="inlineStr">
        <is>
          <t>function writeToken(token: string | null) {</t>
        </is>
      </c>
    </row>
    <row r="975">
      <c r="A975" s="61" t="n">
        <v>25</v>
      </c>
      <c r="B975" s="62" t="inlineStr">
        <is>
          <t xml:space="preserve">  try {</t>
        </is>
      </c>
    </row>
    <row r="976">
      <c r="A976" s="61" t="n">
        <v>26</v>
      </c>
      <c r="B976" s="62" t="inlineStr">
        <is>
          <t xml:space="preserve">    if (token) localStorage.setItem(TOKEN_KEY, token);</t>
        </is>
      </c>
    </row>
    <row r="977">
      <c r="A977" s="61" t="n">
        <v>27</v>
      </c>
      <c r="B977" s="62" t="inlineStr">
        <is>
          <t xml:space="preserve">    else localStorage.removeItem(TOKEN_KEY);</t>
        </is>
      </c>
    </row>
    <row r="978">
      <c r="A978" s="61" t="n">
        <v>28</v>
      </c>
      <c r="B978" s="62" t="inlineStr">
        <is>
          <t xml:space="preserve">  } catch {</t>
        </is>
      </c>
    </row>
    <row r="979">
      <c r="A979" s="61" t="n">
        <v>29</v>
      </c>
      <c r="B979" s="62" t="inlineStr">
        <is>
          <t xml:space="preserve">    /* ignore */</t>
        </is>
      </c>
    </row>
    <row r="980">
      <c r="A980" s="61" t="n">
        <v>30</v>
      </c>
      <c r="B980" s="62" t="inlineStr">
        <is>
          <t xml:space="preserve">  }</t>
        </is>
      </c>
    </row>
    <row r="981">
      <c r="A981" s="61" t="n">
        <v>31</v>
      </c>
      <c r="B981" s="62" t="inlineStr">
        <is>
          <t>}</t>
        </is>
      </c>
    </row>
    <row r="982">
      <c r="A982" s="61" t="n">
        <v>32</v>
      </c>
      <c r="B982" s="62" t="n"/>
    </row>
    <row r="983">
      <c r="A983" s="61" t="n">
        <v>33</v>
      </c>
      <c r="B983" s="62" t="inlineStr">
        <is>
          <t>let pendingSession: Promise&lt;string&gt; | null = null;</t>
        </is>
      </c>
    </row>
    <row r="984">
      <c r="A984" s="61" t="n">
        <v>34</v>
      </c>
      <c r="B984" s="62" t="n"/>
    </row>
    <row r="985">
      <c r="A985" s="61" t="n">
        <v>35</v>
      </c>
      <c r="B985" s="62" t="inlineStr">
        <is>
          <t>async function ensureToken(): Promise&lt;string&gt; {</t>
        </is>
      </c>
    </row>
    <row r="986">
      <c r="A986" s="61" t="n">
        <v>36</v>
      </c>
      <c r="B986" s="62" t="inlineStr">
        <is>
          <t xml:space="preserve">  const existing = readToken();</t>
        </is>
      </c>
    </row>
    <row r="987">
      <c r="A987" s="61" t="n">
        <v>37</v>
      </c>
      <c r="B987" s="62" t="inlineStr">
        <is>
          <t xml:space="preserve">  if (existing) return existing;</t>
        </is>
      </c>
    </row>
    <row r="988">
      <c r="A988" s="61" t="n">
        <v>38</v>
      </c>
      <c r="B988" s="62" t="inlineStr">
        <is>
          <t xml:space="preserve">  // If three components ask at once, create ONE session, not three.</t>
        </is>
      </c>
    </row>
    <row r="989">
      <c r="A989" s="61" t="n">
        <v>39</v>
      </c>
      <c r="B989" s="62" t="inlineStr">
        <is>
          <t xml:space="preserve">  pendingSession ??= (async () =&gt; {</t>
        </is>
      </c>
    </row>
    <row r="990">
      <c r="A990" s="61" t="n">
        <v>40</v>
      </c>
      <c r="B990" s="62" t="inlineStr">
        <is>
          <t xml:space="preserve">    const res = await fetch(`${BASE}/v1/sessions`, { method: "POST" });</t>
        </is>
      </c>
    </row>
    <row r="991">
      <c r="A991" s="61" t="n">
        <v>41</v>
      </c>
      <c r="B991" s="62" t="inlineStr">
        <is>
          <t xml:space="preserve">    if (!res.ok) throw new ApiError(res.status, "SESSION_FAILED", "Could not start a guest session.");</t>
        </is>
      </c>
    </row>
    <row r="992">
      <c r="A992" s="61" t="n">
        <v>42</v>
      </c>
      <c r="B992" s="62" t="inlineStr">
        <is>
          <t xml:space="preserve">    const body = (await res.json()) as { token: string };</t>
        </is>
      </c>
    </row>
    <row r="993">
      <c r="A993" s="61" t="n">
        <v>43</v>
      </c>
      <c r="B993" s="62" t="inlineStr">
        <is>
          <t xml:space="preserve">    writeToken(body.token);</t>
        </is>
      </c>
    </row>
    <row r="994">
      <c r="A994" s="61" t="n">
        <v>44</v>
      </c>
      <c r="B994" s="62" t="inlineStr">
        <is>
          <t xml:space="preserve">    return body.token;</t>
        </is>
      </c>
    </row>
    <row r="995">
      <c r="A995" s="61" t="n">
        <v>45</v>
      </c>
      <c r="B995" s="62" t="inlineStr">
        <is>
          <t xml:space="preserve">  })().finally(() =&gt; {</t>
        </is>
      </c>
    </row>
    <row r="996">
      <c r="A996" s="61" t="n">
        <v>46</v>
      </c>
      <c r="B996" s="62" t="inlineStr">
        <is>
          <t xml:space="preserve">    pendingSession = null;</t>
        </is>
      </c>
    </row>
    <row r="997">
      <c r="A997" s="61" t="n">
        <v>47</v>
      </c>
      <c r="B997" s="62" t="inlineStr">
        <is>
          <t xml:space="preserve">  });</t>
        </is>
      </c>
    </row>
    <row r="998">
      <c r="A998" s="61" t="n">
        <v>48</v>
      </c>
      <c r="B998" s="62" t="inlineStr">
        <is>
          <t xml:space="preserve">  return pendingSession;</t>
        </is>
      </c>
    </row>
    <row r="999">
      <c r="A999" s="61" t="n">
        <v>49</v>
      </c>
      <c r="B999" s="62" t="inlineStr">
        <is>
          <t>}</t>
        </is>
      </c>
    </row>
    <row r="1000">
      <c r="A1000" s="61" t="n">
        <v>50</v>
      </c>
      <c r="B1000" s="62" t="n"/>
    </row>
    <row r="1001">
      <c r="A1001" s="61" t="n">
        <v>51</v>
      </c>
      <c r="B1001" s="62" t="inlineStr">
        <is>
          <t>export async function api&lt;T&gt;(path: string, init: RequestInit = {}, retryAuth = true): Promise&lt;T&gt; {</t>
        </is>
      </c>
    </row>
    <row r="1002">
      <c r="A1002" s="61" t="n">
        <v>52</v>
      </c>
      <c r="B1002" s="62" t="inlineStr">
        <is>
          <t xml:space="preserve">  const token = await ensureToken();</t>
        </is>
      </c>
    </row>
    <row r="1003">
      <c r="A1003" s="61" t="n">
        <v>53</v>
      </c>
      <c r="B1003" s="62" t="inlineStr">
        <is>
          <t xml:space="preserve">  const headers = new Headers(init.headers);</t>
        </is>
      </c>
    </row>
    <row r="1004">
      <c r="A1004" s="61" t="n">
        <v>54</v>
      </c>
      <c r="B1004" s="62" t="inlineStr">
        <is>
          <t xml:space="preserve">  headers.set("Authorization", `Bearer ${token}`);</t>
        </is>
      </c>
    </row>
    <row r="1005">
      <c r="A1005" s="61" t="n">
        <v>55</v>
      </c>
      <c r="B1005" s="62" t="inlineStr">
        <is>
          <t xml:space="preserve">  if (init.body &amp;&amp; !(init.body instanceof FormData)) headers.set("Content-Type", "application/json");</t>
        </is>
      </c>
    </row>
    <row r="1006">
      <c r="A1006" s="61" t="n">
        <v>56</v>
      </c>
      <c r="B1006" s="62" t="n"/>
    </row>
    <row r="1007">
      <c r="A1007" s="61" t="n">
        <v>57</v>
      </c>
      <c r="B1007" s="62" t="inlineStr">
        <is>
          <t xml:space="preserve">  let res: Response;</t>
        </is>
      </c>
    </row>
    <row r="1008">
      <c r="A1008" s="61" t="n">
        <v>58</v>
      </c>
      <c r="B1008" s="62" t="inlineStr">
        <is>
          <t xml:space="preserve">  try {</t>
        </is>
      </c>
    </row>
    <row r="1009">
      <c r="A1009" s="61" t="n">
        <v>59</v>
      </c>
      <c r="B1009" s="62" t="inlineStr">
        <is>
          <t xml:space="preserve">    res = await fetch(`${BASE}${path}`, { ...init, headers });</t>
        </is>
      </c>
    </row>
    <row r="1010">
      <c r="A1010" s="61" t="n">
        <v>60</v>
      </c>
      <c r="B1010" s="62" t="inlineStr">
        <is>
          <t xml:space="preserve">  } catch {</t>
        </is>
      </c>
    </row>
    <row r="1011">
      <c r="A1011" s="61" t="n">
        <v>61</v>
      </c>
      <c r="B1011" s="62" t="inlineStr">
        <is>
          <t xml:space="preserve">    throw new ApiError(0, "NETWORK", "Cannot reach the server. Check your connection.");</t>
        </is>
      </c>
    </row>
    <row r="1012">
      <c r="A1012" s="61" t="n">
        <v>62</v>
      </c>
      <c r="B1012" s="62" t="inlineStr">
        <is>
          <t xml:space="preserve">  }</t>
        </is>
      </c>
    </row>
    <row r="1013">
      <c r="A1013" s="61" t="n">
        <v>63</v>
      </c>
      <c r="B1013" s="62" t="inlineStr">
        <is>
          <t xml:space="preserve">  if (res.status === 401 &amp;&amp; retryAuth) {</t>
        </is>
      </c>
    </row>
    <row r="1014">
      <c r="A1014" s="61" t="n">
        <v>64</v>
      </c>
      <c r="B1014" s="62" t="inlineStr">
        <is>
          <t xml:space="preserve">    writeToken(null); // expired guest: start a fresh one once</t>
        </is>
      </c>
    </row>
    <row r="1015">
      <c r="A1015" s="61" t="n">
        <v>65</v>
      </c>
      <c r="B1015" s="62" t="inlineStr">
        <is>
          <t xml:space="preserve">    return api&lt;T&gt;(path, init, false);</t>
        </is>
      </c>
    </row>
    <row r="1016">
      <c r="A1016" s="61" t="n">
        <v>66</v>
      </c>
      <c r="B1016" s="62" t="inlineStr">
        <is>
          <t xml:space="preserve">  }</t>
        </is>
      </c>
    </row>
    <row r="1017">
      <c r="A1017" s="61" t="n">
        <v>67</v>
      </c>
      <c r="B1017" s="62" t="inlineStr">
        <is>
          <t xml:space="preserve">  if (!res.ok) {</t>
        </is>
      </c>
    </row>
    <row r="1018">
      <c r="A1018" s="61" t="n">
        <v>68</v>
      </c>
      <c r="B1018" s="62" t="inlineStr">
        <is>
          <t xml:space="preserve">    const body = await res.json().catch(() =&gt; null);</t>
        </is>
      </c>
    </row>
    <row r="1019">
      <c r="A1019" s="61" t="n">
        <v>69</v>
      </c>
      <c r="B1019" s="62" t="inlineStr">
        <is>
          <t xml:space="preserve">    throw new ApiError(res.status, body?.error?.code ?? `HTTP_${res.status}`, body?.error?.message ?? res.statusText);</t>
        </is>
      </c>
    </row>
    <row r="1020">
      <c r="A1020" s="61" t="n">
        <v>70</v>
      </c>
      <c r="B1020" s="62" t="inlineStr">
        <is>
          <t xml:space="preserve">  }</t>
        </is>
      </c>
    </row>
    <row r="1021">
      <c r="A1021" s="61" t="n">
        <v>71</v>
      </c>
      <c r="B1021" s="62" t="inlineStr">
        <is>
          <t xml:space="preserve">  if (res.status === 204) return undefined as T;</t>
        </is>
      </c>
    </row>
    <row r="1022">
      <c r="A1022" s="61" t="n">
        <v>72</v>
      </c>
      <c r="B1022" s="62" t="inlineStr">
        <is>
          <t xml:space="preserve">  return (await res.json()) as T;</t>
        </is>
      </c>
    </row>
    <row r="1023">
      <c r="A1023" s="61" t="n">
        <v>73</v>
      </c>
      <c r="B1023" s="62" t="inlineStr">
        <is>
          <t>}</t>
        </is>
      </c>
    </row>
    <row r="1024">
      <c r="A1024" s="61" t="n">
        <v>74</v>
      </c>
      <c r="B1024" s="62" t="n"/>
    </row>
    <row r="1025">
      <c r="A1025" s="61" t="n">
        <v>75</v>
      </c>
      <c r="B1025" s="62" t="inlineStr">
        <is>
          <t>export const post = &lt;T&gt;(path: string, body?: unknown) =&gt;</t>
        </is>
      </c>
    </row>
    <row r="1026">
      <c r="A1026" s="61" t="n">
        <v>76</v>
      </c>
      <c r="B1026" s="62" t="inlineStr">
        <is>
          <t xml:space="preserve">  api&lt;T&gt;(path, { method: "POST", body: body === undefined ? undefined : JSON.stringify(body) });</t>
        </is>
      </c>
    </row>
    <row r="1027">
      <c r="A1027" s="61" t="n">
        <v>77</v>
      </c>
      <c r="B1027" s="62" t="n"/>
    </row>
    <row r="1028">
      <c r="A1028" s="61" t="n">
        <v>78</v>
      </c>
      <c r="B1028" s="62" t="inlineStr">
        <is>
          <t>export function forgetGuest() {</t>
        </is>
      </c>
    </row>
    <row r="1029">
      <c r="A1029" s="61" t="n">
        <v>79</v>
      </c>
      <c r="B1029" s="62" t="inlineStr">
        <is>
          <t xml:space="preserve">  writeToken(null);</t>
        </is>
      </c>
    </row>
    <row r="1030">
      <c r="A1030" s="61" t="n">
        <v>80</v>
      </c>
      <c r="B1030" s="62" t="inlineStr">
        <is>
          <t>}</t>
        </is>
      </c>
    </row>
    <row r="1033">
      <c r="A1033" s="60" t="inlineStr">
        <is>
          <t>C21</t>
        </is>
      </c>
      <c r="B1033" s="60" t="inlineStr">
        <is>
          <t>apps/web/src/api/types.ts   ·   Phase P4   ·   TypeScript mirrors of the API response models.</t>
        </is>
      </c>
    </row>
    <row r="1034">
      <c r="B1034" s="55" t="inlineStr">
        <is>
          <t>↑ back to Code Index</t>
        </is>
      </c>
    </row>
    <row r="1035">
      <c r="A1035" s="61" t="n">
        <v>1</v>
      </c>
      <c r="B1035" s="62" t="inlineStr">
        <is>
          <t>// Mirrors the Pydantic response models. (Optional upgrade: generate these from /openapi.json</t>
        </is>
      </c>
    </row>
    <row r="1036">
      <c r="A1036" s="61" t="n">
        <v>2</v>
      </c>
      <c r="B1036" s="62" t="inlineStr">
        <is>
          <t>// with `npx openapi-typescript http://localhost:8010/openapi.json -o src/api/schema.d.ts`.)</t>
        </is>
      </c>
    </row>
    <row r="1037">
      <c r="A1037" s="61" t="n">
        <v>3</v>
      </c>
      <c r="B1037" s="62" t="n"/>
    </row>
    <row r="1038">
      <c r="A1038" s="61" t="n">
        <v>4</v>
      </c>
      <c r="B1038" s="62" t="inlineStr">
        <is>
          <t>export type GameCreated = { game_id: string; analysis_job_id: number };</t>
        </is>
      </c>
    </row>
    <row r="1039">
      <c r="A1039" s="61" t="n">
        <v>5</v>
      </c>
      <c r="B1039" s="62" t="n"/>
    </row>
    <row r="1040">
      <c r="A1040" s="61" t="n">
        <v>6</v>
      </c>
      <c r="B1040" s="62" t="inlineStr">
        <is>
          <t>export type GameSummary = {</t>
        </is>
      </c>
    </row>
    <row r="1041">
      <c r="A1041" s="61" t="n">
        <v>7</v>
      </c>
      <c r="B1041" s="62" t="inlineStr">
        <is>
          <t xml:space="preserve">  id: string;</t>
        </is>
      </c>
    </row>
    <row r="1042">
      <c r="A1042" s="61" t="n">
        <v>8</v>
      </c>
      <c r="B1042" s="62" t="inlineStr">
        <is>
          <t xml:space="preserve">  source: string;</t>
        </is>
      </c>
    </row>
    <row r="1043">
      <c r="A1043" s="61" t="n">
        <v>9</v>
      </c>
      <c r="B1043" s="62" t="inlineStr">
        <is>
          <t xml:space="preserve">  player_color: "white" | "black";</t>
        </is>
      </c>
    </row>
    <row r="1044">
      <c r="A1044" s="61" t="n">
        <v>10</v>
      </c>
      <c r="B1044" s="62" t="inlineStr">
        <is>
          <t xml:space="preserve">  white_name: string;</t>
        </is>
      </c>
    </row>
    <row r="1045">
      <c r="A1045" s="61" t="n">
        <v>11</v>
      </c>
      <c r="B1045" s="62" t="inlineStr">
        <is>
          <t xml:space="preserve">  black_name: string;</t>
        </is>
      </c>
    </row>
    <row r="1046">
      <c r="A1046" s="61" t="n">
        <v>12</v>
      </c>
      <c r="B1046" s="62" t="inlineStr">
        <is>
          <t xml:space="preserve">  result: string;</t>
        </is>
      </c>
    </row>
    <row r="1047">
      <c r="A1047" s="61" t="n">
        <v>13</v>
      </c>
      <c r="B1047" s="62" t="inlineStr">
        <is>
          <t xml:space="preserve">  ply_count: number;</t>
        </is>
      </c>
    </row>
    <row r="1048">
      <c r="A1048" s="61" t="n">
        <v>14</v>
      </c>
      <c r="B1048" s="62" t="inlineStr">
        <is>
          <t xml:space="preserve">  played_at: string | null;</t>
        </is>
      </c>
    </row>
    <row r="1049">
      <c r="A1049" s="61" t="n">
        <v>15</v>
      </c>
      <c r="B1049" s="62" t="inlineStr">
        <is>
          <t xml:space="preserve">  created_at: string;</t>
        </is>
      </c>
    </row>
    <row r="1050">
      <c r="A1050" s="61" t="n">
        <v>16</v>
      </c>
      <c r="B1050" s="62" t="inlineStr">
        <is>
          <t xml:space="preserve">  analysis_state: string | null;</t>
        </is>
      </c>
    </row>
    <row r="1051">
      <c r="A1051" s="61" t="n">
        <v>17</v>
      </c>
      <c r="B1051" s="62" t="inlineStr">
        <is>
          <t>};</t>
        </is>
      </c>
    </row>
    <row r="1052">
      <c r="A1052" s="61" t="n">
        <v>18</v>
      </c>
      <c r="B1052" s="62" t="n"/>
    </row>
    <row r="1053">
      <c r="A1053" s="61" t="n">
        <v>19</v>
      </c>
      <c r="B1053" s="62" t="inlineStr">
        <is>
          <t>export type Evidence = {</t>
        </is>
      </c>
    </row>
    <row r="1054">
      <c r="A1054" s="61" t="n">
        <v>20</v>
      </c>
      <c r="B1054" s="62" t="inlineStr">
        <is>
          <t xml:space="preserve">  id: string;</t>
        </is>
      </c>
    </row>
    <row r="1055">
      <c r="A1055" s="61" t="n">
        <v>21</v>
      </c>
      <c r="B1055" s="62" t="inlineStr">
        <is>
          <t xml:space="preserve">  ply: number;</t>
        </is>
      </c>
    </row>
    <row r="1056">
      <c r="A1056" s="61" t="n">
        <v>22</v>
      </c>
      <c r="B1056" s="62" t="inlineStr">
        <is>
          <t xml:space="preserve">  concept: string;</t>
        </is>
      </c>
    </row>
    <row r="1057">
      <c r="A1057" s="61" t="n">
        <v>23</v>
      </c>
      <c r="B1057" s="62" t="inlineStr">
        <is>
          <t xml:space="preserve">  fen_before: string;</t>
        </is>
      </c>
    </row>
    <row r="1058">
      <c r="A1058" s="61" t="n">
        <v>24</v>
      </c>
      <c r="B1058" s="62" t="inlineStr">
        <is>
          <t xml:space="preserve">  actual_san: string;</t>
        </is>
      </c>
    </row>
    <row r="1059">
      <c r="A1059" s="61" t="n">
        <v>25</v>
      </c>
      <c r="B1059" s="62" t="inlineStr">
        <is>
          <t xml:space="preserve">  actual_uci: string;</t>
        </is>
      </c>
    </row>
    <row r="1060">
      <c r="A1060" s="61" t="n">
        <v>26</v>
      </c>
      <c r="B1060" s="62" t="inlineStr">
        <is>
          <t xml:space="preserve">  candidate_san: string;</t>
        </is>
      </c>
    </row>
    <row r="1061">
      <c r="A1061" s="61" t="n">
        <v>27</v>
      </c>
      <c r="B1061" s="62" t="inlineStr">
        <is>
          <t xml:space="preserve">  candidate_uci: string;</t>
        </is>
      </c>
    </row>
    <row r="1062">
      <c r="A1062" s="61" t="n">
        <v>28</v>
      </c>
      <c r="B1062" s="62" t="inlineStr">
        <is>
          <t xml:space="preserve">  targets: { square: string; piece: string }[];</t>
        </is>
      </c>
    </row>
    <row r="1063">
      <c r="A1063" s="61" t="n">
        <v>29</v>
      </c>
      <c r="B1063" s="62" t="inlineStr">
        <is>
          <t xml:space="preserve">  line_uci: string[];</t>
        </is>
      </c>
    </row>
    <row r="1064">
      <c r="A1064" s="61" t="n">
        <v>30</v>
      </c>
      <c r="B1064" s="62" t="inlineStr">
        <is>
          <t xml:space="preserve">  line_san: string[];</t>
        </is>
      </c>
    </row>
    <row r="1065">
      <c r="A1065" s="61" t="n">
        <v>31</v>
      </c>
      <c r="B1065" s="62" t="inlineStr">
        <is>
          <t xml:space="preserve">  cp_actual: number;</t>
        </is>
      </c>
    </row>
    <row r="1066">
      <c r="A1066" s="61" t="n">
        <v>32</v>
      </c>
      <c r="B1066" s="62" t="inlineStr">
        <is>
          <t xml:space="preserve">  cp_candidate: number;</t>
        </is>
      </c>
    </row>
    <row r="1067">
      <c r="A1067" s="61" t="n">
        <v>33</v>
      </c>
      <c r="B1067" s="62" t="inlineStr">
        <is>
          <t xml:space="preserve">  mate_candidate: number | null;</t>
        </is>
      </c>
    </row>
    <row r="1068">
      <c r="A1068" s="61" t="n">
        <v>34</v>
      </c>
      <c r="B1068" s="62" t="inlineStr">
        <is>
          <t xml:space="preserve">  material_gain: number;</t>
        </is>
      </c>
    </row>
    <row r="1069">
      <c r="A1069" s="61" t="n">
        <v>35</v>
      </c>
      <c r="B1069" s="62" t="inlineStr">
        <is>
          <t xml:space="preserve">  explanation: string;</t>
        </is>
      </c>
    </row>
    <row r="1070">
      <c r="A1070" s="61" t="n">
        <v>36</v>
      </c>
      <c r="B1070" s="62" t="inlineStr">
        <is>
          <t>};</t>
        </is>
      </c>
    </row>
    <row r="1071">
      <c r="A1071" s="61" t="n">
        <v>37</v>
      </c>
      <c r="B1071" s="62" t="n"/>
    </row>
    <row r="1072">
      <c r="A1072" s="61" t="n">
        <v>38</v>
      </c>
      <c r="B1072" s="62" t="inlineStr">
        <is>
          <t>export type Review = {</t>
        </is>
      </c>
    </row>
    <row r="1073">
      <c r="A1073" s="61" t="n">
        <v>39</v>
      </c>
      <c r="B1073" s="62" t="inlineStr">
        <is>
          <t xml:space="preserve">  game_id: string;</t>
        </is>
      </c>
    </row>
    <row r="1074">
      <c r="A1074" s="61" t="n">
        <v>40</v>
      </c>
      <c r="B1074" s="62" t="inlineStr">
        <is>
          <t xml:space="preserve">  pgn: string;</t>
        </is>
      </c>
    </row>
    <row r="1075">
      <c r="A1075" s="61" t="n">
        <v>41</v>
      </c>
      <c r="B1075" s="62" t="inlineStr">
        <is>
          <t xml:space="preserve">  initial_fen: string;</t>
        </is>
      </c>
    </row>
    <row r="1076">
      <c r="A1076" s="61" t="n">
        <v>42</v>
      </c>
      <c r="B1076" s="62" t="inlineStr">
        <is>
          <t xml:space="preserve">  player_color: "white" | "black";</t>
        </is>
      </c>
    </row>
    <row r="1077">
      <c r="A1077" s="61" t="n">
        <v>43</v>
      </c>
      <c r="B1077" s="62" t="inlineStr">
        <is>
          <t xml:space="preserve">  analysis_state: "not_started" | "running" | "succeeded" | "partial" | "failed";</t>
        </is>
      </c>
    </row>
    <row r="1078">
      <c r="A1078" s="61" t="n">
        <v>44</v>
      </c>
      <c r="B1078" s="62" t="inlineStr">
        <is>
          <t xml:space="preserve">  pipeline_version: string;</t>
        </is>
      </c>
    </row>
    <row r="1079">
      <c r="A1079" s="61" t="n">
        <v>45</v>
      </c>
      <c r="B1079" s="62" t="inlineStr">
        <is>
          <t xml:space="preserve">  engine: string | null;</t>
        </is>
      </c>
    </row>
    <row r="1080">
      <c r="A1080" s="61" t="n">
        <v>46</v>
      </c>
      <c r="B1080" s="62" t="inlineStr">
        <is>
          <t xml:space="preserve">  limits: Record&lt;string, unknown&gt;;</t>
        </is>
      </c>
    </row>
    <row r="1081">
      <c r="A1081" s="61" t="n">
        <v>47</v>
      </c>
      <c r="B1081" s="62" t="inlineStr">
        <is>
          <t xml:space="preserve">  positions_total: number;</t>
        </is>
      </c>
    </row>
    <row r="1082">
      <c r="A1082" s="61" t="n">
        <v>48</v>
      </c>
      <c r="B1082" s="62" t="inlineStr">
        <is>
          <t xml:space="preserve">  positions_analyzed: number;</t>
        </is>
      </c>
    </row>
    <row r="1083">
      <c r="A1083" s="61" t="n">
        <v>49</v>
      </c>
      <c r="B1083" s="62" t="inlineStr">
        <is>
          <t xml:space="preserve">  findings: Evidence[];</t>
        </is>
      </c>
    </row>
    <row r="1084">
      <c r="A1084" s="61" t="n">
        <v>50</v>
      </c>
      <c r="B1084" s="62" t="inlineStr">
        <is>
          <t xml:space="preserve">  is_demo: boolean;</t>
        </is>
      </c>
    </row>
    <row r="1085">
      <c r="A1085" s="61" t="n">
        <v>51</v>
      </c>
      <c r="B1085" s="62" t="inlineStr">
        <is>
          <t>};</t>
        </is>
      </c>
    </row>
    <row r="1086">
      <c r="A1086" s="61" t="n">
        <v>52</v>
      </c>
      <c r="B1086" s="62" t="n"/>
    </row>
    <row r="1087">
      <c r="A1087" s="61" t="n">
        <v>53</v>
      </c>
      <c r="B1087" s="62" t="inlineStr">
        <is>
          <t>export type Job = {</t>
        </is>
      </c>
    </row>
    <row r="1088">
      <c r="A1088" s="61" t="n">
        <v>54</v>
      </c>
      <c r="B1088" s="62" t="inlineStr">
        <is>
          <t xml:space="preserve">  id: number;</t>
        </is>
      </c>
    </row>
    <row r="1089">
      <c r="A1089" s="61" t="n">
        <v>55</v>
      </c>
      <c r="B1089" s="62" t="inlineStr">
        <is>
          <t xml:space="preserve">  kind: string;</t>
        </is>
      </c>
    </row>
    <row r="1090">
      <c r="A1090" s="61" t="n">
        <v>56</v>
      </c>
      <c r="B1090" s="62" t="inlineStr">
        <is>
          <t xml:space="preserve">  status: "queued" | "running" | "retry_wait" | "succeeded" | "failed" | "cancelled";</t>
        </is>
      </c>
    </row>
    <row r="1091">
      <c r="A1091" s="61" t="n">
        <v>57</v>
      </c>
      <c r="B1091" s="62" t="inlineStr">
        <is>
          <t xml:space="preserve">  attempts: number;</t>
        </is>
      </c>
    </row>
    <row r="1092">
      <c r="A1092" s="61" t="n">
        <v>58</v>
      </c>
      <c r="B1092" s="62" t="inlineStr">
        <is>
          <t xml:space="preserve">  progress: Record&lt;string, number&gt;;</t>
        </is>
      </c>
    </row>
    <row r="1093">
      <c r="A1093" s="61" t="n">
        <v>59</v>
      </c>
      <c r="B1093" s="62" t="inlineStr">
        <is>
          <t xml:space="preserve">  error_code: string | null;</t>
        </is>
      </c>
    </row>
    <row r="1094">
      <c r="A1094" s="61" t="n">
        <v>60</v>
      </c>
      <c r="B1094" s="62" t="inlineStr">
        <is>
          <t>};</t>
        </is>
      </c>
    </row>
    <row r="1095">
      <c r="A1095" s="61" t="n">
        <v>61</v>
      </c>
      <c r="B1095" s="62" t="n"/>
    </row>
    <row r="1096">
      <c r="A1096" s="61" t="n">
        <v>62</v>
      </c>
      <c r="B1096" s="62" t="inlineStr">
        <is>
          <t>export type ImportRun = {</t>
        </is>
      </c>
    </row>
    <row r="1097">
      <c r="A1097" s="61" t="n">
        <v>63</v>
      </c>
      <c r="B1097" s="62" t="inlineStr">
        <is>
          <t xml:space="preserve">  id: string;</t>
        </is>
      </c>
    </row>
    <row r="1098">
      <c r="A1098" s="61" t="n">
        <v>64</v>
      </c>
      <c r="B1098" s="62" t="inlineStr">
        <is>
          <t xml:space="preserve">  provider: string;</t>
        </is>
      </c>
    </row>
    <row r="1099">
      <c r="A1099" s="61" t="n">
        <v>65</v>
      </c>
      <c r="B1099" s="62" t="inlineStr">
        <is>
          <t xml:space="preserve">  username: string | null;</t>
        </is>
      </c>
    </row>
    <row r="1100">
      <c r="A1100" s="61" t="n">
        <v>66</v>
      </c>
      <c r="B1100" s="62" t="inlineStr">
        <is>
          <t xml:space="preserve">  state: "queued" | "running" | "succeeded" | "failed" | "cancelled";</t>
        </is>
      </c>
    </row>
    <row r="1101">
      <c r="A1101" s="61" t="n">
        <v>67</v>
      </c>
      <c r="B1101" s="62" t="inlineStr">
        <is>
          <t xml:space="preserve">  target_limit: number;</t>
        </is>
      </c>
    </row>
    <row r="1102">
      <c r="A1102" s="61" t="n">
        <v>68</v>
      </c>
      <c r="B1102" s="62" t="inlineStr">
        <is>
          <t xml:space="preserve">  fetched: number;</t>
        </is>
      </c>
    </row>
    <row r="1103">
      <c r="A1103" s="61" t="n">
        <v>69</v>
      </c>
      <c r="B1103" s="62" t="inlineStr">
        <is>
          <t xml:space="preserve">  eligible: number;</t>
        </is>
      </c>
    </row>
    <row r="1104">
      <c r="A1104" s="61" t="n">
        <v>70</v>
      </c>
      <c r="B1104" s="62" t="inlineStr">
        <is>
          <t xml:space="preserve">  excluded: number;</t>
        </is>
      </c>
    </row>
    <row r="1105">
      <c r="A1105" s="61" t="n">
        <v>71</v>
      </c>
      <c r="B1105" s="62" t="inlineStr">
        <is>
          <t xml:space="preserve">  analyzed: number;</t>
        </is>
      </c>
    </row>
    <row r="1106">
      <c r="A1106" s="61" t="n">
        <v>72</v>
      </c>
      <c r="B1106" s="62" t="inlineStr">
        <is>
          <t xml:space="preserve">  error_code: string | null;</t>
        </is>
      </c>
    </row>
    <row r="1107">
      <c r="A1107" s="61" t="n">
        <v>73</v>
      </c>
      <c r="B1107" s="62" t="inlineStr">
        <is>
          <t xml:space="preserve">  job_id: number | null;</t>
        </is>
      </c>
    </row>
    <row r="1108">
      <c r="A1108" s="61" t="n">
        <v>74</v>
      </c>
      <c r="B1108" s="62" t="inlineStr">
        <is>
          <t>};</t>
        </is>
      </c>
    </row>
    <row r="1109">
      <c r="A1109" s="61" t="n">
        <v>75</v>
      </c>
      <c r="B1109" s="62" t="n"/>
    </row>
    <row r="1110">
      <c r="A1110" s="61" t="n">
        <v>76</v>
      </c>
      <c r="B1110" s="62" t="inlineStr">
        <is>
          <t>export type PracticeSession = {</t>
        </is>
      </c>
    </row>
    <row r="1111">
      <c r="A1111" s="61" t="n">
        <v>77</v>
      </c>
      <c r="B1111" s="62" t="inlineStr">
        <is>
          <t xml:space="preserve">  session_id: string;</t>
        </is>
      </c>
    </row>
    <row r="1112">
      <c r="A1112" s="61" t="n">
        <v>78</v>
      </c>
      <c r="B1112" s="62" t="inlineStr">
        <is>
          <t xml:space="preserve">  fen: string;</t>
        </is>
      </c>
    </row>
    <row r="1113">
      <c r="A1113" s="61" t="n">
        <v>79</v>
      </c>
      <c r="B1113" s="62" t="inlineStr">
        <is>
          <t xml:space="preserve">  solver_color: "white" | "black";</t>
        </is>
      </c>
    </row>
    <row r="1114">
      <c r="A1114" s="61" t="n">
        <v>80</v>
      </c>
      <c r="B1114" s="62" t="inlineStr">
        <is>
          <t xml:space="preserve">  concept: string | null;</t>
        </is>
      </c>
    </row>
    <row r="1115">
      <c r="A1115" s="61" t="n">
        <v>81</v>
      </c>
      <c r="B1115" s="62" t="inlineStr">
        <is>
          <t xml:space="preserve">  mode: "practice" | "assessment";</t>
        </is>
      </c>
    </row>
    <row r="1116">
      <c r="A1116" s="61" t="n">
        <v>82</v>
      </c>
      <c r="B1116" s="62" t="inlineStr">
        <is>
          <t xml:space="preserve">  state: "active" | "solved" | "failed";</t>
        </is>
      </c>
    </row>
    <row r="1117">
      <c r="A1117" s="61" t="n">
        <v>83</v>
      </c>
      <c r="B1117" s="62" t="inlineStr">
        <is>
          <t xml:space="preserve">  puzzle_rating: number;</t>
        </is>
      </c>
    </row>
    <row r="1118">
      <c r="A1118" s="61" t="n">
        <v>84</v>
      </c>
      <c r="B1118" s="62" t="inlineStr">
        <is>
          <t xml:space="preserve">  predicted_p: number;</t>
        </is>
      </c>
    </row>
    <row r="1119">
      <c r="A1119" s="61" t="n">
        <v>85</v>
      </c>
      <c r="B1119" s="62" t="inlineStr">
        <is>
          <t xml:space="preserve">  last_move_uci: string;</t>
        </is>
      </c>
    </row>
    <row r="1120">
      <c r="A1120" s="61" t="n">
        <v>86</v>
      </c>
      <c r="B1120" s="62" t="inlineStr">
        <is>
          <t>};</t>
        </is>
      </c>
    </row>
    <row r="1121">
      <c r="A1121" s="61" t="n">
        <v>87</v>
      </c>
      <c r="B1121" s="62" t="n"/>
    </row>
    <row r="1122">
      <c r="A1122" s="61" t="n">
        <v>88</v>
      </c>
      <c r="B1122" s="62" t="inlineStr">
        <is>
          <t>export type MoveResult = {</t>
        </is>
      </c>
    </row>
    <row r="1123">
      <c r="A1123" s="61" t="n">
        <v>89</v>
      </c>
      <c r="B1123" s="62" t="inlineStr">
        <is>
          <t xml:space="preserve">  outcome: "correct" | "incorrect" | "solved";</t>
        </is>
      </c>
    </row>
    <row r="1124">
      <c r="A1124" s="61" t="n">
        <v>90</v>
      </c>
      <c r="B1124" s="62" t="inlineStr">
        <is>
          <t xml:space="preserve">  fen: string;</t>
        </is>
      </c>
    </row>
    <row r="1125">
      <c r="A1125" s="61" t="n">
        <v>91</v>
      </c>
      <c r="B1125" s="62" t="inlineStr">
        <is>
          <t xml:space="preserve">  opponent_reply_uci: string | null;</t>
        </is>
      </c>
    </row>
    <row r="1126">
      <c r="A1126" s="61" t="n">
        <v>92</v>
      </c>
      <c r="B1126" s="62" t="inlineStr">
        <is>
          <t xml:space="preserve">  state: string;</t>
        </is>
      </c>
    </row>
    <row r="1127">
      <c r="A1127" s="61" t="n">
        <v>93</v>
      </c>
      <c r="B1127" s="62" t="inlineStr">
        <is>
          <t xml:space="preserve">  first_try_success: boolean | null;</t>
        </is>
      </c>
    </row>
    <row r="1128">
      <c r="A1128" s="61" t="n">
        <v>94</v>
      </c>
      <c r="B1128" s="62" t="inlineStr">
        <is>
          <t xml:space="preserve">  rating_after: number | null;</t>
        </is>
      </c>
    </row>
    <row r="1129">
      <c r="A1129" s="61" t="n">
        <v>95</v>
      </c>
      <c r="B1129" s="62" t="inlineStr">
        <is>
          <t>};</t>
        </is>
      </c>
    </row>
    <row r="1130">
      <c r="A1130" s="61" t="n">
        <v>96</v>
      </c>
      <c r="B1130" s="62" t="n"/>
    </row>
    <row r="1131">
      <c r="A1131" s="61" t="n">
        <v>97</v>
      </c>
      <c r="B1131" s="62" t="inlineStr">
        <is>
          <t>export type PracticeStats = {</t>
        </is>
      </c>
    </row>
    <row r="1132">
      <c r="A1132" s="61" t="n">
        <v>98</v>
      </c>
      <c r="B1132" s="62" t="inlineStr">
        <is>
          <t xml:space="preserve">  attempts: number;</t>
        </is>
      </c>
    </row>
    <row r="1133">
      <c r="A1133" s="61" t="n">
        <v>99</v>
      </c>
      <c r="B1133" s="62" t="inlineStr">
        <is>
          <t xml:space="preserve">  first_try_unassisted: number;</t>
        </is>
      </c>
    </row>
    <row r="1134">
      <c r="A1134" s="61" t="n">
        <v>100</v>
      </c>
      <c r="B1134" s="62" t="inlineStr">
        <is>
          <t xml:space="preserve">  rate: number | null;</t>
        </is>
      </c>
    </row>
    <row r="1135">
      <c r="A1135" s="61" t="n">
        <v>101</v>
      </c>
      <c r="B1135" s="62" t="inlineStr">
        <is>
          <t xml:space="preserve">  small_sample: boolean;</t>
        </is>
      </c>
    </row>
    <row r="1136">
      <c r="A1136" s="61" t="n">
        <v>102</v>
      </c>
      <c r="B1136" s="62" t="inlineStr">
        <is>
          <t xml:space="preserve">  mean_puzzle_rating: number | null;</t>
        </is>
      </c>
    </row>
    <row r="1137">
      <c r="A1137" s="61" t="n">
        <v>103</v>
      </c>
      <c r="B1137" s="62" t="inlineStr">
        <is>
          <t>};</t>
        </is>
      </c>
    </row>
    <row r="1138">
      <c r="A1138" s="61" t="n">
        <v>104</v>
      </c>
      <c r="B1138" s="62" t="n"/>
    </row>
    <row r="1139">
      <c r="A1139" s="61" t="n">
        <v>105</v>
      </c>
      <c r="B1139" s="62" t="inlineStr">
        <is>
          <t>export type Progress = {</t>
        </is>
      </c>
    </row>
    <row r="1140">
      <c r="A1140" s="61" t="n">
        <v>106</v>
      </c>
      <c r="B1140" s="62" t="inlineStr">
        <is>
          <t xml:space="preserve">  concepts: {</t>
        </is>
      </c>
    </row>
    <row r="1141">
      <c r="A1141" s="61" t="n">
        <v>107</v>
      </c>
      <c r="B1141" s="62" t="inlineStr">
        <is>
          <t xml:space="preserve">    concept: string;</t>
        </is>
      </c>
    </row>
    <row r="1142">
      <c r="A1142" s="61" t="n">
        <v>108</v>
      </c>
      <c r="B1142" s="62" t="inlineStr">
        <is>
          <t xml:space="preserve">    rating: number | null;</t>
        </is>
      </c>
    </row>
    <row r="1143">
      <c r="A1143" s="61" t="n">
        <v>109</v>
      </c>
      <c r="B1143" s="62" t="inlineStr">
        <is>
          <t xml:space="preserve">    rating_attempts: number;</t>
        </is>
      </c>
    </row>
    <row r="1144">
      <c r="A1144" s="61" t="n">
        <v>110</v>
      </c>
      <c r="B1144" s="62" t="inlineStr">
        <is>
          <t xml:space="preserve">    provisional: boolean;</t>
        </is>
      </c>
    </row>
    <row r="1145">
      <c r="A1145" s="61" t="n">
        <v>111</v>
      </c>
      <c r="B1145" s="62" t="inlineStr">
        <is>
          <t xml:space="preserve">    practice: PracticeStats;</t>
        </is>
      </c>
    </row>
    <row r="1146">
      <c r="A1146" s="61" t="n">
        <v>112</v>
      </c>
      <c r="B1146" s="62" t="inlineStr">
        <is>
          <t xml:space="preserve">    assessment: PracticeStats;</t>
        </is>
      </c>
    </row>
    <row r="1147">
      <c r="A1147" s="61" t="n">
        <v>113</v>
      </c>
      <c r="B1147" s="62" t="inlineStr">
        <is>
          <t xml:space="preserve">    games_analyzed: number;</t>
        </is>
      </c>
    </row>
    <row r="1148">
      <c r="A1148" s="61" t="n">
        <v>114</v>
      </c>
      <c r="B1148" s="62" t="inlineStr">
        <is>
          <t xml:space="preserve">    missed_in_games: number;</t>
        </is>
      </c>
    </row>
    <row r="1149">
      <c r="A1149" s="61" t="n">
        <v>115</v>
      </c>
      <c r="B1149" s="62" t="inlineStr">
        <is>
          <t xml:space="preserve">    missed_per_10_games: number | null;</t>
        </is>
      </c>
    </row>
    <row r="1150">
      <c r="A1150" s="61" t="n">
        <v>116</v>
      </c>
      <c r="B1150" s="62" t="inlineStr">
        <is>
          <t xml:space="preserve">  }[];</t>
        </is>
      </c>
    </row>
    <row r="1151">
      <c r="A1151" s="61" t="n">
        <v>117</v>
      </c>
      <c r="B1151" s="62" t="inlineStr">
        <is>
          <t xml:space="preserve">  note: string;</t>
        </is>
      </c>
    </row>
    <row r="1152">
      <c r="A1152" s="61" t="n">
        <v>118</v>
      </c>
      <c r="B1152" s="62" t="inlineStr">
        <is>
          <t>};</t>
        </is>
      </c>
    </row>
    <row r="1155">
      <c r="A1155" s="60" t="inlineStr">
        <is>
          <t>C22</t>
        </is>
      </c>
      <c r="B1155" s="60" t="inlineStr">
        <is>
          <t>apps/web/src/game/chessHelpers.ts   ·   Phase P4   ·   Pure helpers: promotion check, UCI, status, PGN build/replay.</t>
        </is>
      </c>
    </row>
    <row r="1156">
      <c r="B1156" s="55" t="inlineStr">
        <is>
          <t>↑ back to Code Index</t>
        </is>
      </c>
    </row>
    <row r="1157">
      <c r="A1157" s="61" t="n">
        <v>1</v>
      </c>
      <c r="B1157" s="62" t="inlineStr">
        <is>
          <t>// Small pure functions: easy to unit-test with Vitest, no React involved.</t>
        </is>
      </c>
    </row>
    <row r="1158">
      <c r="A1158" s="61" t="n">
        <v>2</v>
      </c>
      <c r="B1158" s="62" t="inlineStr">
        <is>
          <t>import { Chess, type Square } from "chess.js";</t>
        </is>
      </c>
    </row>
    <row r="1159">
      <c r="A1159" s="61" t="n">
        <v>3</v>
      </c>
      <c r="B1159" s="62" t="n"/>
    </row>
    <row r="1160">
      <c r="A1160" s="61" t="n">
        <v>4</v>
      </c>
      <c r="B1160" s="62" t="inlineStr">
        <is>
          <t>export const START_FEN = "rnbqkbnr/pppppppp/8/8/8/8/PPPPPPPP/RNBQKBNR w KQkq - 0 1";</t>
        </is>
      </c>
    </row>
    <row r="1161">
      <c r="A1161" s="61" t="n">
        <v>5</v>
      </c>
      <c r="B1161" s="62" t="n"/>
    </row>
    <row r="1162">
      <c r="A1162" s="61" t="n">
        <v>6</v>
      </c>
      <c r="B1162" s="62" t="inlineStr">
        <is>
          <t>export function isPromotion(chess: Chess, from: Square, to: Square): boolean {</t>
        </is>
      </c>
    </row>
    <row r="1163">
      <c r="A1163" s="61" t="n">
        <v>7</v>
      </c>
      <c r="B1163" s="62" t="inlineStr">
        <is>
          <t xml:space="preserve">  const piece = chess.get(from);</t>
        </is>
      </c>
    </row>
    <row r="1164">
      <c r="A1164" s="61" t="n">
        <v>8</v>
      </c>
      <c r="B1164" s="62" t="inlineStr">
        <is>
          <t xml:space="preserve">  if (!piece || piece.type !== "p") return false;</t>
        </is>
      </c>
    </row>
    <row r="1165">
      <c r="A1165" s="61" t="n">
        <v>9</v>
      </c>
      <c r="B1165" s="62" t="inlineStr">
        <is>
          <t xml:space="preserve">  const lastRank = piece.color === "w" ? "8" : "1";</t>
        </is>
      </c>
    </row>
    <row r="1166">
      <c r="A1166" s="61" t="n">
        <v>10</v>
      </c>
      <c r="B1166" s="62" t="inlineStr">
        <is>
          <t xml:space="preserve">  if (!to.endsWith(lastRank)) return false;</t>
        </is>
      </c>
    </row>
    <row r="1167">
      <c r="A1167" s="61" t="n">
        <v>11</v>
      </c>
      <c r="B1167" s="62" t="inlineStr">
        <is>
          <t xml:space="preserve">  return chess.moves({ square: from, verbose: true }).some((m) =&gt; m.to === to);</t>
        </is>
      </c>
    </row>
    <row r="1168">
      <c r="A1168" s="61" t="n">
        <v>12</v>
      </c>
      <c r="B1168" s="62" t="inlineStr">
        <is>
          <t>}</t>
        </is>
      </c>
    </row>
    <row r="1169">
      <c r="A1169" s="61" t="n">
        <v>13</v>
      </c>
      <c r="B1169" s="62" t="n"/>
    </row>
    <row r="1170">
      <c r="A1170" s="61" t="n">
        <v>14</v>
      </c>
      <c r="B1170" s="62" t="inlineStr">
        <is>
          <t>export function uciOf(move: { from: string; to: string; promotion?: string }): string {</t>
        </is>
      </c>
    </row>
    <row r="1171">
      <c r="A1171" s="61" t="n">
        <v>15</v>
      </c>
      <c r="B1171" s="62" t="inlineStr">
        <is>
          <t xml:space="preserve">  return move.from + move.to + (move.promotion ?? "");</t>
        </is>
      </c>
    </row>
    <row r="1172">
      <c r="A1172" s="61" t="n">
        <v>16</v>
      </c>
      <c r="B1172" s="62" t="inlineStr">
        <is>
          <t>}</t>
        </is>
      </c>
    </row>
    <row r="1173">
      <c r="A1173" s="61" t="n">
        <v>17</v>
      </c>
      <c r="B1173" s="62" t="n"/>
    </row>
    <row r="1174">
      <c r="A1174" s="61" t="n">
        <v>18</v>
      </c>
      <c r="B1174" s="62" t="inlineStr">
        <is>
          <t>export function parseUci(uci: string): { from: Square; to: Square; promotion?: string } {</t>
        </is>
      </c>
    </row>
    <row r="1175">
      <c r="A1175" s="61" t="n">
        <v>19</v>
      </c>
      <c r="B1175" s="62" t="inlineStr">
        <is>
          <t xml:space="preserve">  return { from: uci.slice(0, 2) as Square, to: uci.slice(2, 4) as Square, promotion: uci[4] };</t>
        </is>
      </c>
    </row>
    <row r="1176">
      <c r="A1176" s="61" t="n">
        <v>20</v>
      </c>
      <c r="B1176" s="62" t="inlineStr">
        <is>
          <t>}</t>
        </is>
      </c>
    </row>
    <row r="1177">
      <c r="A1177" s="61" t="n">
        <v>21</v>
      </c>
      <c r="B1177" s="62" t="n"/>
    </row>
    <row r="1178">
      <c r="A1178" s="61" t="n">
        <v>22</v>
      </c>
      <c r="B1178" s="62" t="inlineStr">
        <is>
          <t>export type Status = { over: boolean; text: string; result: "1-0" | "0-1" | "1/2-1/2" | "*" };</t>
        </is>
      </c>
    </row>
    <row r="1179">
      <c r="A1179" s="61" t="n">
        <v>23</v>
      </c>
      <c r="B1179" s="62" t="n"/>
    </row>
    <row r="1180">
      <c r="A1180" s="61" t="n">
        <v>24</v>
      </c>
      <c r="B1180" s="62" t="inlineStr">
        <is>
          <t>export function statusOf(chess: Chess, resignedBy: "w" | "b" | null = null): Status {</t>
        </is>
      </c>
    </row>
    <row r="1181">
      <c r="A1181" s="61" t="n">
        <v>25</v>
      </c>
      <c r="B1181" s="62" t="inlineStr">
        <is>
          <t xml:space="preserve">  if (resignedBy) {</t>
        </is>
      </c>
    </row>
    <row r="1182">
      <c r="A1182" s="61" t="n">
        <v>26</v>
      </c>
      <c r="B1182" s="62" t="inlineStr">
        <is>
          <t xml:space="preserve">    return { over: true, text: `${resignedBy === "w" ? "White" : "Black"} resigned.`, result: resignedBy === "w" ? "0-1" : "1-0" };</t>
        </is>
      </c>
    </row>
    <row r="1183">
      <c r="A1183" s="61" t="n">
        <v>27</v>
      </c>
      <c r="B1183" s="62" t="inlineStr">
        <is>
          <t xml:space="preserve">  }</t>
        </is>
      </c>
    </row>
    <row r="1184">
      <c r="A1184" s="61" t="n">
        <v>28</v>
      </c>
      <c r="B1184" s="62" t="inlineStr">
        <is>
          <t xml:space="preserve">  const side = chess.turn() === "w" ? "White" : "Black";</t>
        </is>
      </c>
    </row>
    <row r="1185">
      <c r="A1185" s="61" t="n">
        <v>29</v>
      </c>
      <c r="B1185" s="62" t="inlineStr">
        <is>
          <t xml:space="preserve">  if (chess.isCheckmate()) return { over: true, text: `Checkmate. ${side} loses.`, result: chess.turn() === "w" ? "0-1" : "1-0" };</t>
        </is>
      </c>
    </row>
    <row r="1186">
      <c r="A1186" s="61" t="n">
        <v>30</v>
      </c>
      <c r="B1186" s="62" t="inlineStr">
        <is>
          <t xml:space="preserve">  if (chess.isStalemate()) return { over: true, text: "Draw by stalemate.", result: "1/2-1/2" };</t>
        </is>
      </c>
    </row>
    <row r="1187">
      <c r="A1187" s="61" t="n">
        <v>31</v>
      </c>
      <c r="B1187" s="62" t="inlineStr">
        <is>
          <t xml:space="preserve">  if (chess.isInsufficientMaterial()) return { over: true, text: "Draw: insufficient material.", result: "1/2-1/2" };</t>
        </is>
      </c>
    </row>
    <row r="1188">
      <c r="A1188" s="61" t="n">
        <v>32</v>
      </c>
      <c r="B1188" s="62" t="inlineStr">
        <is>
          <t xml:space="preserve">  if (chess.isThreefoldRepetition()) return { over: true, text: "Draw by threefold repetition.", result: "1/2-1/2" };</t>
        </is>
      </c>
    </row>
    <row r="1189">
      <c r="A1189" s="61" t="n">
        <v>33</v>
      </c>
      <c r="B1189" s="62" t="inlineStr">
        <is>
          <t xml:space="preserve">  if (chess.isDraw()) return { over: true, text: "Draw by the 50-move rule.", result: "1/2-1/2" };</t>
        </is>
      </c>
    </row>
    <row r="1190">
      <c r="A1190" s="61" t="n">
        <v>34</v>
      </c>
      <c r="B1190" s="62" t="inlineStr">
        <is>
          <t xml:space="preserve">  return { over: false, text: chess.isCheck() ? `${side} is in check.` : `${side} to move.`, result: "*" };</t>
        </is>
      </c>
    </row>
    <row r="1191">
      <c r="A1191" s="61" t="n">
        <v>35</v>
      </c>
      <c r="B1191" s="62" t="inlineStr">
        <is>
          <t>}</t>
        </is>
      </c>
    </row>
    <row r="1192">
      <c r="A1192" s="61" t="n">
        <v>36</v>
      </c>
      <c r="B1192" s="62" t="n"/>
    </row>
    <row r="1193">
      <c r="A1193" s="61" t="n">
        <v>37</v>
      </c>
      <c r="B1193" s="62" t="inlineStr">
        <is>
          <t>/** Builds a standard PGN from SAN moves, so we do not depend on any library's header API. */</t>
        </is>
      </c>
    </row>
    <row r="1194">
      <c r="A1194" s="61" t="n">
        <v>38</v>
      </c>
      <c r="B1194" s="62" t="inlineStr">
        <is>
          <t>export function buildPgn(sanMoves: string[], headers: Record&lt;string, string&gt;): string {</t>
        </is>
      </c>
    </row>
    <row r="1195">
      <c r="A1195" s="61" t="n">
        <v>39</v>
      </c>
      <c r="B1195" s="62" t="inlineStr">
        <is>
          <t xml:space="preserve">  const head = Object.entries(headers).map(([k, v]) =&gt; `[${k} "${v.replace(/"/g, "'")}"]`).join("\n");</t>
        </is>
      </c>
    </row>
    <row r="1196">
      <c r="A1196" s="61" t="n">
        <v>40</v>
      </c>
      <c r="B1196" s="62" t="inlineStr">
        <is>
          <t xml:space="preserve">  const body: string[] = [];</t>
        </is>
      </c>
    </row>
    <row r="1197">
      <c r="A1197" s="61" t="n">
        <v>41</v>
      </c>
      <c r="B1197" s="62" t="inlineStr">
        <is>
          <t xml:space="preserve">  sanMoves.forEach((san, i) =&gt; {</t>
        </is>
      </c>
    </row>
    <row r="1198">
      <c r="A1198" s="61" t="n">
        <v>42</v>
      </c>
      <c r="B1198" s="62" t="inlineStr">
        <is>
          <t xml:space="preserve">    if (i % 2 === 0) body.push(`${i / 2 + 1}. ${san}`);</t>
        </is>
      </c>
    </row>
    <row r="1199">
      <c r="A1199" s="61" t="n">
        <v>43</v>
      </c>
      <c r="B1199" s="62" t="inlineStr">
        <is>
          <t xml:space="preserve">    else body.push(san);</t>
        </is>
      </c>
    </row>
    <row r="1200">
      <c r="A1200" s="61" t="n">
        <v>44</v>
      </c>
      <c r="B1200" s="62" t="inlineStr">
        <is>
          <t xml:space="preserve">  });</t>
        </is>
      </c>
    </row>
    <row r="1201">
      <c r="A1201" s="61" t="n">
        <v>45</v>
      </c>
      <c r="B1201" s="62" t="inlineStr">
        <is>
          <t xml:space="preserve">  return `${head}\n\n${body.join(" ")} ${headers.Result ?? "*"}\n`;</t>
        </is>
      </c>
    </row>
    <row r="1202">
      <c r="A1202" s="61" t="n">
        <v>46</v>
      </c>
      <c r="B1202" s="62" t="inlineStr">
        <is>
          <t>}</t>
        </is>
      </c>
    </row>
    <row r="1203">
      <c r="A1203" s="61" t="n">
        <v>47</v>
      </c>
      <c r="B1203" s="62" t="n"/>
    </row>
    <row r="1204">
      <c r="A1204" s="61" t="n">
        <v>48</v>
      </c>
      <c r="B1204" s="62" t="inlineStr">
        <is>
          <t>/** FEN before each ply, plus the final position: positions[i] is the board before move i. */</t>
        </is>
      </c>
    </row>
    <row r="1205">
      <c r="A1205" s="61" t="n">
        <v>49</v>
      </c>
      <c r="B1205" s="62" t="inlineStr">
        <is>
          <t>export function positionsFromPgn(pgn: string): { positions: string[]; sans: string[]; ucis: string[] } {</t>
        </is>
      </c>
    </row>
    <row r="1206">
      <c r="A1206" s="61" t="n">
        <v>50</v>
      </c>
      <c r="B1206" s="62" t="inlineStr">
        <is>
          <t xml:space="preserve">  const chess = new Chess();</t>
        </is>
      </c>
    </row>
    <row r="1207">
      <c r="A1207" s="61" t="n">
        <v>51</v>
      </c>
      <c r="B1207" s="62" t="inlineStr">
        <is>
          <t xml:space="preserve">  chess.loadPgn(pgn);</t>
        </is>
      </c>
    </row>
    <row r="1208">
      <c r="A1208" s="61" t="n">
        <v>52</v>
      </c>
      <c r="B1208" s="62" t="inlineStr">
        <is>
          <t xml:space="preserve">  const history = chess.history({ verbose: true });</t>
        </is>
      </c>
    </row>
    <row r="1209">
      <c r="A1209" s="61" t="n">
        <v>53</v>
      </c>
      <c r="B1209" s="62" t="inlineStr">
        <is>
          <t xml:space="preserve">  return {</t>
        </is>
      </c>
    </row>
    <row r="1210">
      <c r="A1210" s="61" t="n">
        <v>54</v>
      </c>
      <c r="B1210" s="62" t="inlineStr">
        <is>
          <t xml:space="preserve">    positions: [...history.map((m) =&gt; m.before), chess.fen()],</t>
        </is>
      </c>
    </row>
    <row r="1211">
      <c r="A1211" s="61" t="n">
        <v>55</v>
      </c>
      <c r="B1211" s="62" t="inlineStr">
        <is>
          <t xml:space="preserve">    sans: history.map((m) =&gt; m.san),</t>
        </is>
      </c>
    </row>
    <row r="1212">
      <c r="A1212" s="61" t="n">
        <v>56</v>
      </c>
      <c r="B1212" s="62" t="inlineStr">
        <is>
          <t xml:space="preserve">    ucis: history.map((m) =&gt; uciOf(m)),</t>
        </is>
      </c>
    </row>
    <row r="1213">
      <c r="A1213" s="61" t="n">
        <v>57</v>
      </c>
      <c r="B1213" s="62" t="inlineStr">
        <is>
          <t xml:space="preserve">  };</t>
        </is>
      </c>
    </row>
    <row r="1214">
      <c r="A1214" s="61" t="n">
        <v>58</v>
      </c>
      <c r="B1214" s="62" t="inlineStr">
        <is>
          <t>}</t>
        </is>
      </c>
    </row>
    <row r="1217">
      <c r="A1217" s="60" t="inlineStr">
        <is>
          <t>C23</t>
        </is>
      </c>
      <c r="B1217" s="60" t="inlineStr">
        <is>
          <t>apps/web/src/game/chessHelpers.test.ts   ·   Phase P4   ·   Vitest unit tests for the helpers.</t>
        </is>
      </c>
    </row>
    <row r="1218">
      <c r="B1218" s="55" t="inlineStr">
        <is>
          <t>↑ back to Code Index</t>
        </is>
      </c>
    </row>
    <row r="1219">
      <c r="A1219" s="61" t="n">
        <v>1</v>
      </c>
      <c r="B1219" s="62" t="inlineStr">
        <is>
          <t>import { Chess } from "chess.js";</t>
        </is>
      </c>
    </row>
    <row r="1220">
      <c r="A1220" s="61" t="n">
        <v>2</v>
      </c>
      <c r="B1220" s="62" t="inlineStr">
        <is>
          <t>import { describe, expect, it } from "vitest";</t>
        </is>
      </c>
    </row>
    <row r="1221">
      <c r="A1221" s="61" t="n">
        <v>3</v>
      </c>
      <c r="B1221" s="62" t="inlineStr">
        <is>
          <t>import { buildPgn, isPromotion, parseUci, positionsFromPgn, statusOf, uciOf } from "./chessHelpers";</t>
        </is>
      </c>
    </row>
    <row r="1222">
      <c r="A1222" s="61" t="n">
        <v>4</v>
      </c>
      <c r="B1222" s="62" t="n"/>
    </row>
    <row r="1223">
      <c r="A1223" s="61" t="n">
        <v>5</v>
      </c>
      <c r="B1223" s="62" t="inlineStr">
        <is>
          <t>describe("chess helpers", () =&gt; {</t>
        </is>
      </c>
    </row>
    <row r="1224">
      <c r="A1224" s="61" t="n">
        <v>6</v>
      </c>
      <c r="B1224" s="62" t="inlineStr">
        <is>
          <t xml:space="preserve">  it("detects a promotion square", () =&gt; {</t>
        </is>
      </c>
    </row>
    <row r="1225">
      <c r="A1225" s="61" t="n">
        <v>7</v>
      </c>
      <c r="B1225" s="62" t="inlineStr">
        <is>
          <t xml:space="preserve">    const chess = new Chess("8/P7/8/8/8/8/8/k6K w - - 0 1");</t>
        </is>
      </c>
    </row>
    <row r="1226">
      <c r="A1226" s="61" t="n">
        <v>8</v>
      </c>
      <c r="B1226" s="62" t="inlineStr">
        <is>
          <t xml:space="preserve">    expect(isPromotion(chess, "a7", "a8")).toBe(true);</t>
        </is>
      </c>
    </row>
    <row r="1227">
      <c r="A1227" s="61" t="n">
        <v>9</v>
      </c>
      <c r="B1227" s="62" t="inlineStr">
        <is>
          <t xml:space="preserve">    expect(isPromotion(chess, "h1", "h2")).toBe(false);</t>
        </is>
      </c>
    </row>
    <row r="1228">
      <c r="A1228" s="61" t="n">
        <v>10</v>
      </c>
      <c r="B1228" s="62" t="inlineStr">
        <is>
          <t xml:space="preserve">  });</t>
        </is>
      </c>
    </row>
    <row r="1229">
      <c r="A1229" s="61" t="n">
        <v>11</v>
      </c>
      <c r="B1229" s="62" t="n"/>
    </row>
    <row r="1230">
      <c r="A1230" s="61" t="n">
        <v>12</v>
      </c>
      <c r="B1230" s="62" t="inlineStr">
        <is>
          <t xml:space="preserve">  it("round-trips UCI", () =&gt; {</t>
        </is>
      </c>
    </row>
    <row r="1231">
      <c r="A1231" s="61" t="n">
        <v>13</v>
      </c>
      <c r="B1231" s="62" t="inlineStr">
        <is>
          <t xml:space="preserve">    expect(uciOf(parseUci("e7e8q"))).toBe("e7e8q");</t>
        </is>
      </c>
    </row>
    <row r="1232">
      <c r="A1232" s="61" t="n">
        <v>14</v>
      </c>
      <c r="B1232" s="62" t="inlineStr">
        <is>
          <t xml:space="preserve">    expect(parseUci("e2e4").promotion).toBeUndefined();</t>
        </is>
      </c>
    </row>
    <row r="1233">
      <c r="A1233" s="61" t="n">
        <v>15</v>
      </c>
      <c r="B1233" s="62" t="inlineStr">
        <is>
          <t xml:space="preserve">  });</t>
        </is>
      </c>
    </row>
    <row r="1234">
      <c r="A1234" s="61" t="n">
        <v>16</v>
      </c>
      <c r="B1234" s="62" t="n"/>
    </row>
    <row r="1235">
      <c r="A1235" s="61" t="n">
        <v>17</v>
      </c>
      <c r="B1235" s="62" t="inlineStr">
        <is>
          <t xml:space="preserve">  it("reports checkmate with the right result", () =&gt; {</t>
        </is>
      </c>
    </row>
    <row r="1236">
      <c r="A1236" s="61" t="n">
        <v>18</v>
      </c>
      <c r="B1236" s="62" t="inlineStr">
        <is>
          <t xml:space="preserve">    const chess = new Chess();</t>
        </is>
      </c>
    </row>
    <row r="1237">
      <c r="A1237" s="61" t="n">
        <v>19</v>
      </c>
      <c r="B1237" s="62" t="inlineStr">
        <is>
          <t xml:space="preserve">    ["f3", "e5", "g4", "Qh4#"].forEach((m) =&gt; chess.move(m));</t>
        </is>
      </c>
    </row>
    <row r="1238">
      <c r="A1238" s="61" t="n">
        <v>20</v>
      </c>
      <c r="B1238" s="62" t="inlineStr">
        <is>
          <t xml:space="preserve">    expect(statusOf(chess)).toMatchObject({ over: true, result: "0-1" });</t>
        </is>
      </c>
    </row>
    <row r="1239">
      <c r="A1239" s="61" t="n">
        <v>21</v>
      </c>
      <c r="B1239" s="62" t="inlineStr">
        <is>
          <t xml:space="preserve">  });</t>
        </is>
      </c>
    </row>
    <row r="1240">
      <c r="A1240" s="61" t="n">
        <v>22</v>
      </c>
      <c r="B1240" s="62" t="n"/>
    </row>
    <row r="1241">
      <c r="A1241" s="61" t="n">
        <v>23</v>
      </c>
      <c r="B1241" s="62" t="inlineStr">
        <is>
          <t xml:space="preserve">  it("builds a PGN that chess.js can read back", () =&gt; {</t>
        </is>
      </c>
    </row>
    <row r="1242">
      <c r="A1242" s="61" t="n">
        <v>24</v>
      </c>
      <c r="B1242" s="62" t="inlineStr">
        <is>
          <t xml:space="preserve">    const pgn = buildPgn(["e4", "e5", "Nf3"], { White: "me", Black: "Stockfish", Result: "*" });</t>
        </is>
      </c>
    </row>
    <row r="1243">
      <c r="A1243" s="61" t="n">
        <v>25</v>
      </c>
      <c r="B1243" s="62" t="inlineStr">
        <is>
          <t xml:space="preserve">    const { sans, positions } = positionsFromPgn(pgn);</t>
        </is>
      </c>
    </row>
    <row r="1244">
      <c r="A1244" s="61" t="n">
        <v>26</v>
      </c>
      <c r="B1244" s="62" t="inlineStr">
        <is>
          <t xml:space="preserve">    expect(sans).toEqual(["e4", "e5", "Nf3"]);</t>
        </is>
      </c>
    </row>
    <row r="1245">
      <c r="A1245" s="61" t="n">
        <v>27</v>
      </c>
      <c r="B1245" s="62" t="inlineStr">
        <is>
          <t xml:space="preserve">    expect(positions).toHaveLength(4);</t>
        </is>
      </c>
    </row>
    <row r="1246">
      <c r="A1246" s="61" t="n">
        <v>28</v>
      </c>
      <c r="B1246" s="62" t="inlineStr">
        <is>
          <t xml:space="preserve">  });</t>
        </is>
      </c>
    </row>
    <row r="1247">
      <c r="A1247" s="61" t="n">
        <v>29</v>
      </c>
      <c r="B1247" s="62" t="inlineStr">
        <is>
          <t>});</t>
        </is>
      </c>
    </row>
    <row r="1250">
      <c r="A1250" s="60" t="inlineStr">
        <is>
          <t>C24</t>
        </is>
      </c>
      <c r="B1250" s="60" t="inlineStr">
        <is>
          <t>apps/web/src/engine/stockfish.ts   ·   Phase P4   ·   UCI conversation with Stockfish WASM in a Web Worker.</t>
        </is>
      </c>
    </row>
    <row r="1251">
      <c r="B1251" s="55" t="inlineStr">
        <is>
          <t>↑ back to Code Index</t>
        </is>
      </c>
    </row>
    <row r="1252">
      <c r="A1252" s="61" t="n">
        <v>1</v>
      </c>
      <c r="B1252" s="62" t="inlineStr">
        <is>
          <t>// Talks UCI to Stockfish compiled to WebAssembly, running in a Web Worker so the page never freezes.</t>
        </is>
      </c>
    </row>
    <row r="1253">
      <c r="A1253" s="61" t="n">
        <v>2</v>
      </c>
      <c r="B1253" s="62" t="inlineStr">
        <is>
          <t>// EDIT this path to the exact .js file you copied into public/stockfish/ (Phase 3, task "Copy Stockfish").</t>
        </is>
      </c>
    </row>
    <row r="1254">
      <c r="A1254" s="61" t="n">
        <v>3</v>
      </c>
      <c r="B1254" s="62" t="inlineStr">
        <is>
          <t>export const STOCKFISH_URL = "/stockfish/stockfish.js";</t>
        </is>
      </c>
    </row>
    <row r="1255">
      <c r="A1255" s="61" t="n">
        <v>4</v>
      </c>
      <c r="B1255" s="62" t="n"/>
    </row>
    <row r="1256">
      <c r="A1256" s="61" t="n">
        <v>5</v>
      </c>
      <c r="B1256" s="62" t="inlineStr">
        <is>
          <t>export type Strength = { id: string; label: string; skill: number; movetimeMs: number };</t>
        </is>
      </c>
    </row>
    <row r="1257">
      <c r="A1257" s="61" t="n">
        <v>6</v>
      </c>
      <c r="B1257" s="62" t="n"/>
    </row>
    <row r="1258">
      <c r="A1258" s="61" t="n">
        <v>7</v>
      </c>
      <c r="B1258" s="62" t="inlineStr">
        <is>
          <t>// Descriptive labels only. We have not measured Elo for these settings, so we do not claim any.</t>
        </is>
      </c>
    </row>
    <row r="1259">
      <c r="A1259" s="61" t="n">
        <v>8</v>
      </c>
      <c r="B1259" s="62" t="inlineStr">
        <is>
          <t>export const STRENGTHS: Strength[] = [</t>
        </is>
      </c>
    </row>
    <row r="1260">
      <c r="A1260" s="61" t="n">
        <v>9</v>
      </c>
      <c r="B1260" s="62" t="inlineStr">
        <is>
          <t xml:space="preserve">  { id: "beginner", label: "Beginner", skill: 0, movetimeMs: 100 },</t>
        </is>
      </c>
    </row>
    <row r="1261">
      <c r="A1261" s="61" t="n">
        <v>10</v>
      </c>
      <c r="B1261" s="62" t="inlineStr">
        <is>
          <t xml:space="preserve">  { id: "casual", label: "Casual", skill: 5, movetimeMs: 200 },</t>
        </is>
      </c>
    </row>
    <row r="1262">
      <c r="A1262" s="61" t="n">
        <v>11</v>
      </c>
      <c r="B1262" s="62" t="inlineStr">
        <is>
          <t xml:space="preserve">  { id: "club", label: "Club", skill: 10, movetimeMs: 400 },</t>
        </is>
      </c>
    </row>
    <row r="1263">
      <c r="A1263" s="61" t="n">
        <v>12</v>
      </c>
      <c r="B1263" s="62" t="inlineStr">
        <is>
          <t xml:space="preserve">  { id: "strong", label: "Strong", skill: 15, movetimeMs: 800 },</t>
        </is>
      </c>
    </row>
    <row r="1264">
      <c r="A1264" s="61" t="n">
        <v>13</v>
      </c>
      <c r="B1264" s="62" t="inlineStr">
        <is>
          <t xml:space="preserve">  { id: "max", label: "Maximum", skill: 20, movetimeMs: 1500 },</t>
        </is>
      </c>
    </row>
    <row r="1265">
      <c r="A1265" s="61" t="n">
        <v>14</v>
      </c>
      <c r="B1265" s="62" t="inlineStr">
        <is>
          <t>];</t>
        </is>
      </c>
    </row>
    <row r="1266">
      <c r="A1266" s="61" t="n">
        <v>15</v>
      </c>
      <c r="B1266" s="62" t="n"/>
    </row>
    <row r="1267">
      <c r="A1267" s="61" t="n">
        <v>16</v>
      </c>
      <c r="B1267" s="62" t="inlineStr">
        <is>
          <t>type Listener = (line: string) =&gt; void;</t>
        </is>
      </c>
    </row>
    <row r="1268">
      <c r="A1268" s="61" t="n">
        <v>17</v>
      </c>
      <c r="B1268" s="62" t="n"/>
    </row>
    <row r="1269">
      <c r="A1269" s="61" t="n">
        <v>18</v>
      </c>
      <c r="B1269" s="62" t="inlineStr">
        <is>
          <t>export class StockfishEngine {</t>
        </is>
      </c>
    </row>
    <row r="1270">
      <c r="A1270" s="61" t="n">
        <v>19</v>
      </c>
      <c r="B1270" s="62" t="inlineStr">
        <is>
          <t xml:space="preserve">  private worker: Worker;</t>
        </is>
      </c>
    </row>
    <row r="1271">
      <c r="A1271" s="61" t="n">
        <v>20</v>
      </c>
      <c r="B1271" s="62" t="inlineStr">
        <is>
          <t xml:space="preserve">  private listeners = new Set&lt;Listener&gt;();</t>
        </is>
      </c>
    </row>
    <row r="1272">
      <c r="A1272" s="61" t="n">
        <v>21</v>
      </c>
      <c r="B1272" s="62" t="inlineStr">
        <is>
          <t xml:space="preserve">  private ready: Promise&lt;void&gt;;</t>
        </is>
      </c>
    </row>
    <row r="1273">
      <c r="A1273" s="61" t="n">
        <v>22</v>
      </c>
      <c r="B1273" s="62" t="n"/>
    </row>
    <row r="1274">
      <c r="A1274" s="61" t="n">
        <v>23</v>
      </c>
      <c r="B1274" s="62" t="inlineStr">
        <is>
          <t xml:space="preserve">  constructor(url = STOCKFISH_URL) {</t>
        </is>
      </c>
    </row>
    <row r="1275">
      <c r="A1275" s="61" t="n">
        <v>24</v>
      </c>
      <c r="B1275" s="62" t="inlineStr">
        <is>
          <t xml:space="preserve">    this.worker = new Worker(url);</t>
        </is>
      </c>
    </row>
    <row r="1276">
      <c r="A1276" s="61" t="n">
        <v>25</v>
      </c>
      <c r="B1276" s="62" t="inlineStr">
        <is>
          <t xml:space="preserve">    this.worker.onmessage = (e: MessageEvent) =&gt; {</t>
        </is>
      </c>
    </row>
    <row r="1277">
      <c r="A1277" s="61" t="n">
        <v>26</v>
      </c>
      <c r="B1277" s="62" t="inlineStr">
        <is>
          <t xml:space="preserve">      const line = typeof e.data === "string" ? e.data : String(e.data);</t>
        </is>
      </c>
    </row>
    <row r="1278">
      <c r="A1278" s="61" t="n">
        <v>27</v>
      </c>
      <c r="B1278" s="62" t="inlineStr">
        <is>
          <t xml:space="preserve">      this.listeners.forEach((l) =&gt; l(line));</t>
        </is>
      </c>
    </row>
    <row r="1279">
      <c r="A1279" s="61" t="n">
        <v>28</v>
      </c>
      <c r="B1279" s="62" t="inlineStr">
        <is>
          <t xml:space="preserve">    };</t>
        </is>
      </c>
    </row>
    <row r="1280">
      <c r="A1280" s="61" t="n">
        <v>29</v>
      </c>
      <c r="B1280" s="62" t="inlineStr">
        <is>
          <t xml:space="preserve">    this.ready = this.waitFor("uciok", () =&gt; this.send("uci")).then(() =&gt; this.isReady());</t>
        </is>
      </c>
    </row>
    <row r="1281">
      <c r="A1281" s="61" t="n">
        <v>30</v>
      </c>
      <c r="B1281" s="62" t="inlineStr">
        <is>
          <t xml:space="preserve">  }</t>
        </is>
      </c>
    </row>
    <row r="1282">
      <c r="A1282" s="61" t="n">
        <v>31</v>
      </c>
      <c r="B1282" s="62" t="n"/>
    </row>
    <row r="1283">
      <c r="A1283" s="61" t="n">
        <v>32</v>
      </c>
      <c r="B1283" s="62" t="inlineStr">
        <is>
          <t xml:space="preserve">  private send(command: string) {</t>
        </is>
      </c>
    </row>
    <row r="1284">
      <c r="A1284" s="61" t="n">
        <v>33</v>
      </c>
      <c r="B1284" s="62" t="inlineStr">
        <is>
          <t xml:space="preserve">    this.worker.postMessage(command);</t>
        </is>
      </c>
    </row>
    <row r="1285">
      <c r="A1285" s="61" t="n">
        <v>34</v>
      </c>
      <c r="B1285" s="62" t="inlineStr">
        <is>
          <t xml:space="preserve">  }</t>
        </is>
      </c>
    </row>
    <row r="1286">
      <c r="A1286" s="61" t="n">
        <v>35</v>
      </c>
      <c r="B1286" s="62" t="n"/>
    </row>
    <row r="1287">
      <c r="A1287" s="61" t="n">
        <v>36</v>
      </c>
      <c r="B1287" s="62" t="inlineStr">
        <is>
          <t xml:space="preserve">  // Sends a command and resolves with the first output line that starts with `prefix`.</t>
        </is>
      </c>
    </row>
    <row r="1288">
      <c r="A1288" s="61" t="n">
        <v>37</v>
      </c>
      <c r="B1288" s="62" t="inlineStr">
        <is>
          <t xml:space="preserve">  private waitFor(prefix: string, start: () =&gt; void, timeoutMs = 15000): Promise&lt;string&gt; {</t>
        </is>
      </c>
    </row>
    <row r="1289">
      <c r="A1289" s="61" t="n">
        <v>38</v>
      </c>
      <c r="B1289" s="62" t="inlineStr">
        <is>
          <t xml:space="preserve">    return new Promise((resolve, reject) =&gt; {</t>
        </is>
      </c>
    </row>
    <row r="1290">
      <c r="A1290" s="61" t="n">
        <v>39</v>
      </c>
      <c r="B1290" s="62" t="inlineStr">
        <is>
          <t xml:space="preserve">      const onLine = (line: string) =&gt; {</t>
        </is>
      </c>
    </row>
    <row r="1291">
      <c r="A1291" s="61" t="n">
        <v>40</v>
      </c>
      <c r="B1291" s="62" t="inlineStr">
        <is>
          <t xml:space="preserve">        if (line.startsWith(prefix)) {</t>
        </is>
      </c>
    </row>
    <row r="1292">
      <c r="A1292" s="61" t="n">
        <v>41</v>
      </c>
      <c r="B1292" s="62" t="inlineStr">
        <is>
          <t xml:space="preserve">          clearTimeout(timer);</t>
        </is>
      </c>
    </row>
    <row r="1293">
      <c r="A1293" s="61" t="n">
        <v>42</v>
      </c>
      <c r="B1293" s="62" t="inlineStr">
        <is>
          <t xml:space="preserve">          this.listeners.delete(onLine);</t>
        </is>
      </c>
    </row>
    <row r="1294">
      <c r="A1294" s="61" t="n">
        <v>43</v>
      </c>
      <c r="B1294" s="62" t="inlineStr">
        <is>
          <t xml:space="preserve">          resolve(line);</t>
        </is>
      </c>
    </row>
    <row r="1295">
      <c r="A1295" s="61" t="n">
        <v>44</v>
      </c>
      <c r="B1295" s="62" t="inlineStr">
        <is>
          <t xml:space="preserve">        }</t>
        </is>
      </c>
    </row>
    <row r="1296">
      <c r="A1296" s="61" t="n">
        <v>45</v>
      </c>
      <c r="B1296" s="62" t="inlineStr">
        <is>
          <t xml:space="preserve">      };</t>
        </is>
      </c>
    </row>
    <row r="1297">
      <c r="A1297" s="61" t="n">
        <v>46</v>
      </c>
      <c r="B1297" s="62" t="inlineStr">
        <is>
          <t xml:space="preserve">      const timer = setTimeout(() =&gt; {</t>
        </is>
      </c>
    </row>
    <row r="1298">
      <c r="A1298" s="61" t="n">
        <v>47</v>
      </c>
      <c r="B1298" s="62" t="inlineStr">
        <is>
          <t xml:space="preserve">        this.listeners.delete(onLine);</t>
        </is>
      </c>
    </row>
    <row r="1299">
      <c r="A1299" s="61" t="n">
        <v>48</v>
      </c>
      <c r="B1299" s="62" t="inlineStr">
        <is>
          <t xml:space="preserve">        reject(new Error(`Engine did not answer "${prefix}" in time`));</t>
        </is>
      </c>
    </row>
    <row r="1300">
      <c r="A1300" s="61" t="n">
        <v>49</v>
      </c>
      <c r="B1300" s="62" t="inlineStr">
        <is>
          <t xml:space="preserve">      }, timeoutMs);</t>
        </is>
      </c>
    </row>
    <row r="1301">
      <c r="A1301" s="61" t="n">
        <v>50</v>
      </c>
      <c r="B1301" s="62" t="inlineStr">
        <is>
          <t xml:space="preserve">      this.listeners.add(onLine);</t>
        </is>
      </c>
    </row>
    <row r="1302">
      <c r="A1302" s="61" t="n">
        <v>51</v>
      </c>
      <c r="B1302" s="62" t="inlineStr">
        <is>
          <t xml:space="preserve">      start();</t>
        </is>
      </c>
    </row>
    <row r="1303">
      <c r="A1303" s="61" t="n">
        <v>52</v>
      </c>
      <c r="B1303" s="62" t="inlineStr">
        <is>
          <t xml:space="preserve">    });</t>
        </is>
      </c>
    </row>
    <row r="1304">
      <c r="A1304" s="61" t="n">
        <v>53</v>
      </c>
      <c r="B1304" s="62" t="inlineStr">
        <is>
          <t xml:space="preserve">  }</t>
        </is>
      </c>
    </row>
    <row r="1305">
      <c r="A1305" s="61" t="n">
        <v>54</v>
      </c>
      <c r="B1305" s="62" t="n"/>
    </row>
    <row r="1306">
      <c r="A1306" s="61" t="n">
        <v>55</v>
      </c>
      <c r="B1306" s="62" t="inlineStr">
        <is>
          <t xml:space="preserve">  private async isReady() {</t>
        </is>
      </c>
    </row>
    <row r="1307">
      <c r="A1307" s="61" t="n">
        <v>56</v>
      </c>
      <c r="B1307" s="62" t="inlineStr">
        <is>
          <t xml:space="preserve">    await this.waitFor("readyok", () =&gt; this.send("isready"));</t>
        </is>
      </c>
    </row>
    <row r="1308">
      <c r="A1308" s="61" t="n">
        <v>57</v>
      </c>
      <c r="B1308" s="62" t="inlineStr">
        <is>
          <t xml:space="preserve">  }</t>
        </is>
      </c>
    </row>
    <row r="1309">
      <c r="A1309" s="61" t="n">
        <v>58</v>
      </c>
      <c r="B1309" s="62" t="n"/>
    </row>
    <row r="1310">
      <c r="A1310" s="61" t="n">
        <v>59</v>
      </c>
      <c r="B1310" s="62" t="inlineStr">
        <is>
          <t xml:space="preserve">  async newGame() {</t>
        </is>
      </c>
    </row>
    <row r="1311">
      <c r="A1311" s="61" t="n">
        <v>60</v>
      </c>
      <c r="B1311" s="62" t="inlineStr">
        <is>
          <t xml:space="preserve">    await this.ready;</t>
        </is>
      </c>
    </row>
    <row r="1312">
      <c r="A1312" s="61" t="n">
        <v>61</v>
      </c>
      <c r="B1312" s="62" t="inlineStr">
        <is>
          <t xml:space="preserve">    this.send("ucinewgame");</t>
        </is>
      </c>
    </row>
    <row r="1313">
      <c r="A1313" s="61" t="n">
        <v>62</v>
      </c>
      <c r="B1313" s="62" t="inlineStr">
        <is>
          <t xml:space="preserve">    await this.isReady();</t>
        </is>
      </c>
    </row>
    <row r="1314">
      <c r="A1314" s="61" t="n">
        <v>63</v>
      </c>
      <c r="B1314" s="62" t="inlineStr">
        <is>
          <t xml:space="preserve">  }</t>
        </is>
      </c>
    </row>
    <row r="1315">
      <c r="A1315" s="61" t="n">
        <v>64</v>
      </c>
      <c r="B1315" s="62" t="n"/>
    </row>
    <row r="1316">
      <c r="A1316" s="61" t="n">
        <v>65</v>
      </c>
      <c r="B1316" s="62" t="inlineStr">
        <is>
          <t xml:space="preserve">  /** Returns a UCI move such as "e2e4" or "e7e8q". Sends the whole move list so repetitions are known. */</t>
        </is>
      </c>
    </row>
    <row r="1317">
      <c r="A1317" s="61" t="n">
        <v>66</v>
      </c>
      <c r="B1317" s="62" t="inlineStr">
        <is>
          <t xml:space="preserve">  async bestMove(startFen: string, movesUci: string[], strength: Strength): Promise&lt;string&gt; {</t>
        </is>
      </c>
    </row>
    <row r="1318">
      <c r="A1318" s="61" t="n">
        <v>67</v>
      </c>
      <c r="B1318" s="62" t="inlineStr">
        <is>
          <t xml:space="preserve">    await this.ready;</t>
        </is>
      </c>
    </row>
    <row r="1319">
      <c r="A1319" s="61" t="n">
        <v>68</v>
      </c>
      <c r="B1319" s="62" t="inlineStr">
        <is>
          <t xml:space="preserve">    this.send(`setoption name Skill Level value ${strength.skill}`);</t>
        </is>
      </c>
    </row>
    <row r="1320">
      <c r="A1320" s="61" t="n">
        <v>69</v>
      </c>
      <c r="B1320" s="62" t="inlineStr">
        <is>
          <t xml:space="preserve">    const moves = movesUci.length ? ` moves ${movesUci.join(" ")}` : "";</t>
        </is>
      </c>
    </row>
    <row r="1321">
      <c r="A1321" s="61" t="n">
        <v>70</v>
      </c>
      <c r="B1321" s="62" t="inlineStr">
        <is>
          <t xml:space="preserve">    this.send(`position fen ${startFen}${moves}`);</t>
        </is>
      </c>
    </row>
    <row r="1322">
      <c r="A1322" s="61" t="n">
        <v>71</v>
      </c>
      <c r="B1322" s="62" t="inlineStr">
        <is>
          <t xml:space="preserve">    const line = await this.waitFor("bestmove", () =&gt; this.send(`go movetime ${strength.movetimeMs}`),</t>
        </is>
      </c>
    </row>
    <row r="1323">
      <c r="A1323" s="61" t="n">
        <v>72</v>
      </c>
      <c r="B1323" s="62" t="inlineStr">
        <is>
          <t xml:space="preserve">      strength.movetimeMs + 15000);</t>
        </is>
      </c>
    </row>
    <row r="1324">
      <c r="A1324" s="61" t="n">
        <v>73</v>
      </c>
      <c r="B1324" s="62" t="inlineStr">
        <is>
          <t xml:space="preserve">    const move = line.split(" ")[1];</t>
        </is>
      </c>
    </row>
    <row r="1325">
      <c r="A1325" s="61" t="n">
        <v>74</v>
      </c>
      <c r="B1325" s="62" t="inlineStr">
        <is>
          <t xml:space="preserve">    if (!move || move === "(none)") throw new Error("Engine found no legal move");</t>
        </is>
      </c>
    </row>
    <row r="1326">
      <c r="A1326" s="61" t="n">
        <v>75</v>
      </c>
      <c r="B1326" s="62" t="inlineStr">
        <is>
          <t xml:space="preserve">    return move;</t>
        </is>
      </c>
    </row>
    <row r="1327">
      <c r="A1327" s="61" t="n">
        <v>76</v>
      </c>
      <c r="B1327" s="62" t="inlineStr">
        <is>
          <t xml:space="preserve">  }</t>
        </is>
      </c>
    </row>
    <row r="1328">
      <c r="A1328" s="61" t="n">
        <v>77</v>
      </c>
      <c r="B1328" s="62" t="n"/>
    </row>
    <row r="1329">
      <c r="A1329" s="61" t="n">
        <v>78</v>
      </c>
      <c r="B1329" s="62" t="inlineStr">
        <is>
          <t xml:space="preserve">  terminate() {</t>
        </is>
      </c>
    </row>
    <row r="1330">
      <c r="A1330" s="61" t="n">
        <v>79</v>
      </c>
      <c r="B1330" s="62" t="inlineStr">
        <is>
          <t xml:space="preserve">    this.listeners.clear();</t>
        </is>
      </c>
    </row>
    <row r="1331">
      <c r="A1331" s="61" t="n">
        <v>80</v>
      </c>
      <c r="B1331" s="62" t="inlineStr">
        <is>
          <t xml:space="preserve">    this.worker.terminate();</t>
        </is>
      </c>
    </row>
    <row r="1332">
      <c r="A1332" s="61" t="n">
        <v>81</v>
      </c>
      <c r="B1332" s="62" t="inlineStr">
        <is>
          <t xml:space="preserve">  }</t>
        </is>
      </c>
    </row>
    <row r="1333">
      <c r="A1333" s="61" t="n">
        <v>82</v>
      </c>
      <c r="B1333" s="62" t="inlineStr">
        <is>
          <t>}</t>
        </is>
      </c>
    </row>
    <row r="1336">
      <c r="A1336" s="60" t="inlineStr">
        <is>
          <t>C25</t>
        </is>
      </c>
      <c r="B1336" s="60" t="inlineStr">
        <is>
          <t>apps/web/public/legacy-engine/legacy-worker.js   ·   Phase P4   ·   Classic worker running your original minimax engine unchanged.</t>
        </is>
      </c>
    </row>
    <row r="1337">
      <c r="B1337" s="55" t="inlineStr">
        <is>
          <t>↑ back to Code Index</t>
        </is>
      </c>
    </row>
    <row r="1338">
      <c r="A1338" s="61" t="n">
        <v>1</v>
      </c>
      <c r="B1338" s="62" t="inlineStr">
        <is>
          <t>/* Classic Web Worker for the original engine.</t>
        </is>
      </c>
    </row>
    <row r="1339">
      <c r="A1339" s="61" t="n">
        <v>2</v>
      </c>
      <c r="B1339" s="62" t="inlineStr">
        <is>
          <t xml:space="preserve"> * chess-legacy.js  = an unchanged copy of the old js/chess.js (its API has ugly_moves, in_checkmate, ...)</t>
        </is>
      </c>
    </row>
    <row r="1340">
      <c r="A1340" s="61" t="n">
        <v>3</v>
      </c>
      <c r="B1340" s="62" t="inlineStr">
        <is>
          <t xml:space="preserve"> * legacy-engine.js = lines 35-309 of the old js/main.js (weights, piece-square tables, evaluateBoard, minimax)</t>
        </is>
      </c>
    </row>
    <row r="1341">
      <c r="A1341" s="61" t="n">
        <v>4</v>
      </c>
      <c r="B1341" s="62" t="inlineStr">
        <is>
          <t xml:space="preserve"> */</t>
        </is>
      </c>
    </row>
    <row r="1342">
      <c r="A1342" s="61" t="n">
        <v>5</v>
      </c>
      <c r="B1342" s="62" t="inlineStr">
        <is>
          <t>importScripts("chess-legacy.js", "legacy-engine.js");</t>
        </is>
      </c>
    </row>
    <row r="1343">
      <c r="A1343" s="61" t="n">
        <v>6</v>
      </c>
      <c r="B1343" s="62" t="n"/>
    </row>
    <row r="1344">
      <c r="A1344" s="61" t="n">
        <v>7</v>
      </c>
      <c r="B1344" s="62" t="inlineStr">
        <is>
          <t>var positionCount = 0; // minimax() increments this global</t>
        </is>
      </c>
    </row>
    <row r="1345">
      <c r="A1345" s="61" t="n">
        <v>8</v>
      </c>
      <c r="B1345" s="62" t="n"/>
    </row>
    <row r="1346">
      <c r="A1346" s="61" t="n">
        <v>9</v>
      </c>
      <c r="B1346" s="62" t="inlineStr">
        <is>
          <t>self.onmessage = function (e) {</t>
        </is>
      </c>
    </row>
    <row r="1347">
      <c r="A1347" s="61" t="n">
        <v>10</v>
      </c>
      <c r="B1347" s="62" t="inlineStr">
        <is>
          <t xml:space="preserve">  try {</t>
        </is>
      </c>
    </row>
    <row r="1348">
      <c r="A1348" s="61" t="n">
        <v>11</v>
      </c>
      <c r="B1348" s="62" t="inlineStr">
        <is>
          <t xml:space="preserve">    var game = new Chess(e.data.fen);</t>
        </is>
      </c>
    </row>
    <row r="1349">
      <c r="A1349" s="61" t="n">
        <v>12</v>
      </c>
      <c r="B1349" s="62" t="inlineStr">
        <is>
          <t xml:space="preserve">    var color = game.turn(); // 'w' or 'b': the engine plays the side to move</t>
        </is>
      </c>
    </row>
    <row r="1350">
      <c r="A1350" s="61" t="n">
        <v>13</v>
      </c>
      <c r="B1350" s="62" t="inlineStr">
        <is>
          <t xml:space="preserve">    // The original code tracks a running evaluation from Black's point of view starting at 0.</t>
        </is>
      </c>
    </row>
    <row r="1351">
      <c r="A1351" s="61" t="n">
        <v>14</v>
      </c>
      <c r="B1351" s="62" t="inlineStr">
        <is>
          <t xml:space="preserve">    // From a mid-game FEN we restart that running sum at 0: fine for move choice, noted as a limitation.</t>
        </is>
      </c>
    </row>
    <row r="1352">
      <c r="A1352" s="61" t="n">
        <v>15</v>
      </c>
      <c r="B1352" s="62" t="inlineStr">
        <is>
          <t xml:space="preserve">    var result = minimax(game, e.data.depth, Number.NEGATIVE_INFINITY, Number.POSITIVE_INFINITY, true, 0, color);</t>
        </is>
      </c>
    </row>
    <row r="1353">
      <c r="A1353" s="61" t="n">
        <v>16</v>
      </c>
      <c r="B1353" s="62" t="inlineStr">
        <is>
          <t xml:space="preserve">    var move = result[0];</t>
        </is>
      </c>
    </row>
    <row r="1354">
      <c r="A1354" s="61" t="n">
        <v>17</v>
      </c>
      <c r="B1354" s="62" t="inlineStr">
        <is>
          <t xml:space="preserve">    if (!move) {</t>
        </is>
      </c>
    </row>
    <row r="1355">
      <c r="A1355" s="61" t="n">
        <v>18</v>
      </c>
      <c r="B1355" s="62" t="inlineStr">
        <is>
          <t xml:space="preserve">      self.postMessage({ error: "No legal move" });</t>
        </is>
      </c>
    </row>
    <row r="1356">
      <c r="A1356" s="61" t="n">
        <v>19</v>
      </c>
      <c r="B1356" s="62" t="inlineStr">
        <is>
          <t xml:space="preserve">      return;</t>
        </is>
      </c>
    </row>
    <row r="1357">
      <c r="A1357" s="61" t="n">
        <v>20</v>
      </c>
      <c r="B1357" s="62" t="inlineStr">
        <is>
          <t xml:space="preserve">    }</t>
        </is>
      </c>
    </row>
    <row r="1358">
      <c r="A1358" s="61" t="n">
        <v>21</v>
      </c>
      <c r="B1358" s="62" t="inlineStr">
        <is>
          <t xml:space="preserve">    self.postMessage({ from: move.from, to: move.to, promotion: move.promotion, positions: positionCount });</t>
        </is>
      </c>
    </row>
    <row r="1359">
      <c r="A1359" s="61" t="n">
        <v>22</v>
      </c>
      <c r="B1359" s="62" t="inlineStr">
        <is>
          <t xml:space="preserve">  } catch (err) {</t>
        </is>
      </c>
    </row>
    <row r="1360">
      <c r="A1360" s="61" t="n">
        <v>23</v>
      </c>
      <c r="B1360" s="62" t="inlineStr">
        <is>
          <t xml:space="preserve">    self.postMessage({ error: String(err) });</t>
        </is>
      </c>
    </row>
    <row r="1361">
      <c r="A1361" s="61" t="n">
        <v>24</v>
      </c>
      <c r="B1361" s="62" t="inlineStr">
        <is>
          <t xml:space="preserve">  }</t>
        </is>
      </c>
    </row>
    <row r="1362">
      <c r="A1362" s="61" t="n">
        <v>25</v>
      </c>
      <c r="B1362" s="62" t="inlineStr">
        <is>
          <t>};</t>
        </is>
      </c>
    </row>
    <row r="1365">
      <c r="A1365" s="60" t="inlineStr">
        <is>
          <t>C26</t>
        </is>
      </c>
      <c r="B1365" s="60" t="inlineStr">
        <is>
          <t>apps/web/src/engine/legacy.ts   ·   Phase P4   ·   Promise wrapper around the legacy worker with a timeout.</t>
        </is>
      </c>
    </row>
    <row r="1366">
      <c r="B1366" s="55" t="inlineStr">
        <is>
          <t>↑ back to Code Index</t>
        </is>
      </c>
    </row>
    <row r="1367">
      <c r="A1367" s="61" t="n">
        <v>1</v>
      </c>
      <c r="B1367" s="62" t="inlineStr">
        <is>
          <t>// Your ORIGINAL minimax + alpha-beta engine, unchanged, running in its own Web Worker.</t>
        </is>
      </c>
    </row>
    <row r="1368">
      <c r="A1368" s="61" t="n">
        <v>2</v>
      </c>
      <c r="B1368" s="62" t="inlineStr">
        <is>
          <t>// Kept as a credited baseline and as an "Original engine" opponent mode.</t>
        </is>
      </c>
    </row>
    <row r="1369">
      <c r="A1369" s="61" t="n">
        <v>3</v>
      </c>
      <c r="B1369" s="62" t="inlineStr">
        <is>
          <t>export const LEGACY_DEPTH = 3;</t>
        </is>
      </c>
    </row>
    <row r="1370">
      <c r="A1370" s="61" t="n">
        <v>4</v>
      </c>
      <c r="B1370" s="62" t="n"/>
    </row>
    <row r="1371">
      <c r="A1371" s="61" t="n">
        <v>5</v>
      </c>
      <c r="B1371" s="62" t="inlineStr">
        <is>
          <t>export function legacyBestMove(fen: string, depth = LEGACY_DEPTH, timeoutMs = 30000): Promise&lt;string&gt; {</t>
        </is>
      </c>
    </row>
    <row r="1372">
      <c r="A1372" s="61" t="n">
        <v>6</v>
      </c>
      <c r="B1372" s="62" t="inlineStr">
        <is>
          <t xml:space="preserve">  return new Promise((resolve, reject) =&gt; {</t>
        </is>
      </c>
    </row>
    <row r="1373">
      <c r="A1373" s="61" t="n">
        <v>7</v>
      </c>
      <c r="B1373" s="62" t="inlineStr">
        <is>
          <t xml:space="preserve">    const worker = new Worker("/legacy-engine/legacy-worker.js"); // classic worker: it uses importScripts</t>
        </is>
      </c>
    </row>
    <row r="1374">
      <c r="A1374" s="61" t="n">
        <v>8</v>
      </c>
      <c r="B1374" s="62" t="inlineStr">
        <is>
          <t xml:space="preserve">    const timer = setTimeout(() =&gt; {</t>
        </is>
      </c>
    </row>
    <row r="1375">
      <c r="A1375" s="61" t="n">
        <v>9</v>
      </c>
      <c r="B1375" s="62" t="inlineStr">
        <is>
          <t xml:space="preserve">      worker.terminate();</t>
        </is>
      </c>
    </row>
    <row r="1376">
      <c r="A1376" s="61" t="n">
        <v>10</v>
      </c>
      <c r="B1376" s="62" t="inlineStr">
        <is>
          <t xml:space="preserve">      reject(new Error("The original engine took too long."));</t>
        </is>
      </c>
    </row>
    <row r="1377">
      <c r="A1377" s="61" t="n">
        <v>11</v>
      </c>
      <c r="B1377" s="62" t="inlineStr">
        <is>
          <t xml:space="preserve">    }, timeoutMs);</t>
        </is>
      </c>
    </row>
    <row r="1378">
      <c r="A1378" s="61" t="n">
        <v>12</v>
      </c>
      <c r="B1378" s="62" t="inlineStr">
        <is>
          <t xml:space="preserve">    worker.onmessage = (e: MessageEvent&lt;{ from: string; to: string; promotion?: string; error?: string }&gt;) =&gt; {</t>
        </is>
      </c>
    </row>
    <row r="1379">
      <c r="A1379" s="61" t="n">
        <v>13</v>
      </c>
      <c r="B1379" s="62" t="inlineStr">
        <is>
          <t xml:space="preserve">      clearTimeout(timer);</t>
        </is>
      </c>
    </row>
    <row r="1380">
      <c r="A1380" s="61" t="n">
        <v>14</v>
      </c>
      <c r="B1380" s="62" t="inlineStr">
        <is>
          <t xml:space="preserve">      worker.terminate();</t>
        </is>
      </c>
    </row>
    <row r="1381">
      <c r="A1381" s="61" t="n">
        <v>15</v>
      </c>
      <c r="B1381" s="62" t="inlineStr">
        <is>
          <t xml:space="preserve">      if (e.data.error) reject(new Error(e.data.error));</t>
        </is>
      </c>
    </row>
    <row r="1382">
      <c r="A1382" s="61" t="n">
        <v>16</v>
      </c>
      <c r="B1382" s="62" t="inlineStr">
        <is>
          <t xml:space="preserve">      else resolve(e.data.from + e.data.to + (e.data.promotion ?? ""));</t>
        </is>
      </c>
    </row>
    <row r="1383">
      <c r="A1383" s="61" t="n">
        <v>17</v>
      </c>
      <c r="B1383" s="62" t="inlineStr">
        <is>
          <t xml:space="preserve">    };</t>
        </is>
      </c>
    </row>
    <row r="1384">
      <c r="A1384" s="61" t="n">
        <v>18</v>
      </c>
      <c r="B1384" s="62" t="inlineStr">
        <is>
          <t xml:space="preserve">    worker.onerror = (e) =&gt; {</t>
        </is>
      </c>
    </row>
    <row r="1385">
      <c r="A1385" s="61" t="n">
        <v>19</v>
      </c>
      <c r="B1385" s="62" t="inlineStr">
        <is>
          <t xml:space="preserve">      clearTimeout(timer);</t>
        </is>
      </c>
    </row>
    <row r="1386">
      <c r="A1386" s="61" t="n">
        <v>20</v>
      </c>
      <c r="B1386" s="62" t="inlineStr">
        <is>
          <t xml:space="preserve">      worker.terminate();</t>
        </is>
      </c>
    </row>
    <row r="1387">
      <c r="A1387" s="61" t="n">
        <v>21</v>
      </c>
      <c r="B1387" s="62" t="inlineStr">
        <is>
          <t xml:space="preserve">      reject(new Error(e.message || "Original engine crashed."));</t>
        </is>
      </c>
    </row>
    <row r="1388">
      <c r="A1388" s="61" t="n">
        <v>22</v>
      </c>
      <c r="B1388" s="62" t="inlineStr">
        <is>
          <t xml:space="preserve">    };</t>
        </is>
      </c>
    </row>
    <row r="1389">
      <c r="A1389" s="61" t="n">
        <v>23</v>
      </c>
      <c r="B1389" s="62" t="inlineStr">
        <is>
          <t xml:space="preserve">    worker.postMessage({ fen, depth });</t>
        </is>
      </c>
    </row>
    <row r="1390">
      <c r="A1390" s="61" t="n">
        <v>24</v>
      </c>
      <c r="B1390" s="62" t="inlineStr">
        <is>
          <t xml:space="preserve">  });</t>
        </is>
      </c>
    </row>
    <row r="1391">
      <c r="A1391" s="61" t="n">
        <v>25</v>
      </c>
      <c r="B1391" s="62" t="inlineStr">
        <is>
          <t>}</t>
        </is>
      </c>
    </row>
    <row r="1394">
      <c r="A1394" s="60" t="inlineStr">
        <is>
          <t>C27</t>
        </is>
      </c>
      <c r="B1394" s="60" t="inlineStr">
        <is>
          <t>apps/web/src/game/useChessGame.ts   ·   Phase P4   ·   Game state hook: moves, engine turns, stale-reply guard, resign/restart.</t>
        </is>
      </c>
    </row>
    <row r="1395">
      <c r="B1395" s="55" t="inlineStr">
        <is>
          <t>↑ back to Code Index</t>
        </is>
      </c>
    </row>
    <row r="1396">
      <c r="A1396" s="61" t="n">
        <v>1</v>
      </c>
      <c r="B1396" s="62" t="inlineStr">
        <is>
          <t>import { Chess, type Square } from "chess.js";</t>
        </is>
      </c>
    </row>
    <row r="1397">
      <c r="A1397" s="61" t="n">
        <v>2</v>
      </c>
      <c r="B1397" s="62" t="inlineStr">
        <is>
          <t>import { useCallback, useEffect, useRef, useState } from "react";</t>
        </is>
      </c>
    </row>
    <row r="1398">
      <c r="A1398" s="61" t="n">
        <v>3</v>
      </c>
      <c r="B1398" s="62" t="inlineStr">
        <is>
          <t>import { legacyBestMove } from "../engine/legacy";</t>
        </is>
      </c>
    </row>
    <row r="1399">
      <c r="A1399" s="61" t="n">
        <v>4</v>
      </c>
      <c r="B1399" s="62" t="inlineStr">
        <is>
          <t>import { StockfishEngine, type Strength } from "../engine/stockfish";</t>
        </is>
      </c>
    </row>
    <row r="1400">
      <c r="A1400" s="61" t="n">
        <v>5</v>
      </c>
      <c r="B1400" s="62" t="inlineStr">
        <is>
          <t>import { START_FEN, parseUci, statusOf, uciOf, type Status } from "./chessHelpers";</t>
        </is>
      </c>
    </row>
    <row r="1401">
      <c r="A1401" s="61" t="n">
        <v>6</v>
      </c>
      <c r="B1401" s="62" t="n"/>
    </row>
    <row r="1402">
      <c r="A1402" s="61" t="n">
        <v>7</v>
      </c>
      <c r="B1402" s="62" t="inlineStr">
        <is>
          <t>export type Side = "w" | "b";</t>
        </is>
      </c>
    </row>
    <row r="1403">
      <c r="A1403" s="61" t="n">
        <v>8</v>
      </c>
      <c r="B1403" s="62" t="inlineStr">
        <is>
          <t>export type Opponent = { kind: "stockfish"; strength: Strength } | { kind: "legacy" };</t>
        </is>
      </c>
    </row>
    <row r="1404">
      <c r="A1404" s="61" t="n">
        <v>9</v>
      </c>
      <c r="B1404" s="62" t="n"/>
    </row>
    <row r="1405">
      <c r="A1405" s="61" t="n">
        <v>10</v>
      </c>
      <c r="B1405" s="62" t="inlineStr">
        <is>
          <t>type View = { fen: string; sans: string[]; lastMove: { from: Square; to: Square } | null; status: Status };</t>
        </is>
      </c>
    </row>
    <row r="1406">
      <c r="A1406" s="61" t="n">
        <v>11</v>
      </c>
      <c r="B1406" s="62" t="n"/>
    </row>
    <row r="1407">
      <c r="A1407" s="61" t="n">
        <v>12</v>
      </c>
      <c r="B1407" s="62" t="inlineStr">
        <is>
          <t>function viewOf(chess: Chess, resignedBy: Side | null = null): View {</t>
        </is>
      </c>
    </row>
    <row r="1408">
      <c r="A1408" s="61" t="n">
        <v>13</v>
      </c>
      <c r="B1408" s="62" t="inlineStr">
        <is>
          <t xml:space="preserve">  const history = chess.history({ verbose: true });</t>
        </is>
      </c>
    </row>
    <row r="1409">
      <c r="A1409" s="61" t="n">
        <v>14</v>
      </c>
      <c r="B1409" s="62" t="inlineStr">
        <is>
          <t xml:space="preserve">  const last = history.at(-1);</t>
        </is>
      </c>
    </row>
    <row r="1410">
      <c r="A1410" s="61" t="n">
        <v>15</v>
      </c>
      <c r="B1410" s="62" t="inlineStr">
        <is>
          <t xml:space="preserve">  return {</t>
        </is>
      </c>
    </row>
    <row r="1411">
      <c r="A1411" s="61" t="n">
        <v>16</v>
      </c>
      <c r="B1411" s="62" t="inlineStr">
        <is>
          <t xml:space="preserve">    fen: chess.fen(),</t>
        </is>
      </c>
    </row>
    <row r="1412">
      <c r="A1412" s="61" t="n">
        <v>17</v>
      </c>
      <c r="B1412" s="62" t="inlineStr">
        <is>
          <t xml:space="preserve">    sans: history.map((m) =&gt; m.san),</t>
        </is>
      </c>
    </row>
    <row r="1413">
      <c r="A1413" s="61" t="n">
        <v>18</v>
      </c>
      <c r="B1413" s="62" t="inlineStr">
        <is>
          <t xml:space="preserve">    lastMove: last ? { from: last.from, to: last.to } : null,</t>
        </is>
      </c>
    </row>
    <row r="1414">
      <c r="A1414" s="61" t="n">
        <v>19</v>
      </c>
      <c r="B1414" s="62" t="inlineStr">
        <is>
          <t xml:space="preserve">    status: statusOf(chess, resignedBy),</t>
        </is>
      </c>
    </row>
    <row r="1415">
      <c r="A1415" s="61" t="n">
        <v>20</v>
      </c>
      <c r="B1415" s="62" t="inlineStr">
        <is>
          <t xml:space="preserve">  };</t>
        </is>
      </c>
    </row>
    <row r="1416">
      <c r="A1416" s="61" t="n">
        <v>21</v>
      </c>
      <c r="B1416" s="62" t="inlineStr">
        <is>
          <t>}</t>
        </is>
      </c>
    </row>
    <row r="1417">
      <c r="A1417" s="61" t="n">
        <v>22</v>
      </c>
      <c r="B1417" s="62" t="n"/>
    </row>
    <row r="1418">
      <c r="A1418" s="61" t="n">
        <v>23</v>
      </c>
      <c r="B1418" s="62" t="inlineStr">
        <is>
          <t>/** All game state in one hook. The browser plays the whole game; the server re-checks it afterwards.</t>
        </is>
      </c>
    </row>
    <row r="1419">
      <c r="A1419" s="61" t="n">
        <v>24</v>
      </c>
      <c r="B1419" s="62" t="inlineStr">
        <is>
          <t xml:space="preserve"> *  The mutable chess.js object lives in a ref (only touched in handlers/effects);</t>
        </is>
      </c>
    </row>
    <row r="1420">
      <c r="A1420" s="61" t="n">
        <v>25</v>
      </c>
      <c r="B1420" s="62" t="inlineStr">
        <is>
          <t xml:space="preserve"> *  everything the UI renders lives in React state (`view`). */</t>
        </is>
      </c>
    </row>
    <row r="1421">
      <c r="A1421" s="61" t="n">
        <v>26</v>
      </c>
      <c r="B1421" s="62" t="inlineStr">
        <is>
          <t>export function useChessGame(playerSide: Side, opponent: Opponent) {</t>
        </is>
      </c>
    </row>
    <row r="1422">
      <c r="A1422" s="61" t="n">
        <v>27</v>
      </c>
      <c r="B1422" s="62" t="inlineStr">
        <is>
          <t xml:space="preserve">  const chessRef = useRef(new Chess());</t>
        </is>
      </c>
    </row>
    <row r="1423">
      <c r="A1423" s="61" t="n">
        <v>28</v>
      </c>
      <c r="B1423" s="62" t="inlineStr">
        <is>
          <t xml:space="preserve">  const engineRef = useRef&lt;StockfishEngine | null&gt;(null);</t>
        </is>
      </c>
    </row>
    <row r="1424">
      <c r="A1424" s="61" t="n">
        <v>29</v>
      </c>
      <c r="B1424" s="62" t="inlineStr">
        <is>
          <t xml:space="preserve">  const gameIdRef = useRef(0); // increments on restart, so a late engine reply for an old game is ignored</t>
        </is>
      </c>
    </row>
    <row r="1425">
      <c r="A1425" s="61" t="n">
        <v>30</v>
      </c>
      <c r="B1425" s="62" t="inlineStr">
        <is>
          <t xml:space="preserve">  const [view, setView] = useState&lt;View&gt;(() =&gt; viewOf(new Chess()));</t>
        </is>
      </c>
    </row>
    <row r="1426">
      <c r="A1426" s="61" t="n">
        <v>31</v>
      </c>
      <c r="B1426" s="62" t="inlineStr">
        <is>
          <t xml:space="preserve">  const [thinking, setThinking] = useState(false);</t>
        </is>
      </c>
    </row>
    <row r="1427">
      <c r="A1427" s="61" t="n">
        <v>32</v>
      </c>
      <c r="B1427" s="62" t="inlineStr">
        <is>
          <t xml:space="preserve">  const [engineError, setEngineError] = useState&lt;string | null&gt;(null);</t>
        </is>
      </c>
    </row>
    <row r="1428">
      <c r="A1428" s="61" t="n">
        <v>33</v>
      </c>
      <c r="B1428" s="62" t="n"/>
    </row>
    <row r="1429">
      <c r="A1429" s="61" t="n">
        <v>34</v>
      </c>
      <c r="B1429" s="62" t="inlineStr">
        <is>
          <t xml:space="preserve">  useEffect(() =&gt; {</t>
        </is>
      </c>
    </row>
    <row r="1430">
      <c r="A1430" s="61" t="n">
        <v>35</v>
      </c>
      <c r="B1430" s="62" t="inlineStr">
        <is>
          <t xml:space="preserve">    if (opponent.kind === "stockfish") engineRef.current = new StockfishEngine();</t>
        </is>
      </c>
    </row>
    <row r="1431">
      <c r="A1431" s="61" t="n">
        <v>36</v>
      </c>
      <c r="B1431" s="62" t="inlineStr">
        <is>
          <t xml:space="preserve">    return () =&gt; {</t>
        </is>
      </c>
    </row>
    <row r="1432">
      <c r="A1432" s="61" t="n">
        <v>37</v>
      </c>
      <c r="B1432" s="62" t="inlineStr">
        <is>
          <t xml:space="preserve">      engineRef.current?.terminate();</t>
        </is>
      </c>
    </row>
    <row r="1433">
      <c r="A1433" s="61" t="n">
        <v>38</v>
      </c>
      <c r="B1433" s="62" t="inlineStr">
        <is>
          <t xml:space="preserve">      engineRef.current = null;</t>
        </is>
      </c>
    </row>
    <row r="1434">
      <c r="A1434" s="61" t="n">
        <v>39</v>
      </c>
      <c r="B1434" s="62" t="inlineStr">
        <is>
          <t xml:space="preserve">    };</t>
        </is>
      </c>
    </row>
    <row r="1435">
      <c r="A1435" s="61" t="n">
        <v>40</v>
      </c>
      <c r="B1435" s="62" t="inlineStr">
        <is>
          <t xml:space="preserve">  }, [opponent.kind]);</t>
        </is>
      </c>
    </row>
    <row r="1436">
      <c r="A1436" s="61" t="n">
        <v>41</v>
      </c>
      <c r="B1436" s="62" t="n"/>
    </row>
    <row r="1437">
      <c r="A1437" s="61" t="n">
        <v>42</v>
      </c>
      <c r="B1437" s="62" t="inlineStr">
        <is>
          <t xml:space="preserve">  const engineToMove = !view.status.over &amp;&amp; (view.fen.split(" ")[1] as Side) !== playerSide;</t>
        </is>
      </c>
    </row>
    <row r="1438">
      <c r="A1438" s="61" t="n">
        <v>43</v>
      </c>
      <c r="B1438" s="62" t="n"/>
    </row>
    <row r="1439">
      <c r="A1439" s="61" t="n">
        <v>44</v>
      </c>
      <c r="B1439" s="62" t="inlineStr">
        <is>
          <t xml:space="preserve">  // Whenever it becomes the engine's turn, ask it for a move (this also covers "player chose Black").</t>
        </is>
      </c>
    </row>
    <row r="1440">
      <c r="A1440" s="61" t="n">
        <v>45</v>
      </c>
      <c r="B1440" s="62" t="inlineStr">
        <is>
          <t xml:space="preserve">  useEffect(() =&gt; {</t>
        </is>
      </c>
    </row>
    <row r="1441">
      <c r="A1441" s="61" t="n">
        <v>46</v>
      </c>
      <c r="B1441" s="62" t="inlineStr">
        <is>
          <t xml:space="preserve">    if (!engineToMove || engineError) return;</t>
        </is>
      </c>
    </row>
    <row r="1442">
      <c r="A1442" s="61" t="n">
        <v>47</v>
      </c>
      <c r="B1442" s="62" t="inlineStr">
        <is>
          <t xml:space="preserve">    const myGame = gameIdRef.current;</t>
        </is>
      </c>
    </row>
    <row r="1443">
      <c r="A1443" s="61" t="n">
        <v>48</v>
      </c>
      <c r="B1443" s="62" t="inlineStr">
        <is>
          <t xml:space="preserve">    const chess = chessRef.current;</t>
        </is>
      </c>
    </row>
    <row r="1444">
      <c r="A1444" s="61" t="n">
        <v>49</v>
      </c>
      <c r="B1444" s="62" t="inlineStr">
        <is>
          <t xml:space="preserve">    let active = true;</t>
        </is>
      </c>
    </row>
    <row r="1445">
      <c r="A1445" s="61" t="n">
        <v>50</v>
      </c>
      <c r="B1445" s="62" t="inlineStr">
        <is>
          <t xml:space="preserve">    const think = async () =&gt; {</t>
        </is>
      </c>
    </row>
    <row r="1446">
      <c r="A1446" s="61" t="n">
        <v>51</v>
      </c>
      <c r="B1446" s="62" t="inlineStr">
        <is>
          <t xml:space="preserve">      setThinking(true);</t>
        </is>
      </c>
    </row>
    <row r="1447">
      <c r="A1447" s="61" t="n">
        <v>52</v>
      </c>
      <c r="B1447" s="62" t="inlineStr">
        <is>
          <t xml:space="preserve">      try {</t>
        </is>
      </c>
    </row>
    <row r="1448">
      <c r="A1448" s="61" t="n">
        <v>53</v>
      </c>
      <c r="B1448" s="62" t="inlineStr">
        <is>
          <t xml:space="preserve">        const history = chess.history({ verbose: true }).map(uciOf);</t>
        </is>
      </c>
    </row>
    <row r="1449">
      <c r="A1449" s="61" t="n">
        <v>54</v>
      </c>
      <c r="B1449" s="62" t="inlineStr">
        <is>
          <t xml:space="preserve">        const uci = opponent.kind === "legacy"</t>
        </is>
      </c>
    </row>
    <row r="1450">
      <c r="A1450" s="61" t="n">
        <v>55</v>
      </c>
      <c r="B1450" s="62" t="inlineStr">
        <is>
          <t xml:space="preserve">          ? await legacyBestMove(chess.fen())</t>
        </is>
      </c>
    </row>
    <row r="1451">
      <c r="A1451" s="61" t="n">
        <v>56</v>
      </c>
      <c r="B1451" s="62" t="inlineStr">
        <is>
          <t xml:space="preserve">          : await engineRef.current!.bestMove(START_FEN, history, opponent.strength);</t>
        </is>
      </c>
    </row>
    <row r="1452">
      <c r="A1452" s="61" t="n">
        <v>57</v>
      </c>
      <c r="B1452" s="62" t="inlineStr">
        <is>
          <t xml:space="preserve">        if (!active || myGame !== gameIdRef.current) return; // restarted or resigned meanwhile</t>
        </is>
      </c>
    </row>
    <row r="1453">
      <c r="A1453" s="61" t="n">
        <v>58</v>
      </c>
      <c r="B1453" s="62" t="inlineStr">
        <is>
          <t xml:space="preserve">        chess.move(parseUci(uci));</t>
        </is>
      </c>
    </row>
    <row r="1454">
      <c r="A1454" s="61" t="n">
        <v>59</v>
      </c>
      <c r="B1454" s="62" t="inlineStr">
        <is>
          <t xml:space="preserve">        setView(viewOf(chess));</t>
        </is>
      </c>
    </row>
    <row r="1455">
      <c r="A1455" s="61" t="n">
        <v>60</v>
      </c>
      <c r="B1455" s="62" t="inlineStr">
        <is>
          <t xml:space="preserve">      } catch (e) {</t>
        </is>
      </c>
    </row>
    <row r="1456">
      <c r="A1456" s="61" t="n">
        <v>61</v>
      </c>
      <c r="B1456" s="62" t="inlineStr">
        <is>
          <t xml:space="preserve">        if (active &amp;&amp; myGame === gameIdRef.current) setEngineError(e instanceof Error ? e.message : String(e));</t>
        </is>
      </c>
    </row>
    <row r="1457">
      <c r="A1457" s="61" t="n">
        <v>62</v>
      </c>
      <c r="B1457" s="62" t="inlineStr">
        <is>
          <t xml:space="preserve">      } finally {</t>
        </is>
      </c>
    </row>
    <row r="1458">
      <c r="A1458" s="61" t="n">
        <v>63</v>
      </c>
      <c r="B1458" s="62" t="inlineStr">
        <is>
          <t xml:space="preserve">        if (active) setThinking(false);</t>
        </is>
      </c>
    </row>
    <row r="1459">
      <c r="A1459" s="61" t="n">
        <v>64</v>
      </c>
      <c r="B1459" s="62" t="inlineStr">
        <is>
          <t xml:space="preserve">      }</t>
        </is>
      </c>
    </row>
    <row r="1460">
      <c r="A1460" s="61" t="n">
        <v>65</v>
      </c>
      <c r="B1460" s="62" t="inlineStr">
        <is>
          <t xml:space="preserve">    };</t>
        </is>
      </c>
    </row>
    <row r="1461">
      <c r="A1461" s="61" t="n">
        <v>66</v>
      </c>
      <c r="B1461" s="62" t="inlineStr">
        <is>
          <t xml:space="preserve">    void think();</t>
        </is>
      </c>
    </row>
    <row r="1462">
      <c r="A1462" s="61" t="n">
        <v>67</v>
      </c>
      <c r="B1462" s="62" t="inlineStr">
        <is>
          <t xml:space="preserve">    return () =&gt; {</t>
        </is>
      </c>
    </row>
    <row r="1463">
      <c r="A1463" s="61" t="n">
        <v>68</v>
      </c>
      <c r="B1463" s="62" t="inlineStr">
        <is>
          <t xml:space="preserve">      active = false;</t>
        </is>
      </c>
    </row>
    <row r="1464">
      <c r="A1464" s="61" t="n">
        <v>69</v>
      </c>
      <c r="B1464" s="62" t="inlineStr">
        <is>
          <t xml:space="preserve">    };</t>
        </is>
      </c>
    </row>
    <row r="1465">
      <c r="A1465" s="61" t="n">
        <v>70</v>
      </c>
      <c r="B1465" s="62" t="inlineStr">
        <is>
          <t xml:space="preserve">  }, [engineToMove, engineError, view.fen, opponent]);</t>
        </is>
      </c>
    </row>
    <row r="1466">
      <c r="A1466" s="61" t="n">
        <v>71</v>
      </c>
      <c r="B1466" s="62" t="n"/>
    </row>
    <row r="1467">
      <c r="A1467" s="61" t="n">
        <v>72</v>
      </c>
      <c r="B1467" s="62" t="inlineStr">
        <is>
          <t xml:space="preserve">  /** Returns true if the move was legal and played. */</t>
        </is>
      </c>
    </row>
    <row r="1468">
      <c r="A1468" s="61" t="n">
        <v>73</v>
      </c>
      <c r="B1468" s="62" t="inlineStr">
        <is>
          <t xml:space="preserve">  const playMove = useCallback((from: Square, to: Square, promotion?: string): boolean =&gt; {</t>
        </is>
      </c>
    </row>
    <row r="1469">
      <c r="A1469" s="61" t="n">
        <v>74</v>
      </c>
      <c r="B1469" s="62" t="inlineStr">
        <is>
          <t xml:space="preserve">    const chess = chessRef.current;</t>
        </is>
      </c>
    </row>
    <row r="1470">
      <c r="A1470" s="61" t="n">
        <v>75</v>
      </c>
      <c r="B1470" s="62" t="inlineStr">
        <is>
          <t xml:space="preserve">    if (thinking || view.status.over || chess.turn() !== playerSide) return false;</t>
        </is>
      </c>
    </row>
    <row r="1471">
      <c r="A1471" s="61" t="n">
        <v>76</v>
      </c>
      <c r="B1471" s="62" t="inlineStr">
        <is>
          <t xml:space="preserve">    try {</t>
        </is>
      </c>
    </row>
    <row r="1472">
      <c r="A1472" s="61" t="n">
        <v>77</v>
      </c>
      <c r="B1472" s="62" t="inlineStr">
        <is>
          <t xml:space="preserve">      chess.move({ from, to, promotion });</t>
        </is>
      </c>
    </row>
    <row r="1473">
      <c r="A1473" s="61" t="n">
        <v>78</v>
      </c>
      <c r="B1473" s="62" t="inlineStr">
        <is>
          <t xml:space="preserve">    } catch {</t>
        </is>
      </c>
    </row>
    <row r="1474">
      <c r="A1474" s="61" t="n">
        <v>79</v>
      </c>
      <c r="B1474" s="62" t="inlineStr">
        <is>
          <t xml:space="preserve">      return false; // chess.js v1 throws on illegal moves</t>
        </is>
      </c>
    </row>
    <row r="1475">
      <c r="A1475" s="61" t="n">
        <v>80</v>
      </c>
      <c r="B1475" s="62" t="inlineStr">
        <is>
          <t xml:space="preserve">    }</t>
        </is>
      </c>
    </row>
    <row r="1476">
      <c r="A1476" s="61" t="n">
        <v>81</v>
      </c>
      <c r="B1476" s="62" t="inlineStr">
        <is>
          <t xml:space="preserve">    setView(viewOf(chess));</t>
        </is>
      </c>
    </row>
    <row r="1477">
      <c r="A1477" s="61" t="n">
        <v>82</v>
      </c>
      <c r="B1477" s="62" t="inlineStr">
        <is>
          <t xml:space="preserve">    return true;</t>
        </is>
      </c>
    </row>
    <row r="1478">
      <c r="A1478" s="61" t="n">
        <v>83</v>
      </c>
      <c r="B1478" s="62" t="inlineStr">
        <is>
          <t xml:space="preserve">  }, [thinking, view.status.over, playerSide]);</t>
        </is>
      </c>
    </row>
    <row r="1479">
      <c r="A1479" s="61" t="n">
        <v>84</v>
      </c>
      <c r="B1479" s="62" t="n"/>
    </row>
    <row r="1480">
      <c r="A1480" s="61" t="n">
        <v>85</v>
      </c>
      <c r="B1480" s="62" t="inlineStr">
        <is>
          <t xml:space="preserve">  const restart = useCallback(() =&gt; {</t>
        </is>
      </c>
    </row>
    <row r="1481">
      <c r="A1481" s="61" t="n">
        <v>86</v>
      </c>
      <c r="B1481" s="62" t="inlineStr">
        <is>
          <t xml:space="preserve">    gameIdRef.current += 1;</t>
        </is>
      </c>
    </row>
    <row r="1482">
      <c r="A1482" s="61" t="n">
        <v>87</v>
      </c>
      <c r="B1482" s="62" t="inlineStr">
        <is>
          <t xml:space="preserve">    chessRef.current = new Chess();</t>
        </is>
      </c>
    </row>
    <row r="1483">
      <c r="A1483" s="61" t="n">
        <v>88</v>
      </c>
      <c r="B1483" s="62" t="inlineStr">
        <is>
          <t xml:space="preserve">    setThinking(false);</t>
        </is>
      </c>
    </row>
    <row r="1484">
      <c r="A1484" s="61" t="n">
        <v>89</v>
      </c>
      <c r="B1484" s="62" t="inlineStr">
        <is>
          <t xml:space="preserve">    setEngineError(null);</t>
        </is>
      </c>
    </row>
    <row r="1485">
      <c r="A1485" s="61" t="n">
        <v>90</v>
      </c>
      <c r="B1485" s="62" t="inlineStr">
        <is>
          <t xml:space="preserve">    void engineRef.current?.newGame();</t>
        </is>
      </c>
    </row>
    <row r="1486">
      <c r="A1486" s="61" t="n">
        <v>91</v>
      </c>
      <c r="B1486" s="62" t="inlineStr">
        <is>
          <t xml:space="preserve">    setView(viewOf(chessRef.current));</t>
        </is>
      </c>
    </row>
    <row r="1487">
      <c r="A1487" s="61" t="n">
        <v>92</v>
      </c>
      <c r="B1487" s="62" t="inlineStr">
        <is>
          <t xml:space="preserve">  }, []);</t>
        </is>
      </c>
    </row>
    <row r="1488">
      <c r="A1488" s="61" t="n">
        <v>93</v>
      </c>
      <c r="B1488" s="62" t="n"/>
    </row>
    <row r="1489">
      <c r="A1489" s="61" t="n">
        <v>94</v>
      </c>
      <c r="B1489" s="62" t="inlineStr">
        <is>
          <t xml:space="preserve">  const resign = useCallback(() =&gt; {</t>
        </is>
      </c>
    </row>
    <row r="1490">
      <c r="A1490" s="61" t="n">
        <v>95</v>
      </c>
      <c r="B1490" s="62" t="inlineStr">
        <is>
          <t xml:space="preserve">    gameIdRef.current += 1; // drop any in-flight engine reply</t>
        </is>
      </c>
    </row>
    <row r="1491">
      <c r="A1491" s="61" t="n">
        <v>96</v>
      </c>
      <c r="B1491" s="62" t="inlineStr">
        <is>
          <t xml:space="preserve">    setThinking(false);</t>
        </is>
      </c>
    </row>
    <row r="1492">
      <c r="A1492" s="61" t="n">
        <v>97</v>
      </c>
      <c r="B1492" s="62" t="inlineStr">
        <is>
          <t xml:space="preserve">    setView(viewOf(chessRef.current, playerSide));</t>
        </is>
      </c>
    </row>
    <row r="1493">
      <c r="A1493" s="61" t="n">
        <v>98</v>
      </c>
      <c r="B1493" s="62" t="inlineStr">
        <is>
          <t xml:space="preserve">  }, [playerSide]);</t>
        </is>
      </c>
    </row>
    <row r="1494">
      <c r="A1494" s="61" t="n">
        <v>99</v>
      </c>
      <c r="B1494" s="62" t="n"/>
    </row>
    <row r="1495">
      <c r="A1495" s="61" t="n">
        <v>100</v>
      </c>
      <c r="B1495" s="62" t="inlineStr">
        <is>
          <t xml:space="preserve">  /** For event handlers only (e.g. "is this a promotion?"). Never call during render. */</t>
        </is>
      </c>
    </row>
    <row r="1496">
      <c r="A1496" s="61" t="n">
        <v>101</v>
      </c>
      <c r="B1496" s="62" t="inlineStr">
        <is>
          <t xml:space="preserve">  const getChess = useCallback(() =&gt; chessRef.current, []);</t>
        </is>
      </c>
    </row>
    <row r="1497">
      <c r="A1497" s="61" t="n">
        <v>102</v>
      </c>
      <c r="B1497" s="62" t="n"/>
    </row>
    <row r="1498">
      <c r="A1498" s="61" t="n">
        <v>103</v>
      </c>
      <c r="B1498" s="62" t="inlineStr">
        <is>
          <t xml:space="preserve">  return { ...view, thinking, engineError, playMove, restart, resign, getChess,</t>
        </is>
      </c>
    </row>
    <row r="1499">
      <c r="A1499" s="61" t="n">
        <v>104</v>
      </c>
      <c r="B1499" s="62" t="inlineStr">
        <is>
          <t xml:space="preserve">    retryEngine: () =&gt; setEngineError(null) };</t>
        </is>
      </c>
    </row>
    <row r="1500">
      <c r="A1500" s="61" t="n">
        <v>105</v>
      </c>
      <c r="B1500" s="62" t="inlineStr">
        <is>
          <t>}</t>
        </is>
      </c>
    </row>
    <row r="1503">
      <c r="A1503" s="60" t="inlineStr">
        <is>
          <t>C28</t>
        </is>
      </c>
      <c r="B1503" s="60" t="inlineStr">
        <is>
          <t>apps/web/src/components/MoveList.tsx   ·   Phase P4   ·   Accessible move table with current and flagged moves.</t>
        </is>
      </c>
    </row>
    <row r="1504">
      <c r="B1504" s="55" t="inlineStr">
        <is>
          <t>↑ back to Code Index</t>
        </is>
      </c>
    </row>
    <row r="1505">
      <c r="A1505" s="61" t="n">
        <v>1</v>
      </c>
      <c r="B1505" s="62" t="inlineStr">
        <is>
          <t>type Props = { sans: string[]; current?: number; onSelect?: (ply: number) =&gt; void; highlight?: number[] };</t>
        </is>
      </c>
    </row>
    <row r="1506">
      <c r="A1506" s="61" t="n">
        <v>2</v>
      </c>
      <c r="B1506" s="62" t="n"/>
    </row>
    <row r="1507">
      <c r="A1507" s="61" t="n">
        <v>3</v>
      </c>
      <c r="B1507" s="62" t="inlineStr">
        <is>
          <t>export function MoveList({ sans, current, onSelect, highlight = [] }: Props) {</t>
        </is>
      </c>
    </row>
    <row r="1508">
      <c r="A1508" s="61" t="n">
        <v>4</v>
      </c>
      <c r="B1508" s="62" t="inlineStr">
        <is>
          <t xml:space="preserve">  const rows: { n: number; white: number; black?: number }[] = [];</t>
        </is>
      </c>
    </row>
    <row r="1509">
      <c r="A1509" s="61" t="n">
        <v>5</v>
      </c>
      <c r="B1509" s="62" t="inlineStr">
        <is>
          <t xml:space="preserve">  for (let i = 0; i &lt; sans.length; i += 2) rows.push({ n: i / 2 + 1, white: i, black: i + 1 &lt; sans.length ? i + 1 : undefined });</t>
        </is>
      </c>
    </row>
    <row r="1510">
      <c r="A1510" s="61" t="n">
        <v>6</v>
      </c>
      <c r="B1510" s="62" t="inlineStr">
        <is>
          <t xml:space="preserve">  const cell = (ply?: number) =&gt;</t>
        </is>
      </c>
    </row>
    <row r="1511">
      <c r="A1511" s="61" t="n">
        <v>7</v>
      </c>
      <c r="B1511" s="62" t="inlineStr">
        <is>
          <t xml:space="preserve">    ply === undefined ? &lt;td /&gt; : (</t>
        </is>
      </c>
    </row>
    <row r="1512">
      <c r="A1512" s="61" t="n">
        <v>8</v>
      </c>
      <c r="B1512" s="62" t="inlineStr">
        <is>
          <t xml:space="preserve">      &lt;td&gt;</t>
        </is>
      </c>
    </row>
    <row r="1513">
      <c r="A1513" s="61" t="n">
        <v>9</v>
      </c>
      <c r="B1513" s="62" t="inlineStr">
        <is>
          <t xml:space="preserve">        &lt;button</t>
        </is>
      </c>
    </row>
    <row r="1514">
      <c r="A1514" s="61" t="n">
        <v>10</v>
      </c>
      <c r="B1514" s="62" t="inlineStr">
        <is>
          <t xml:space="preserve">          className={`move ${ply === current ? "current" : ""} ${highlight.includes(ply) ? "flagged" : ""}`}</t>
        </is>
      </c>
    </row>
    <row r="1515">
      <c r="A1515" s="61" t="n">
        <v>11</v>
      </c>
      <c r="B1515" s="62" t="inlineStr">
        <is>
          <t xml:space="preserve">          onClick={() =&gt; onSelect?.(ply)}</t>
        </is>
      </c>
    </row>
    <row r="1516">
      <c r="A1516" s="61" t="n">
        <v>12</v>
      </c>
      <c r="B1516" s="62" t="inlineStr">
        <is>
          <t xml:space="preserve">          aria-current={ply === current ? "step" : undefined}</t>
        </is>
      </c>
    </row>
    <row r="1517">
      <c r="A1517" s="61" t="n">
        <v>13</v>
      </c>
      <c r="B1517" s="62" t="inlineStr">
        <is>
          <t xml:space="preserve">        &gt;</t>
        </is>
      </c>
    </row>
    <row r="1518">
      <c r="A1518" s="61" t="n">
        <v>14</v>
      </c>
      <c r="B1518" s="62" t="inlineStr">
        <is>
          <t xml:space="preserve">          {sans[ply]}</t>
        </is>
      </c>
    </row>
    <row r="1519">
      <c r="A1519" s="61" t="n">
        <v>15</v>
      </c>
      <c r="B1519" s="62" t="inlineStr">
        <is>
          <t xml:space="preserve">        &lt;/button&gt;</t>
        </is>
      </c>
    </row>
    <row r="1520">
      <c r="A1520" s="61" t="n">
        <v>16</v>
      </c>
      <c r="B1520" s="62" t="inlineStr">
        <is>
          <t xml:space="preserve">      &lt;/td&gt;</t>
        </is>
      </c>
    </row>
    <row r="1521">
      <c r="A1521" s="61" t="n">
        <v>17</v>
      </c>
      <c r="B1521" s="62" t="inlineStr">
        <is>
          <t xml:space="preserve">    );</t>
        </is>
      </c>
    </row>
    <row r="1522">
      <c r="A1522" s="61" t="n">
        <v>18</v>
      </c>
      <c r="B1522" s="62" t="inlineStr">
        <is>
          <t xml:space="preserve">  return (</t>
        </is>
      </c>
    </row>
    <row r="1523">
      <c r="A1523" s="61" t="n">
        <v>19</v>
      </c>
      <c r="B1523" s="62" t="inlineStr">
        <is>
          <t xml:space="preserve">    &lt;table className="move-list" aria-label="Moves"&gt;</t>
        </is>
      </c>
    </row>
    <row r="1524">
      <c r="A1524" s="61" t="n">
        <v>20</v>
      </c>
      <c r="B1524" s="62" t="inlineStr">
        <is>
          <t xml:space="preserve">      &lt;tbody&gt;</t>
        </is>
      </c>
    </row>
    <row r="1525">
      <c r="A1525" s="61" t="n">
        <v>21</v>
      </c>
      <c r="B1525" s="62" t="inlineStr">
        <is>
          <t xml:space="preserve">        {rows.map((r) =&gt; (</t>
        </is>
      </c>
    </row>
    <row r="1526">
      <c r="A1526" s="61" t="n">
        <v>22</v>
      </c>
      <c r="B1526" s="62" t="inlineStr">
        <is>
          <t xml:space="preserve">          &lt;tr key={r.n}&gt;</t>
        </is>
      </c>
    </row>
    <row r="1527">
      <c r="A1527" s="61" t="n">
        <v>23</v>
      </c>
      <c r="B1527" s="62" t="inlineStr">
        <is>
          <t xml:space="preserve">            &lt;th scope="row"&gt;{r.n}.&lt;/th&gt;</t>
        </is>
      </c>
    </row>
    <row r="1528">
      <c r="A1528" s="61" t="n">
        <v>24</v>
      </c>
      <c r="B1528" s="62" t="inlineStr">
        <is>
          <t xml:space="preserve">            {cell(r.white)}</t>
        </is>
      </c>
    </row>
    <row r="1529">
      <c r="A1529" s="61" t="n">
        <v>25</v>
      </c>
      <c r="B1529" s="62" t="inlineStr">
        <is>
          <t xml:space="preserve">            {cell(r.black)}</t>
        </is>
      </c>
    </row>
    <row r="1530">
      <c r="A1530" s="61" t="n">
        <v>26</v>
      </c>
      <c r="B1530" s="62" t="inlineStr">
        <is>
          <t xml:space="preserve">          &lt;/tr&gt;</t>
        </is>
      </c>
    </row>
    <row r="1531">
      <c r="A1531" s="61" t="n">
        <v>27</v>
      </c>
      <c r="B1531" s="62" t="inlineStr">
        <is>
          <t xml:space="preserve">        ))}</t>
        </is>
      </c>
    </row>
    <row r="1532">
      <c r="A1532" s="61" t="n">
        <v>28</v>
      </c>
      <c r="B1532" s="62" t="inlineStr">
        <is>
          <t xml:space="preserve">      &lt;/tbody&gt;</t>
        </is>
      </c>
    </row>
    <row r="1533">
      <c r="A1533" s="61" t="n">
        <v>29</v>
      </c>
      <c r="B1533" s="62" t="inlineStr">
        <is>
          <t xml:space="preserve">    &lt;/table&gt;</t>
        </is>
      </c>
    </row>
    <row r="1534">
      <c r="A1534" s="61" t="n">
        <v>30</v>
      </c>
      <c r="B1534" s="62" t="inlineStr">
        <is>
          <t xml:space="preserve">  );</t>
        </is>
      </c>
    </row>
    <row r="1535">
      <c r="A1535" s="61" t="n">
        <v>31</v>
      </c>
      <c r="B1535" s="62" t="inlineStr">
        <is>
          <t>}</t>
        </is>
      </c>
    </row>
    <row r="1538">
      <c r="A1538" s="60" t="inlineStr">
        <is>
          <t>C29</t>
        </is>
      </c>
      <c r="B1538" s="60" t="inlineStr">
        <is>
          <t>apps/web/src/components/PromotionDialog.tsx   ·   Phase P4   ·   Accessible dialog for choosing the promotion piece.</t>
        </is>
      </c>
    </row>
    <row r="1539">
      <c r="B1539" s="55" t="inlineStr">
        <is>
          <t>↑ back to Code Index</t>
        </is>
      </c>
    </row>
    <row r="1540">
      <c r="A1540" s="61" t="n">
        <v>1</v>
      </c>
      <c r="B1540" s="62" t="inlineStr">
        <is>
          <t>type Props = { color: "w" | "b"; onPick: (piece: "q" | "r" | "b" | "n") =&gt; void; onCancel: () =&gt; void };</t>
        </is>
      </c>
    </row>
    <row r="1541">
      <c r="A1541" s="61" t="n">
        <v>2</v>
      </c>
      <c r="B1541" s="62" t="n"/>
    </row>
    <row r="1542">
      <c r="A1542" s="61" t="n">
        <v>3</v>
      </c>
      <c r="B1542" s="62" t="inlineStr">
        <is>
          <t>const PIECES = [</t>
        </is>
      </c>
    </row>
    <row r="1543">
      <c r="A1543" s="61" t="n">
        <v>4</v>
      </c>
      <c r="B1543" s="62" t="inlineStr">
        <is>
          <t xml:space="preserve">  { id: "q", name: "Queen", w: "♕", b: "♛" },</t>
        </is>
      </c>
    </row>
    <row r="1544">
      <c r="A1544" s="61" t="n">
        <v>5</v>
      </c>
      <c r="B1544" s="62" t="inlineStr">
        <is>
          <t xml:space="preserve">  { id: "r", name: "Rook", w: "♖", b: "♜" },</t>
        </is>
      </c>
    </row>
    <row r="1545">
      <c r="A1545" s="61" t="n">
        <v>6</v>
      </c>
      <c r="B1545" s="62" t="inlineStr">
        <is>
          <t xml:space="preserve">  { id: "b", name: "Bishop", w: "♗", b: "♝" },</t>
        </is>
      </c>
    </row>
    <row r="1546">
      <c r="A1546" s="61" t="n">
        <v>7</v>
      </c>
      <c r="B1546" s="62" t="inlineStr">
        <is>
          <t xml:space="preserve">  { id: "n", name: "Knight", w: "♘", b: "♞" },</t>
        </is>
      </c>
    </row>
    <row r="1547">
      <c r="A1547" s="61" t="n">
        <v>8</v>
      </c>
      <c r="B1547" s="62" t="inlineStr">
        <is>
          <t>] as const;</t>
        </is>
      </c>
    </row>
    <row r="1548">
      <c r="A1548" s="61" t="n">
        <v>9</v>
      </c>
      <c r="B1548" s="62" t="n"/>
    </row>
    <row r="1549">
      <c r="A1549" s="61" t="n">
        <v>10</v>
      </c>
      <c r="B1549" s="62" t="inlineStr">
        <is>
          <t>export function PromotionDialog({ color, onPick, onCancel }: Props) {</t>
        </is>
      </c>
    </row>
    <row r="1550">
      <c r="A1550" s="61" t="n">
        <v>11</v>
      </c>
      <c r="B1550" s="62" t="inlineStr">
        <is>
          <t xml:space="preserve">  return (</t>
        </is>
      </c>
    </row>
    <row r="1551">
      <c r="A1551" s="61" t="n">
        <v>12</v>
      </c>
      <c r="B1551" s="62" t="inlineStr">
        <is>
          <t xml:space="preserve">    &lt;div role="dialog" aria-modal="true" aria-labelledby="promo-title" className="dialog-backdrop"&gt;</t>
        </is>
      </c>
    </row>
    <row r="1552">
      <c r="A1552" s="61" t="n">
        <v>13</v>
      </c>
      <c r="B1552" s="62" t="inlineStr">
        <is>
          <t xml:space="preserve">      &lt;div className="dialog"&gt;</t>
        </is>
      </c>
    </row>
    <row r="1553">
      <c r="A1553" s="61" t="n">
        <v>14</v>
      </c>
      <c r="B1553" s="62" t="inlineStr">
        <is>
          <t xml:space="preserve">        &lt;h2 id="promo-title"&gt;Promote pawn to&lt;/h2&gt;</t>
        </is>
      </c>
    </row>
    <row r="1554">
      <c r="A1554" s="61" t="n">
        <v>15</v>
      </c>
      <c r="B1554" s="62" t="inlineStr">
        <is>
          <t xml:space="preserve">        &lt;div className="promo-row"&gt;</t>
        </is>
      </c>
    </row>
    <row r="1555">
      <c r="A1555" s="61" t="n">
        <v>16</v>
      </c>
      <c r="B1555" s="62" t="inlineStr">
        <is>
          <t xml:space="preserve">          {PIECES.map((p) =&gt; (</t>
        </is>
      </c>
    </row>
    <row r="1556">
      <c r="A1556" s="61" t="n">
        <v>17</v>
      </c>
      <c r="B1556" s="62" t="inlineStr">
        <is>
          <t xml:space="preserve">            &lt;button key={p.id} onClick={() =&gt; onPick(p.id)} aria-label={p.name} autoFocus={p.id === "q"}&gt;</t>
        </is>
      </c>
    </row>
    <row r="1557">
      <c r="A1557" s="61" t="n">
        <v>18</v>
      </c>
      <c r="B1557" s="62" t="inlineStr">
        <is>
          <t xml:space="preserve">              &lt;span className="promo-glyph"&gt;{p[color]}&lt;/span&gt;</t>
        </is>
      </c>
    </row>
    <row r="1558">
      <c r="A1558" s="61" t="n">
        <v>19</v>
      </c>
      <c r="B1558" s="62" t="inlineStr">
        <is>
          <t xml:space="preserve">              {p.name}</t>
        </is>
      </c>
    </row>
    <row r="1559">
      <c r="A1559" s="61" t="n">
        <v>20</v>
      </c>
      <c r="B1559" s="62" t="inlineStr">
        <is>
          <t xml:space="preserve">            &lt;/button&gt;</t>
        </is>
      </c>
    </row>
    <row r="1560">
      <c r="A1560" s="61" t="n">
        <v>21</v>
      </c>
      <c r="B1560" s="62" t="inlineStr">
        <is>
          <t xml:space="preserve">          ))}</t>
        </is>
      </c>
    </row>
    <row r="1561">
      <c r="A1561" s="61" t="n">
        <v>22</v>
      </c>
      <c r="B1561" s="62" t="inlineStr">
        <is>
          <t xml:space="preserve">        &lt;/div&gt;</t>
        </is>
      </c>
    </row>
    <row r="1562">
      <c r="A1562" s="61" t="n">
        <v>23</v>
      </c>
      <c r="B1562" s="62" t="inlineStr">
        <is>
          <t xml:space="preserve">        &lt;button className="link" onClick={onCancel}&gt;Cancel&lt;/button&gt;</t>
        </is>
      </c>
    </row>
    <row r="1563">
      <c r="A1563" s="61" t="n">
        <v>24</v>
      </c>
      <c r="B1563" s="62" t="inlineStr">
        <is>
          <t xml:space="preserve">      &lt;/div&gt;</t>
        </is>
      </c>
    </row>
    <row r="1564">
      <c r="A1564" s="61" t="n">
        <v>25</v>
      </c>
      <c r="B1564" s="62" t="inlineStr">
        <is>
          <t xml:space="preserve">    &lt;/div&gt;</t>
        </is>
      </c>
    </row>
    <row r="1565">
      <c r="A1565" s="61" t="n">
        <v>26</v>
      </c>
      <c r="B1565" s="62" t="inlineStr">
        <is>
          <t xml:space="preserve">  );</t>
        </is>
      </c>
    </row>
    <row r="1566">
      <c r="A1566" s="61" t="n">
        <v>27</v>
      </c>
      <c r="B1566" s="62" t="inlineStr">
        <is>
          <t>}</t>
        </is>
      </c>
    </row>
    <row r="1569">
      <c r="A1569" s="60" t="inlineStr">
        <is>
          <t>C30</t>
        </is>
      </c>
      <c r="B1569" s="60" t="inlineStr">
        <is>
          <t>apps/web/src/pages/PlayPage.tsx   ·   Phase P4   ·   Setup, board (drag + click-to-move), status, actions, save for review.</t>
        </is>
      </c>
    </row>
    <row r="1570">
      <c r="B1570" s="55" t="inlineStr">
        <is>
          <t>↑ back to Code Index</t>
        </is>
      </c>
    </row>
    <row r="1571">
      <c r="A1571" s="61" t="n">
        <v>1</v>
      </c>
      <c r="B1571" s="62" t="inlineStr">
        <is>
          <t>import type { Square } from "chess.js";</t>
        </is>
      </c>
    </row>
    <row r="1572">
      <c r="A1572" s="61" t="n">
        <v>2</v>
      </c>
      <c r="B1572" s="62" t="inlineStr">
        <is>
          <t>import { type CSSProperties, useMemo, useState } from "react";</t>
        </is>
      </c>
    </row>
    <row r="1573">
      <c r="A1573" s="61" t="n">
        <v>3</v>
      </c>
      <c r="B1573" s="62" t="inlineStr">
        <is>
          <t>import { Chessboard } from "react-chessboard";</t>
        </is>
      </c>
    </row>
    <row r="1574">
      <c r="A1574" s="61" t="n">
        <v>4</v>
      </c>
      <c r="B1574" s="62" t="inlineStr">
        <is>
          <t>import { Link } from "react-router-dom";</t>
        </is>
      </c>
    </row>
    <row r="1575">
      <c r="A1575" s="61" t="n">
        <v>5</v>
      </c>
      <c r="B1575" s="62" t="inlineStr">
        <is>
          <t>import { ApiError, post } from "../api/client";</t>
        </is>
      </c>
    </row>
    <row r="1576">
      <c r="A1576" s="61" t="n">
        <v>6</v>
      </c>
      <c r="B1576" s="62" t="inlineStr">
        <is>
          <t>import type { GameCreated } from "../api/types";</t>
        </is>
      </c>
    </row>
    <row r="1577">
      <c r="A1577" s="61" t="n">
        <v>7</v>
      </c>
      <c r="B1577" s="62" t="inlineStr">
        <is>
          <t>import { MoveList } from "../components/MoveList";</t>
        </is>
      </c>
    </row>
    <row r="1578">
      <c r="A1578" s="61" t="n">
        <v>8</v>
      </c>
      <c r="B1578" s="62" t="inlineStr">
        <is>
          <t>import { PromotionDialog } from "../components/PromotionDialog";</t>
        </is>
      </c>
    </row>
    <row r="1579">
      <c r="A1579" s="61" t="n">
        <v>9</v>
      </c>
      <c r="B1579" s="62" t="inlineStr">
        <is>
          <t>import { STRENGTHS } from "../engine/stockfish";</t>
        </is>
      </c>
    </row>
    <row r="1580">
      <c r="A1580" s="61" t="n">
        <v>10</v>
      </c>
      <c r="B1580" s="62" t="inlineStr">
        <is>
          <t>import { buildPgn, isPromotion } from "../game/chessHelpers";</t>
        </is>
      </c>
    </row>
    <row r="1581">
      <c r="A1581" s="61" t="n">
        <v>11</v>
      </c>
      <c r="B1581" s="62" t="inlineStr">
        <is>
          <t>import { useChessGame, type Opponent, type Side } from "../game/useChessGame";</t>
        </is>
      </c>
    </row>
    <row r="1582">
      <c r="A1582" s="61" t="n">
        <v>12</v>
      </c>
      <c r="B1582" s="62" t="n"/>
    </row>
    <row r="1583">
      <c r="A1583" s="61" t="n">
        <v>13</v>
      </c>
      <c r="B1583" s="62" t="inlineStr">
        <is>
          <t>export function PlayPage() {</t>
        </is>
      </c>
    </row>
    <row r="1584">
      <c r="A1584" s="61" t="n">
        <v>14</v>
      </c>
      <c r="B1584" s="62" t="inlineStr">
        <is>
          <t xml:space="preserve">  const [side, setSide] = useState&lt;Side&gt;("w");</t>
        </is>
      </c>
    </row>
    <row r="1585">
      <c r="A1585" s="61" t="n">
        <v>15</v>
      </c>
      <c r="B1585" s="62" t="inlineStr">
        <is>
          <t xml:space="preserve">  const [opponentId, setOpponentId] = useState("casual");</t>
        </is>
      </c>
    </row>
    <row r="1586">
      <c r="A1586" s="61" t="n">
        <v>16</v>
      </c>
      <c r="B1586" s="62" t="inlineStr">
        <is>
          <t xml:space="preserve">  const [started, setStarted] = useState(false);</t>
        </is>
      </c>
    </row>
    <row r="1587">
      <c r="A1587" s="61" t="n">
        <v>17</v>
      </c>
      <c r="B1587" s="62" t="n"/>
    </row>
    <row r="1588">
      <c r="A1588" s="61" t="n">
        <v>18</v>
      </c>
      <c r="B1588" s="62" t="inlineStr">
        <is>
          <t xml:space="preserve">  if (!started) {</t>
        </is>
      </c>
    </row>
    <row r="1589">
      <c r="A1589" s="61" t="n">
        <v>19</v>
      </c>
      <c r="B1589" s="62" t="inlineStr">
        <is>
          <t xml:space="preserve">    return (</t>
        </is>
      </c>
    </row>
    <row r="1590">
      <c r="A1590" s="61" t="n">
        <v>20</v>
      </c>
      <c r="B1590" s="62" t="inlineStr">
        <is>
          <t xml:space="preserve">      &lt;section className="setup"&gt;</t>
        </is>
      </c>
    </row>
    <row r="1591">
      <c r="A1591" s="61" t="n">
        <v>21</v>
      </c>
      <c r="B1591" s="62" t="inlineStr">
        <is>
          <t xml:space="preserve">        &lt;h1&gt;Play against the engine&lt;/h1&gt;</t>
        </is>
      </c>
    </row>
    <row r="1592">
      <c r="A1592" s="61" t="n">
        <v>22</v>
      </c>
      <c r="B1592" s="62" t="inlineStr">
        <is>
          <t xml:space="preserve">        &lt;fieldset&gt;</t>
        </is>
      </c>
    </row>
    <row r="1593">
      <c r="A1593" s="61" t="n">
        <v>23</v>
      </c>
      <c r="B1593" s="62" t="inlineStr">
        <is>
          <t xml:space="preserve">          &lt;legend&gt;Your side&lt;/legend&gt;</t>
        </is>
      </c>
    </row>
    <row r="1594">
      <c r="A1594" s="61" t="n">
        <v>24</v>
      </c>
      <c r="B1594" s="62" t="inlineStr">
        <is>
          <t xml:space="preserve">          &lt;label&gt;&lt;input type="radio" checked={side === "w"} onChange={() =&gt; setSide("w")} /&gt; White&lt;/label&gt;</t>
        </is>
      </c>
    </row>
    <row r="1595">
      <c r="A1595" s="61" t="n">
        <v>25</v>
      </c>
      <c r="B1595" s="62" t="inlineStr">
        <is>
          <t xml:space="preserve">          &lt;label&gt;&lt;input type="radio" checked={side === "b"} onChange={() =&gt; setSide("b")} /&gt; Black&lt;/label&gt;</t>
        </is>
      </c>
    </row>
    <row r="1596">
      <c r="A1596" s="61" t="n">
        <v>26</v>
      </c>
      <c r="B1596" s="62" t="inlineStr">
        <is>
          <t xml:space="preserve">        &lt;/fieldset&gt;</t>
        </is>
      </c>
    </row>
    <row r="1597">
      <c r="A1597" s="61" t="n">
        <v>27</v>
      </c>
      <c r="B1597" s="62" t="inlineStr">
        <is>
          <t xml:space="preserve">        &lt;label&gt;</t>
        </is>
      </c>
    </row>
    <row r="1598">
      <c r="A1598" s="61" t="n">
        <v>28</v>
      </c>
      <c r="B1598" s="62" t="inlineStr">
        <is>
          <t xml:space="preserve">          Opponent</t>
        </is>
      </c>
    </row>
    <row r="1599">
      <c r="A1599" s="61" t="n">
        <v>29</v>
      </c>
      <c r="B1599" s="62" t="inlineStr">
        <is>
          <t xml:space="preserve">          &lt;select value={opponentId} onChange={(e) =&gt; setOpponentId(e.target.value)}&gt;</t>
        </is>
      </c>
    </row>
    <row r="1600">
      <c r="A1600" s="61" t="n">
        <v>30</v>
      </c>
      <c r="B1600" s="62" t="inlineStr">
        <is>
          <t xml:space="preserve">            {STRENGTHS.map((s) =&gt; &lt;option key={s.id} value={s.id}&gt;Stockfish: {s.label}&lt;/option&gt;)}</t>
        </is>
      </c>
    </row>
    <row r="1601">
      <c r="A1601" s="61" t="n">
        <v>31</v>
      </c>
      <c r="B1601" s="62" t="inlineStr">
        <is>
          <t xml:space="preserve">            &lt;option value="legacy"&gt;My original engine (minimax, depth 3)&lt;/option&gt;</t>
        </is>
      </c>
    </row>
    <row r="1602">
      <c r="A1602" s="61" t="n">
        <v>32</v>
      </c>
      <c r="B1602" s="62" t="inlineStr">
        <is>
          <t xml:space="preserve">          &lt;/select&gt;</t>
        </is>
      </c>
    </row>
    <row r="1603">
      <c r="A1603" s="61" t="n">
        <v>33</v>
      </c>
      <c r="B1603" s="62" t="inlineStr">
        <is>
          <t xml:space="preserve">        &lt;/label&gt;</t>
        </is>
      </c>
    </row>
    <row r="1604">
      <c r="A1604" s="61" t="n">
        <v>34</v>
      </c>
      <c r="B1604" s="62" t="inlineStr">
        <is>
          <t xml:space="preserve">        &lt;button className="primary" onClick={() =&gt; setStarted(true)}&gt;Start game&lt;/button&gt;</t>
        </is>
      </c>
    </row>
    <row r="1605">
      <c r="A1605" s="61" t="n">
        <v>35</v>
      </c>
      <c r="B1605" s="62" t="inlineStr">
        <is>
          <t xml:space="preserve">      &lt;/section&gt;</t>
        </is>
      </c>
    </row>
    <row r="1606">
      <c r="A1606" s="61" t="n">
        <v>36</v>
      </c>
      <c r="B1606" s="62" t="inlineStr">
        <is>
          <t xml:space="preserve">    );</t>
        </is>
      </c>
    </row>
    <row r="1607">
      <c r="A1607" s="61" t="n">
        <v>37</v>
      </c>
      <c r="B1607" s="62" t="inlineStr">
        <is>
          <t xml:space="preserve">  }</t>
        </is>
      </c>
    </row>
    <row r="1608">
      <c r="A1608" s="61" t="n">
        <v>38</v>
      </c>
      <c r="B1608" s="62" t="inlineStr">
        <is>
          <t xml:space="preserve">  const opponent: Opponent = opponentId === "legacy"</t>
        </is>
      </c>
    </row>
    <row r="1609">
      <c r="A1609" s="61" t="n">
        <v>39</v>
      </c>
      <c r="B1609" s="62" t="inlineStr">
        <is>
          <t xml:space="preserve">    ? { kind: "legacy" }</t>
        </is>
      </c>
    </row>
    <row r="1610">
      <c r="A1610" s="61" t="n">
        <v>40</v>
      </c>
      <c r="B1610" s="62" t="inlineStr">
        <is>
          <t xml:space="preserve">    : { kind: "stockfish", strength: STRENGTHS.find((s) =&gt; s.id === opponentId)! };</t>
        </is>
      </c>
    </row>
    <row r="1611">
      <c r="A1611" s="61" t="n">
        <v>41</v>
      </c>
      <c r="B1611" s="62" t="inlineStr">
        <is>
          <t xml:space="preserve">  return &lt;Game side={side} opponent={opponent} onNewGame={() =&gt; setStarted(false)} /&gt;;</t>
        </is>
      </c>
    </row>
    <row r="1612">
      <c r="A1612" s="61" t="n">
        <v>42</v>
      </c>
      <c r="B1612" s="62" t="inlineStr">
        <is>
          <t>}</t>
        </is>
      </c>
    </row>
    <row r="1613">
      <c r="A1613" s="61" t="n">
        <v>43</v>
      </c>
      <c r="B1613" s="62" t="n"/>
    </row>
    <row r="1614">
      <c r="A1614" s="61" t="n">
        <v>44</v>
      </c>
      <c r="B1614" s="62" t="inlineStr">
        <is>
          <t>function Game({ side, opponent, onNewGame }: { side: Side; opponent: Opponent; onNewGame: () =&gt; void }) {</t>
        </is>
      </c>
    </row>
    <row r="1615">
      <c r="A1615" s="61" t="n">
        <v>45</v>
      </c>
      <c r="B1615" s="62" t="inlineStr">
        <is>
          <t xml:space="preserve">  const game = useChessGame(side, opponent);</t>
        </is>
      </c>
    </row>
    <row r="1616">
      <c r="A1616" s="61" t="n">
        <v>46</v>
      </c>
      <c r="B1616" s="62" t="inlineStr">
        <is>
          <t xml:space="preserve">  const [selected, setSelected] = useState&lt;Square | null&gt;(null);</t>
        </is>
      </c>
    </row>
    <row r="1617">
      <c r="A1617" s="61" t="n">
        <v>47</v>
      </c>
      <c r="B1617" s="62" t="inlineStr">
        <is>
          <t xml:space="preserve">  const [pendingPromotion, setPendingPromotion] = useState&lt;{ from: Square; to: Square } | null&gt;(null);</t>
        </is>
      </c>
    </row>
    <row r="1618">
      <c r="A1618" s="61" t="n">
        <v>48</v>
      </c>
      <c r="B1618" s="62" t="inlineStr">
        <is>
          <t xml:space="preserve">  const [saved, setSaved] = useState&lt;GameCreated | null&gt;(null);</t>
        </is>
      </c>
    </row>
    <row r="1619">
      <c r="A1619" s="61" t="n">
        <v>49</v>
      </c>
      <c r="B1619" s="62" t="inlineStr">
        <is>
          <t xml:space="preserve">  const [saveError, setSaveError] = useState&lt;string | null&gt;(null);</t>
        </is>
      </c>
    </row>
    <row r="1620">
      <c r="A1620" s="61" t="n">
        <v>50</v>
      </c>
      <c r="B1620" s="62" t="inlineStr">
        <is>
          <t xml:space="preserve">  const [saving, setSaving] = useState(false);</t>
        </is>
      </c>
    </row>
    <row r="1621">
      <c r="A1621" s="61" t="n">
        <v>51</v>
      </c>
      <c r="B1621" s="62" t="inlineStr">
        <is>
          <t xml:space="preserve">  const [today] = useState(() =&gt; new Date().toISOString().slice(0, 10).replace(/-/g, "."));</t>
        </is>
      </c>
    </row>
    <row r="1622">
      <c r="A1622" s="61" t="n">
        <v>52</v>
      </c>
      <c r="B1622" s="62" t="inlineStr">
        <is>
          <t xml:space="preserve">  const engineLabel = opponent.kind === "legacy" ? "original-minimax-d3" : `stockfish-wasm-${opponent.strength.id}`;</t>
        </is>
      </c>
    </row>
    <row r="1623">
      <c r="A1623" s="61" t="n">
        <v>53</v>
      </c>
      <c r="B1623" s="62" t="n"/>
    </row>
    <row r="1624">
      <c r="A1624" s="61" t="n">
        <v>54</v>
      </c>
      <c r="B1624" s="62" t="inlineStr">
        <is>
          <t xml:space="preserve">  const pgn = useMemo(() =&gt; buildPgn(game.sans, {</t>
        </is>
      </c>
    </row>
    <row r="1625">
      <c r="A1625" s="61" t="n">
        <v>55</v>
      </c>
      <c r="B1625" s="62" t="inlineStr">
        <is>
          <t xml:space="preserve">    Event: "ChessLab game", Site: window.location.host, Date: today,</t>
        </is>
      </c>
    </row>
    <row r="1626">
      <c r="A1626" s="61" t="n">
        <v>56</v>
      </c>
      <c r="B1626" s="62" t="inlineStr">
        <is>
          <t xml:space="preserve">    White: side === "w" ? "You" : engineLabel, Black: side === "b" ? "You" : engineLabel, Result: game.status.result,</t>
        </is>
      </c>
    </row>
    <row r="1627">
      <c r="A1627" s="61" t="n">
        <v>57</v>
      </c>
      <c r="B1627" s="62" t="inlineStr">
        <is>
          <t xml:space="preserve">  }), [game.sans, game.status.result, side, engineLabel, today]);</t>
        </is>
      </c>
    </row>
    <row r="1628">
      <c r="A1628" s="61" t="n">
        <v>58</v>
      </c>
      <c r="B1628" s="62" t="n"/>
    </row>
    <row r="1629">
      <c r="A1629" s="61" t="n">
        <v>59</v>
      </c>
      <c r="B1629" s="62" t="inlineStr">
        <is>
          <t xml:space="preserve">  function tryMove(from: Square, to: Square): boolean {</t>
        </is>
      </c>
    </row>
    <row r="1630">
      <c r="A1630" s="61" t="n">
        <v>60</v>
      </c>
      <c r="B1630" s="62" t="inlineStr">
        <is>
          <t xml:space="preserve">    if (isPromotion(game.getChess(), from, to)) {</t>
        </is>
      </c>
    </row>
    <row r="1631">
      <c r="A1631" s="61" t="n">
        <v>61</v>
      </c>
      <c r="B1631" s="62" t="inlineStr">
        <is>
          <t xml:space="preserve">      setPendingPromotion({ from, to });</t>
        </is>
      </c>
    </row>
    <row r="1632">
      <c r="A1632" s="61" t="n">
        <v>62</v>
      </c>
      <c r="B1632" s="62" t="inlineStr">
        <is>
          <t xml:space="preserve">      return false; // wait for the dialog</t>
        </is>
      </c>
    </row>
    <row r="1633">
      <c r="A1633" s="61" t="n">
        <v>63</v>
      </c>
      <c r="B1633" s="62" t="inlineStr">
        <is>
          <t xml:space="preserve">    }</t>
        </is>
      </c>
    </row>
    <row r="1634">
      <c r="A1634" s="61" t="n">
        <v>64</v>
      </c>
      <c r="B1634" s="62" t="inlineStr">
        <is>
          <t xml:space="preserve">    const ok = game.playMove(from, to);</t>
        </is>
      </c>
    </row>
    <row r="1635">
      <c r="A1635" s="61" t="n">
        <v>65</v>
      </c>
      <c r="B1635" s="62" t="inlineStr">
        <is>
          <t xml:space="preserve">    setSelected(null);</t>
        </is>
      </c>
    </row>
    <row r="1636">
      <c r="A1636" s="61" t="n">
        <v>66</v>
      </c>
      <c r="B1636" s="62" t="inlineStr">
        <is>
          <t xml:space="preserve">    return ok;</t>
        </is>
      </c>
    </row>
    <row r="1637">
      <c r="A1637" s="61" t="n">
        <v>67</v>
      </c>
      <c r="B1637" s="62" t="inlineStr">
        <is>
          <t xml:space="preserve">  }</t>
        </is>
      </c>
    </row>
    <row r="1638">
      <c r="A1638" s="61" t="n">
        <v>68</v>
      </c>
      <c r="B1638" s="62" t="n"/>
    </row>
    <row r="1639">
      <c r="A1639" s="61" t="n">
        <v>69</v>
      </c>
      <c r="B1639" s="62" t="inlineStr">
        <is>
          <t xml:space="preserve">  function onSquareClick(square: Square) {</t>
        </is>
      </c>
    </row>
    <row r="1640">
      <c r="A1640" s="61" t="n">
        <v>70</v>
      </c>
      <c r="B1640" s="62" t="inlineStr">
        <is>
          <t xml:space="preserve">    // Click-to-move: first click selects your piece, second click moves it (works on touch screens too).</t>
        </is>
      </c>
    </row>
    <row r="1641">
      <c r="A1641" s="61" t="n">
        <v>71</v>
      </c>
      <c r="B1641" s="62" t="inlineStr">
        <is>
          <t xml:space="preserve">    const piece = game.getChess().get(square);</t>
        </is>
      </c>
    </row>
    <row r="1642">
      <c r="A1642" s="61" t="n">
        <v>72</v>
      </c>
      <c r="B1642" s="62" t="inlineStr">
        <is>
          <t xml:space="preserve">    if (selected &amp;&amp; selected !== square &amp;&amp; !(piece &amp;&amp; piece.color === side)) {</t>
        </is>
      </c>
    </row>
    <row r="1643">
      <c r="A1643" s="61" t="n">
        <v>73</v>
      </c>
      <c r="B1643" s="62" t="inlineStr">
        <is>
          <t xml:space="preserve">      tryMove(selected, square);</t>
        </is>
      </c>
    </row>
    <row r="1644">
      <c r="A1644" s="61" t="n">
        <v>74</v>
      </c>
      <c r="B1644" s="62" t="inlineStr">
        <is>
          <t xml:space="preserve">      return;</t>
        </is>
      </c>
    </row>
    <row r="1645">
      <c r="A1645" s="61" t="n">
        <v>75</v>
      </c>
      <c r="B1645" s="62" t="inlineStr">
        <is>
          <t xml:space="preserve">    }</t>
        </is>
      </c>
    </row>
    <row r="1646">
      <c r="A1646" s="61" t="n">
        <v>76</v>
      </c>
      <c r="B1646" s="62" t="inlineStr">
        <is>
          <t xml:space="preserve">    setSelected(piece &amp;&amp; piece.color === side ? square : null);</t>
        </is>
      </c>
    </row>
    <row r="1647">
      <c r="A1647" s="61" t="n">
        <v>77</v>
      </c>
      <c r="B1647" s="62" t="inlineStr">
        <is>
          <t xml:space="preserve">  }</t>
        </is>
      </c>
    </row>
    <row r="1648">
      <c r="A1648" s="61" t="n">
        <v>78</v>
      </c>
      <c r="B1648" s="62" t="n"/>
    </row>
    <row r="1649">
      <c r="A1649" s="61" t="n">
        <v>79</v>
      </c>
      <c r="B1649" s="62" t="inlineStr">
        <is>
          <t xml:space="preserve">  async function saveForReview() {</t>
        </is>
      </c>
    </row>
    <row r="1650">
      <c r="A1650" s="61" t="n">
        <v>80</v>
      </c>
      <c r="B1650" s="62" t="inlineStr">
        <is>
          <t xml:space="preserve">    setSaving(true);</t>
        </is>
      </c>
    </row>
    <row r="1651">
      <c r="A1651" s="61" t="n">
        <v>81</v>
      </c>
      <c r="B1651" s="62" t="inlineStr">
        <is>
          <t xml:space="preserve">    setSaveError(null);</t>
        </is>
      </c>
    </row>
    <row r="1652">
      <c r="A1652" s="61" t="n">
        <v>82</v>
      </c>
      <c r="B1652" s="62" t="inlineStr">
        <is>
          <t xml:space="preserve">    try {</t>
        </is>
      </c>
    </row>
    <row r="1653">
      <c r="A1653" s="61" t="n">
        <v>83</v>
      </c>
      <c r="B1653" s="62" t="inlineStr">
        <is>
          <t xml:space="preserve">      setSaved(await post&lt;GameCreated&gt;("/v1/games", {</t>
        </is>
      </c>
    </row>
    <row r="1654">
      <c r="A1654" s="61" t="n">
        <v>84</v>
      </c>
      <c r="B1654" s="62" t="inlineStr">
        <is>
          <t xml:space="preserve">        pgn, player_color: side === "w" ? "white" : "black", engine_label: engineLabel,</t>
        </is>
      </c>
    </row>
    <row r="1655">
      <c r="A1655" s="61" t="n">
        <v>85</v>
      </c>
      <c r="B1655" s="62" t="inlineStr">
        <is>
          <t xml:space="preserve">      }));</t>
        </is>
      </c>
    </row>
    <row r="1656">
      <c r="A1656" s="61" t="n">
        <v>86</v>
      </c>
      <c r="B1656" s="62" t="inlineStr">
        <is>
          <t xml:space="preserve">    } catch (e) {</t>
        </is>
      </c>
    </row>
    <row r="1657">
      <c r="A1657" s="61" t="n">
        <v>87</v>
      </c>
      <c r="B1657" s="62" t="inlineStr">
        <is>
          <t xml:space="preserve">      setSaveError(e instanceof ApiError ? e.message : "Could not save the game.");</t>
        </is>
      </c>
    </row>
    <row r="1658">
      <c r="A1658" s="61" t="n">
        <v>88</v>
      </c>
      <c r="B1658" s="62" t="inlineStr">
        <is>
          <t xml:space="preserve">    } finally {</t>
        </is>
      </c>
    </row>
    <row r="1659">
      <c r="A1659" s="61" t="n">
        <v>89</v>
      </c>
      <c r="B1659" s="62" t="inlineStr">
        <is>
          <t xml:space="preserve">      setSaving(false);</t>
        </is>
      </c>
    </row>
    <row r="1660">
      <c r="A1660" s="61" t="n">
        <v>90</v>
      </c>
      <c r="B1660" s="62" t="inlineStr">
        <is>
          <t xml:space="preserve">    }</t>
        </is>
      </c>
    </row>
    <row r="1661">
      <c r="A1661" s="61" t="n">
        <v>91</v>
      </c>
      <c r="B1661" s="62" t="inlineStr">
        <is>
          <t xml:space="preserve">  }</t>
        </is>
      </c>
    </row>
    <row r="1662">
      <c r="A1662" s="61" t="n">
        <v>92</v>
      </c>
      <c r="B1662" s="62" t="n"/>
    </row>
    <row r="1663">
      <c r="A1663" s="61" t="n">
        <v>93</v>
      </c>
      <c r="B1663" s="62" t="inlineStr">
        <is>
          <t xml:space="preserve">  function downloadPgn() {</t>
        </is>
      </c>
    </row>
    <row r="1664">
      <c r="A1664" s="61" t="n">
        <v>94</v>
      </c>
      <c r="B1664" s="62" t="inlineStr">
        <is>
          <t xml:space="preserve">    const url = URL.createObjectURL(new Blob([pgn], { type: "application/x-chess-pgn" }));</t>
        </is>
      </c>
    </row>
    <row r="1665">
      <c r="A1665" s="61" t="n">
        <v>95</v>
      </c>
      <c r="B1665" s="62" t="inlineStr">
        <is>
          <t xml:space="preserve">    const a = document.createElement("a");</t>
        </is>
      </c>
    </row>
    <row r="1666">
      <c r="A1666" s="61" t="n">
        <v>96</v>
      </c>
      <c r="B1666" s="62" t="inlineStr">
        <is>
          <t xml:space="preserve">    a.href = url;</t>
        </is>
      </c>
    </row>
    <row r="1667">
      <c r="A1667" s="61" t="n">
        <v>97</v>
      </c>
      <c r="B1667" s="62" t="inlineStr">
        <is>
          <t xml:space="preserve">    a.download = "chesslab-game.pgn";</t>
        </is>
      </c>
    </row>
    <row r="1668">
      <c r="A1668" s="61" t="n">
        <v>98</v>
      </c>
      <c r="B1668" s="62" t="inlineStr">
        <is>
          <t xml:space="preserve">    a.click();</t>
        </is>
      </c>
    </row>
    <row r="1669">
      <c r="A1669" s="61" t="n">
        <v>99</v>
      </c>
      <c r="B1669" s="62" t="inlineStr">
        <is>
          <t xml:space="preserve">    URL.revokeObjectURL(url);</t>
        </is>
      </c>
    </row>
    <row r="1670">
      <c r="A1670" s="61" t="n">
        <v>100</v>
      </c>
      <c r="B1670" s="62" t="inlineStr">
        <is>
          <t xml:space="preserve">  }</t>
        </is>
      </c>
    </row>
    <row r="1671">
      <c r="A1671" s="61" t="n">
        <v>101</v>
      </c>
      <c r="B1671" s="62" t="n"/>
    </row>
    <row r="1672">
      <c r="A1672" s="61" t="n">
        <v>102</v>
      </c>
      <c r="B1672" s="62" t="inlineStr">
        <is>
          <t xml:space="preserve">  const highlight: Record&lt;string, CSSProperties&gt; = {};</t>
        </is>
      </c>
    </row>
    <row r="1673">
      <c r="A1673" s="61" t="n">
        <v>103</v>
      </c>
      <c r="B1673" s="62" t="inlineStr">
        <is>
          <t xml:space="preserve">  if (game.lastMove) {</t>
        </is>
      </c>
    </row>
    <row r="1674">
      <c r="A1674" s="61" t="n">
        <v>104</v>
      </c>
      <c r="B1674" s="62" t="inlineStr">
        <is>
          <t xml:space="preserve">    highlight[game.lastMove.from] = { background: "rgba(255, 210, 0, 0.35)" };</t>
        </is>
      </c>
    </row>
    <row r="1675">
      <c r="A1675" s="61" t="n">
        <v>105</v>
      </c>
      <c r="B1675" s="62" t="inlineStr">
        <is>
          <t xml:space="preserve">    highlight[game.lastMove.to] = { background: "rgba(255, 210, 0, 0.5)" };</t>
        </is>
      </c>
    </row>
    <row r="1676">
      <c r="A1676" s="61" t="n">
        <v>106</v>
      </c>
      <c r="B1676" s="62" t="inlineStr">
        <is>
          <t xml:space="preserve">  }</t>
        </is>
      </c>
    </row>
    <row r="1677">
      <c r="A1677" s="61" t="n">
        <v>107</v>
      </c>
      <c r="B1677" s="62" t="inlineStr">
        <is>
          <t xml:space="preserve">  if (selected) highlight[selected] = { boxShadow: "inset 0 0 0 4px #3b82f6" };</t>
        </is>
      </c>
    </row>
    <row r="1678">
      <c r="A1678" s="61" t="n">
        <v>108</v>
      </c>
      <c r="B1678" s="62" t="n"/>
    </row>
    <row r="1679">
      <c r="A1679" s="61" t="n">
        <v>109</v>
      </c>
      <c r="B1679" s="62" t="inlineStr">
        <is>
          <t xml:space="preserve">  return (</t>
        </is>
      </c>
    </row>
    <row r="1680">
      <c r="A1680" s="61" t="n">
        <v>110</v>
      </c>
      <c r="B1680" s="62" t="inlineStr">
        <is>
          <t xml:space="preserve">    &lt;section className="play"&gt;</t>
        </is>
      </c>
    </row>
    <row r="1681">
      <c r="A1681" s="61" t="n">
        <v>111</v>
      </c>
      <c r="B1681" s="62" t="inlineStr">
        <is>
          <t xml:space="preserve">      &lt;div className="board-wrap"&gt;</t>
        </is>
      </c>
    </row>
    <row r="1682">
      <c r="A1682" s="61" t="n">
        <v>112</v>
      </c>
      <c r="B1682" s="62" t="inlineStr">
        <is>
          <t xml:space="preserve">        &lt;Chessboard</t>
        </is>
      </c>
    </row>
    <row r="1683">
      <c r="A1683" s="61" t="n">
        <v>113</v>
      </c>
      <c r="B1683" s="62" t="inlineStr">
        <is>
          <t xml:space="preserve">          id="play-board"</t>
        </is>
      </c>
    </row>
    <row r="1684">
      <c r="A1684" s="61" t="n">
        <v>114</v>
      </c>
      <c r="B1684" s="62" t="inlineStr">
        <is>
          <t xml:space="preserve">          position={game.fen}</t>
        </is>
      </c>
    </row>
    <row r="1685">
      <c r="A1685" s="61" t="n">
        <v>115</v>
      </c>
      <c r="B1685" s="62" t="inlineStr">
        <is>
          <t xml:space="preserve">          boardOrientation={side === "w" ? "white" : "black"}</t>
        </is>
      </c>
    </row>
    <row r="1686">
      <c r="A1686" s="61" t="n">
        <v>116</v>
      </c>
      <c r="B1686" s="62" t="inlineStr">
        <is>
          <t xml:space="preserve">          onPieceDrop={(from, to) =&gt; tryMove(from as Square, to as Square)}</t>
        </is>
      </c>
    </row>
    <row r="1687">
      <c r="A1687" s="61" t="n">
        <v>117</v>
      </c>
      <c r="B1687" s="62" t="inlineStr">
        <is>
          <t xml:space="preserve">          onSquareClick={(sq) =&gt; onSquareClick(sq as Square)}</t>
        </is>
      </c>
    </row>
    <row r="1688">
      <c r="A1688" s="61" t="n">
        <v>118</v>
      </c>
      <c r="B1688" s="62" t="inlineStr">
        <is>
          <t xml:space="preserve">          onPromotionCheck={() =&gt; false}</t>
        </is>
      </c>
    </row>
    <row r="1689">
      <c r="A1689" s="61" t="n">
        <v>119</v>
      </c>
      <c r="B1689" s="62" t="inlineStr">
        <is>
          <t xml:space="preserve">          customSquareStyles={highlight}</t>
        </is>
      </c>
    </row>
    <row r="1690">
      <c r="A1690" s="61" t="n">
        <v>120</v>
      </c>
      <c r="B1690" s="62" t="inlineStr">
        <is>
          <t xml:space="preserve">          arePiecesDraggable={!game.thinking &amp;&amp; !game.status.over}</t>
        </is>
      </c>
    </row>
    <row r="1691">
      <c r="A1691" s="61" t="n">
        <v>121</v>
      </c>
      <c r="B1691" s="62" t="inlineStr">
        <is>
          <t xml:space="preserve">        /&gt;</t>
        </is>
      </c>
    </row>
    <row r="1692">
      <c r="A1692" s="61" t="n">
        <v>122</v>
      </c>
      <c r="B1692" s="62" t="inlineStr">
        <is>
          <t xml:space="preserve">      &lt;/div&gt;</t>
        </is>
      </c>
    </row>
    <row r="1693">
      <c r="A1693" s="61" t="n">
        <v>123</v>
      </c>
      <c r="B1693" s="62" t="inlineStr">
        <is>
          <t xml:space="preserve">      &lt;aside className="panel"&gt;</t>
        </is>
      </c>
    </row>
    <row r="1694">
      <c r="A1694" s="61" t="n">
        <v>124</v>
      </c>
      <c r="B1694" s="62" t="inlineStr">
        <is>
          <t xml:space="preserve">        &lt;p className="status" aria-live="polite"&gt;</t>
        </is>
      </c>
    </row>
    <row r="1695">
      <c r="A1695" s="61" t="n">
        <v>125</v>
      </c>
      <c r="B1695" s="62" t="inlineStr">
        <is>
          <t xml:space="preserve">          {game.thinking ? "Engine is thinking…" : game.status.text}</t>
        </is>
      </c>
    </row>
    <row r="1696">
      <c r="A1696" s="61" t="n">
        <v>126</v>
      </c>
      <c r="B1696" s="62" t="inlineStr">
        <is>
          <t xml:space="preserve">        &lt;/p&gt;</t>
        </is>
      </c>
    </row>
    <row r="1697">
      <c r="A1697" s="61" t="n">
        <v>127</v>
      </c>
      <c r="B1697" s="62" t="inlineStr">
        <is>
          <t xml:space="preserve">        {game.engineError &amp;&amp; (</t>
        </is>
      </c>
    </row>
    <row r="1698">
      <c r="A1698" s="61" t="n">
        <v>128</v>
      </c>
      <c r="B1698" s="62" t="inlineStr">
        <is>
          <t xml:space="preserve">          &lt;p className="error" role="alert"&gt;</t>
        </is>
      </c>
    </row>
    <row r="1699">
      <c r="A1699" s="61" t="n">
        <v>129</v>
      </c>
      <c r="B1699" s="62" t="inlineStr">
        <is>
          <t xml:space="preserve">            {game.engineError} &lt;button onClick={game.retryEngine}&gt;Retry engine&lt;/button&gt;</t>
        </is>
      </c>
    </row>
    <row r="1700">
      <c r="A1700" s="61" t="n">
        <v>130</v>
      </c>
      <c r="B1700" s="62" t="inlineStr">
        <is>
          <t xml:space="preserve">          &lt;/p&gt;</t>
        </is>
      </c>
    </row>
    <row r="1701">
      <c r="A1701" s="61" t="n">
        <v>131</v>
      </c>
      <c r="B1701" s="62" t="inlineStr">
        <is>
          <t xml:space="preserve">        )}</t>
        </is>
      </c>
    </row>
    <row r="1702">
      <c r="A1702" s="61" t="n">
        <v>132</v>
      </c>
      <c r="B1702" s="62" t="inlineStr">
        <is>
          <t xml:space="preserve">        &lt;MoveList sans={game.sans} current={game.sans.length - 1} /&gt;</t>
        </is>
      </c>
    </row>
    <row r="1703">
      <c r="A1703" s="61" t="n">
        <v>133</v>
      </c>
      <c r="B1703" s="62" t="inlineStr">
        <is>
          <t xml:space="preserve">        &lt;div className="actions"&gt;</t>
        </is>
      </c>
    </row>
    <row r="1704">
      <c r="A1704" s="61" t="n">
        <v>134</v>
      </c>
      <c r="B1704" s="62" t="inlineStr">
        <is>
          <t xml:space="preserve">          {!game.status.over &amp;&amp; &lt;button onClick={game.resign}&gt;Resign&lt;/button&gt;}</t>
        </is>
      </c>
    </row>
    <row r="1705">
      <c r="A1705" s="61" t="n">
        <v>135</v>
      </c>
      <c r="B1705" s="62" t="inlineStr">
        <is>
          <t xml:space="preserve">          &lt;button onClick={game.restart}&gt;Restart&lt;/button&gt;</t>
        </is>
      </c>
    </row>
    <row r="1706">
      <c r="A1706" s="61" t="n">
        <v>136</v>
      </c>
      <c r="B1706" s="62" t="inlineStr">
        <is>
          <t xml:space="preserve">          &lt;button onClick={onNewGame}&gt;New setup&lt;/button&gt;</t>
        </is>
      </c>
    </row>
    <row r="1707">
      <c r="A1707" s="61" t="n">
        <v>137</v>
      </c>
      <c r="B1707" s="62" t="inlineStr">
        <is>
          <t xml:space="preserve">          &lt;button onClick={downloadPgn} disabled={game.sans.length === 0}&gt;Export PGN&lt;/button&gt;</t>
        </is>
      </c>
    </row>
    <row r="1708">
      <c r="A1708" s="61" t="n">
        <v>138</v>
      </c>
      <c r="B1708" s="62" t="inlineStr">
        <is>
          <t xml:space="preserve">        &lt;/div&gt;</t>
        </is>
      </c>
    </row>
    <row r="1709">
      <c r="A1709" s="61" t="n">
        <v>139</v>
      </c>
      <c r="B1709" s="62" t="inlineStr">
        <is>
          <t xml:space="preserve">        {game.status.over &amp;&amp; game.sans.length &gt; 0 &amp;&amp; (</t>
        </is>
      </c>
    </row>
    <row r="1710">
      <c r="A1710" s="61" t="n">
        <v>140</v>
      </c>
      <c r="B1710" s="62" t="inlineStr">
        <is>
          <t xml:space="preserve">          &lt;div className="after-game"&gt;</t>
        </is>
      </c>
    </row>
    <row r="1711">
      <c r="A1711" s="61" t="n">
        <v>141</v>
      </c>
      <c r="B1711" s="62" t="inlineStr">
        <is>
          <t xml:space="preserve">            {!saved &amp;&amp; (</t>
        </is>
      </c>
    </row>
    <row r="1712">
      <c r="A1712" s="61" t="n">
        <v>142</v>
      </c>
      <c r="B1712" s="62" t="inlineStr">
        <is>
          <t xml:space="preserve">              &lt;button className="primary" onClick={saveForReview} disabled={saving}&gt;</t>
        </is>
      </c>
    </row>
    <row r="1713">
      <c r="A1713" s="61" t="n">
        <v>143</v>
      </c>
      <c r="B1713" s="62" t="inlineStr">
        <is>
          <t xml:space="preserve">                {saving ? "Saving…" : "Review game"}</t>
        </is>
      </c>
    </row>
    <row r="1714">
      <c r="A1714" s="61" t="n">
        <v>144</v>
      </c>
      <c r="B1714" s="62" t="inlineStr">
        <is>
          <t xml:space="preserve">              &lt;/button&gt;</t>
        </is>
      </c>
    </row>
    <row r="1715">
      <c r="A1715" s="61" t="n">
        <v>145</v>
      </c>
      <c r="B1715" s="62" t="inlineStr">
        <is>
          <t xml:space="preserve">            )}</t>
        </is>
      </c>
    </row>
    <row r="1716">
      <c r="A1716" s="61" t="n">
        <v>146</v>
      </c>
      <c r="B1716" s="62" t="inlineStr">
        <is>
          <t xml:space="preserve">            {saveError &amp;&amp; &lt;p className="error" role="alert"&gt;{saveError} &lt;button onClick={saveForReview}&gt;Try again&lt;/button&gt;&lt;/p&gt;}</t>
        </is>
      </c>
    </row>
    <row r="1717">
      <c r="A1717" s="61" t="n">
        <v>147</v>
      </c>
      <c r="B1717" s="62" t="inlineStr">
        <is>
          <t xml:space="preserve">            {saved &amp;&amp; &lt;Link className="primary" to={`/review/${saved.game_id}`}&gt;Open review →&lt;/Link&gt;}</t>
        </is>
      </c>
    </row>
    <row r="1718">
      <c r="A1718" s="61" t="n">
        <v>148</v>
      </c>
      <c r="B1718" s="62" t="inlineStr">
        <is>
          <t xml:space="preserve">          &lt;/div&gt;</t>
        </is>
      </c>
    </row>
    <row r="1719">
      <c r="A1719" s="61" t="n">
        <v>149</v>
      </c>
      <c r="B1719" s="62" t="inlineStr">
        <is>
          <t xml:space="preserve">        )}</t>
        </is>
      </c>
    </row>
    <row r="1720">
      <c r="A1720" s="61" t="n">
        <v>150</v>
      </c>
      <c r="B1720" s="62" t="inlineStr">
        <is>
          <t xml:space="preserve">      &lt;/aside&gt;</t>
        </is>
      </c>
    </row>
    <row r="1721">
      <c r="A1721" s="61" t="n">
        <v>151</v>
      </c>
      <c r="B1721" s="62" t="inlineStr">
        <is>
          <t xml:space="preserve">      {pendingPromotion &amp;&amp; (</t>
        </is>
      </c>
    </row>
    <row r="1722">
      <c r="A1722" s="61" t="n">
        <v>152</v>
      </c>
      <c r="B1722" s="62" t="inlineStr">
        <is>
          <t xml:space="preserve">        &lt;PromotionDialog</t>
        </is>
      </c>
    </row>
    <row r="1723">
      <c r="A1723" s="61" t="n">
        <v>153</v>
      </c>
      <c r="B1723" s="62" t="inlineStr">
        <is>
          <t xml:space="preserve">          color={side}</t>
        </is>
      </c>
    </row>
    <row r="1724">
      <c r="A1724" s="61" t="n">
        <v>154</v>
      </c>
      <c r="B1724" s="62" t="inlineStr">
        <is>
          <t xml:space="preserve">          onCancel={() =&gt; setPendingPromotion(null)}</t>
        </is>
      </c>
    </row>
    <row r="1725">
      <c r="A1725" s="61" t="n">
        <v>155</v>
      </c>
      <c r="B1725" s="62" t="inlineStr">
        <is>
          <t xml:space="preserve">          onPick={(piece) =&gt; {</t>
        </is>
      </c>
    </row>
    <row r="1726">
      <c r="A1726" s="61" t="n">
        <v>156</v>
      </c>
      <c r="B1726" s="62" t="inlineStr">
        <is>
          <t xml:space="preserve">            game.playMove(pendingPromotion.from, pendingPromotion.to, piece);</t>
        </is>
      </c>
    </row>
    <row r="1727">
      <c r="A1727" s="61" t="n">
        <v>157</v>
      </c>
      <c r="B1727" s="62" t="inlineStr">
        <is>
          <t xml:space="preserve">            setPendingPromotion(null);</t>
        </is>
      </c>
    </row>
    <row r="1728">
      <c r="A1728" s="61" t="n">
        <v>158</v>
      </c>
      <c r="B1728" s="62" t="inlineStr">
        <is>
          <t xml:space="preserve">            setSelected(null);</t>
        </is>
      </c>
    </row>
    <row r="1729">
      <c r="A1729" s="61" t="n">
        <v>159</v>
      </c>
      <c r="B1729" s="62" t="inlineStr">
        <is>
          <t xml:space="preserve">          }}</t>
        </is>
      </c>
    </row>
    <row r="1730">
      <c r="A1730" s="61" t="n">
        <v>160</v>
      </c>
      <c r="B1730" s="62" t="inlineStr">
        <is>
          <t xml:space="preserve">        /&gt;</t>
        </is>
      </c>
    </row>
    <row r="1731">
      <c r="A1731" s="61" t="n">
        <v>161</v>
      </c>
      <c r="B1731" s="62" t="inlineStr">
        <is>
          <t xml:space="preserve">      )}</t>
        </is>
      </c>
    </row>
    <row r="1732">
      <c r="A1732" s="61" t="n">
        <v>162</v>
      </c>
      <c r="B1732" s="62" t="inlineStr">
        <is>
          <t xml:space="preserve">    &lt;/section&gt;</t>
        </is>
      </c>
    </row>
    <row r="1733">
      <c r="A1733" s="61" t="n">
        <v>163</v>
      </c>
      <c r="B1733" s="62" t="inlineStr">
        <is>
          <t xml:space="preserve">  );</t>
        </is>
      </c>
    </row>
    <row r="1734">
      <c r="A1734" s="61" t="n">
        <v>164</v>
      </c>
      <c r="B1734" s="62" t="inlineStr">
        <is>
          <t>}</t>
        </is>
      </c>
    </row>
    <row r="1737">
      <c r="A1737" s="60" t="inlineStr">
        <is>
          <t>C31</t>
        </is>
      </c>
      <c r="B1737" s="60" t="inlineStr">
        <is>
          <t>apps/web/playwright.config.ts   ·   Phase P4   ·   Playwright config; starts the dev server on 5180.</t>
        </is>
      </c>
    </row>
    <row r="1738">
      <c r="B1738" s="55" t="inlineStr">
        <is>
          <t>↑ back to Code Index</t>
        </is>
      </c>
    </row>
    <row r="1739">
      <c r="A1739" s="61" t="n">
        <v>1</v>
      </c>
      <c r="B1739" s="62" t="inlineStr">
        <is>
          <t>import { defineConfig } from "@playwright/test";</t>
        </is>
      </c>
    </row>
    <row r="1740">
      <c r="A1740" s="61" t="n">
        <v>2</v>
      </c>
      <c r="B1740" s="62" t="n"/>
    </row>
    <row r="1741">
      <c r="A1741" s="61" t="n">
        <v>3</v>
      </c>
      <c r="B1741" s="62" t="inlineStr">
        <is>
          <t>export default defineConfig({</t>
        </is>
      </c>
    </row>
    <row r="1742">
      <c r="A1742" s="61" t="n">
        <v>4</v>
      </c>
      <c r="B1742" s="62" t="inlineStr">
        <is>
          <t xml:space="preserve">  testDir: "e2e",</t>
        </is>
      </c>
    </row>
    <row r="1743">
      <c r="A1743" s="61" t="n">
        <v>5</v>
      </c>
      <c r="B1743" s="62" t="inlineStr">
        <is>
          <t xml:space="preserve">  use: { baseURL: "http://localhost:5180" },</t>
        </is>
      </c>
    </row>
    <row r="1744">
      <c r="A1744" s="61" t="n">
        <v>6</v>
      </c>
      <c r="B1744" s="62" t="inlineStr">
        <is>
          <t xml:space="preserve">  // Starts `npm run dev` (port 5180, see vite.config.ts) unless it is already running locally.</t>
        </is>
      </c>
    </row>
    <row r="1745">
      <c r="A1745" s="61" t="n">
        <v>7</v>
      </c>
      <c r="B1745" s="62" t="inlineStr">
        <is>
          <t xml:space="preserve">  webServer: { command: "npm run dev", url: "http://localhost:5180", reuseExistingServer: !process.env.CI },</t>
        </is>
      </c>
    </row>
    <row r="1746">
      <c r="A1746" s="61" t="n">
        <v>8</v>
      </c>
      <c r="B1746" s="62" t="inlineStr">
        <is>
          <t>});</t>
        </is>
      </c>
    </row>
    <row r="1749">
      <c r="A1749" s="60" t="inlineStr">
        <is>
          <t>C32</t>
        </is>
      </c>
      <c r="B1749" s="60" t="inlineStr">
        <is>
          <t>apps/web/e2e/play.spec.ts   ·   Phase P4   ·   E2E: Stockfish replies, original engine replies, deep links work.</t>
        </is>
      </c>
    </row>
    <row r="1750">
      <c r="B1750" s="55" t="inlineStr">
        <is>
          <t>↑ back to Code Index</t>
        </is>
      </c>
    </row>
    <row r="1751">
      <c r="A1751" s="61" t="n">
        <v>1</v>
      </c>
      <c r="B1751" s="62" t="inlineStr">
        <is>
          <t>import { expect, test } from "@playwright/test";</t>
        </is>
      </c>
    </row>
    <row r="1752">
      <c r="A1752" s="61" t="n">
        <v>2</v>
      </c>
      <c r="B1752" s="62" t="n"/>
    </row>
    <row r="1753">
      <c r="A1753" s="61" t="n">
        <v>3</v>
      </c>
      <c r="B1753" s="62" t="inlineStr">
        <is>
          <t>// Runs against `npm run dev` (see playwright.config.ts). No backend is needed to play a game.</t>
        </is>
      </c>
    </row>
    <row r="1754">
      <c r="A1754" s="61" t="n">
        <v>4</v>
      </c>
      <c r="B1754" s="62" t="n"/>
    </row>
    <row r="1755">
      <c r="A1755" s="61" t="n">
        <v>5</v>
      </c>
      <c r="B1755" s="62" t="inlineStr">
        <is>
          <t>test("guest playing Black receives a legal engine opening move", async ({ page }) =&gt; {</t>
        </is>
      </c>
    </row>
    <row r="1756">
      <c r="A1756" s="61" t="n">
        <v>6</v>
      </c>
      <c r="B1756" s="62" t="inlineStr">
        <is>
          <t xml:space="preserve">  await page.goto("/play");</t>
        </is>
      </c>
    </row>
    <row r="1757">
      <c r="A1757" s="61" t="n">
        <v>7</v>
      </c>
      <c r="B1757" s="62" t="inlineStr">
        <is>
          <t xml:space="preserve">  await page.getByLabel("Black").check();</t>
        </is>
      </c>
    </row>
    <row r="1758">
      <c r="A1758" s="61" t="n">
        <v>8</v>
      </c>
      <c r="B1758" s="62" t="inlineStr">
        <is>
          <t xml:space="preserve">  await page.getByRole("button", { name: "Start game" }).click();</t>
        </is>
      </c>
    </row>
    <row r="1759">
      <c r="A1759" s="61" t="n">
        <v>9</v>
      </c>
      <c r="B1759" s="62" t="inlineStr">
        <is>
          <t xml:space="preserve">  const moves = page.getByRole("table", { name: "Moves" }).getByRole("button");</t>
        </is>
      </c>
    </row>
    <row r="1760">
      <c r="A1760" s="61" t="n">
        <v>10</v>
      </c>
      <c r="B1760" s="62" t="inlineStr">
        <is>
          <t xml:space="preserve">  await expect(moves).toHaveCount(1, { timeout: 20_000 }); // Stockfish (WASM, in a worker) moved first</t>
        </is>
      </c>
    </row>
    <row r="1761">
      <c r="A1761" s="61" t="n">
        <v>11</v>
      </c>
      <c r="B1761" s="62" t="inlineStr">
        <is>
          <t xml:space="preserve">  await expect(page.getByText("Black to move.")).toBeVisible();</t>
        </is>
      </c>
    </row>
    <row r="1762">
      <c r="A1762" s="61" t="n">
        <v>12</v>
      </c>
      <c r="B1762" s="62" t="inlineStr">
        <is>
          <t>});</t>
        </is>
      </c>
    </row>
    <row r="1763">
      <c r="A1763" s="61" t="n">
        <v>13</v>
      </c>
      <c r="B1763" s="62" t="n"/>
    </row>
    <row r="1764">
      <c r="A1764" s="61" t="n">
        <v>14</v>
      </c>
      <c r="B1764" s="62" t="inlineStr">
        <is>
          <t>test("the original minimax engine still plays", async ({ page }) =&gt; {</t>
        </is>
      </c>
    </row>
    <row r="1765">
      <c r="A1765" s="61" t="n">
        <v>15</v>
      </c>
      <c r="B1765" s="62" t="inlineStr">
        <is>
          <t xml:space="preserve">  await page.goto("/play");</t>
        </is>
      </c>
    </row>
    <row r="1766">
      <c r="A1766" s="61" t="n">
        <v>16</v>
      </c>
      <c r="B1766" s="62" t="inlineStr">
        <is>
          <t xml:space="preserve">  await page.getByLabel("Black").check();</t>
        </is>
      </c>
    </row>
    <row r="1767">
      <c r="A1767" s="61" t="n">
        <v>17</v>
      </c>
      <c r="B1767" s="62" t="inlineStr">
        <is>
          <t xml:space="preserve">  await page.getByLabel("Opponent").selectOption("legacy");</t>
        </is>
      </c>
    </row>
    <row r="1768">
      <c r="A1768" s="61" t="n">
        <v>18</v>
      </c>
      <c r="B1768" s="62" t="inlineStr">
        <is>
          <t xml:space="preserve">  await page.getByRole("button", { name: "Start game" }).click();</t>
        </is>
      </c>
    </row>
    <row r="1769">
      <c r="A1769" s="61" t="n">
        <v>19</v>
      </c>
      <c r="B1769" s="62" t="inlineStr">
        <is>
          <t xml:space="preserve">  await expect(page.getByRole("table", { name: "Moves" }).getByRole("button")).toHaveCount(1, { timeout: 30_000 });</t>
        </is>
      </c>
    </row>
    <row r="1770">
      <c r="A1770" s="61" t="n">
        <v>20</v>
      </c>
      <c r="B1770" s="62" t="inlineStr">
        <is>
          <t>});</t>
        </is>
      </c>
    </row>
    <row r="1771">
      <c r="A1771" s="61" t="n">
        <v>21</v>
      </c>
      <c r="B1771" s="62" t="n"/>
    </row>
    <row r="1772">
      <c r="A1772" s="61" t="n">
        <v>22</v>
      </c>
      <c r="B1772" s="62" t="inlineStr">
        <is>
          <t>test("deep links load the app (SPA routing)", async ({ page }) =&gt; {</t>
        </is>
      </c>
    </row>
    <row r="1773">
      <c r="A1773" s="61" t="n">
        <v>23</v>
      </c>
      <c r="B1773" s="62" t="inlineStr">
        <is>
          <t xml:space="preserve">  await page.goto("/methodology");</t>
        </is>
      </c>
    </row>
    <row r="1774">
      <c r="A1774" s="61" t="n">
        <v>24</v>
      </c>
      <c r="B1774" s="62" t="inlineStr">
        <is>
          <t xml:space="preserve">  await expect(page.getByRole("heading", { name: "How ChessLab works" })).toBeVisible();</t>
        </is>
      </c>
    </row>
    <row r="1775">
      <c r="A1775" s="61" t="n">
        <v>25</v>
      </c>
      <c r="B1775" s="62" t="inlineStr">
        <is>
          <t>});</t>
        </is>
      </c>
    </row>
    <row r="1778">
      <c r="A1778" s="60" t="inlineStr">
        <is>
          <t>C33</t>
        </is>
      </c>
      <c r="B1778" s="60" t="inlineStr">
        <is>
          <t>services/backend/Dockerfile   ·   Phase P5   ·   One image (API default; worker via command) with Stockfish from Debian.</t>
        </is>
      </c>
    </row>
    <row r="1779">
      <c r="B1779" s="55" t="inlineStr">
        <is>
          <t>↑ back to Code Index</t>
        </is>
      </c>
    </row>
    <row r="1780">
      <c r="A1780" s="61" t="n">
        <v>1</v>
      </c>
      <c r="B1780" s="62" t="inlineStr">
        <is>
          <t># One image, two commands: the API (default CMD) and the worker (python -m app.worker).</t>
        </is>
      </c>
    </row>
    <row r="1781">
      <c r="A1781" s="61" t="n">
        <v>2</v>
      </c>
      <c r="B1781" s="62" t="inlineStr">
        <is>
          <t>FROM python:3.12-slim-bookworm</t>
        </is>
      </c>
    </row>
    <row r="1782">
      <c r="A1782" s="61" t="n">
        <v>3</v>
      </c>
      <c r="B1782" s="62" t="n"/>
    </row>
    <row r="1783">
      <c r="A1783" s="61" t="n">
        <v>4</v>
      </c>
      <c r="B1783" s="62" t="inlineStr">
        <is>
          <t>ENV PYTHONDONTWRITEBYTECODE=1 \</t>
        </is>
      </c>
    </row>
    <row r="1784">
      <c r="A1784" s="61" t="n">
        <v>5</v>
      </c>
      <c r="B1784" s="62" t="inlineStr">
        <is>
          <t xml:space="preserve">    PYTHONUNBUFFERED=1 \</t>
        </is>
      </c>
    </row>
    <row r="1785">
      <c r="A1785" s="61" t="n">
        <v>6</v>
      </c>
      <c r="B1785" s="62" t="inlineStr">
        <is>
          <t xml:space="preserve">    STOCKFISH_PATH=/usr/games/stockfish</t>
        </is>
      </c>
    </row>
    <row r="1786">
      <c r="A1786" s="61" t="n">
        <v>7</v>
      </c>
      <c r="B1786" s="62" t="n"/>
    </row>
    <row r="1787">
      <c r="A1787" s="61" t="n">
        <v>8</v>
      </c>
      <c r="B1787" s="62" t="inlineStr">
        <is>
          <t># Stockfish from Debian's package archive: a pinned, Linux-compatible build. Record its version (see README).</t>
        </is>
      </c>
    </row>
    <row r="1788">
      <c r="A1788" s="61" t="n">
        <v>9</v>
      </c>
      <c r="B1788" s="62" t="inlineStr">
        <is>
          <t>RUN apt-get update \</t>
        </is>
      </c>
    </row>
    <row r="1789">
      <c r="A1789" s="61" t="n">
        <v>10</v>
      </c>
      <c r="B1789" s="62" t="inlineStr">
        <is>
          <t xml:space="preserve"> &amp;&amp; apt-get install -y --no-install-recommends stockfish \</t>
        </is>
      </c>
    </row>
    <row r="1790">
      <c r="A1790" s="61" t="n">
        <v>11</v>
      </c>
      <c r="B1790" s="62" t="inlineStr">
        <is>
          <t xml:space="preserve"> &amp;&amp; rm -rf /var/lib/apt/lists/*</t>
        </is>
      </c>
    </row>
    <row r="1791">
      <c r="A1791" s="61" t="n">
        <v>12</v>
      </c>
      <c r="B1791" s="62" t="n"/>
    </row>
    <row r="1792">
      <c r="A1792" s="61" t="n">
        <v>13</v>
      </c>
      <c r="B1792" s="62" t="inlineStr">
        <is>
          <t>WORKDIR /app</t>
        </is>
      </c>
    </row>
    <row r="1793">
      <c r="A1793" s="61" t="n">
        <v>14</v>
      </c>
      <c r="B1793" s="62" t="n"/>
    </row>
    <row r="1794">
      <c r="A1794" s="61" t="n">
        <v>15</v>
      </c>
      <c r="B1794" s="62" t="inlineStr">
        <is>
          <t># Dependencies first, code second: Docker caches the slow pip layer until requirements.txt changes.</t>
        </is>
      </c>
    </row>
    <row r="1795">
      <c r="A1795" s="61" t="n">
        <v>16</v>
      </c>
      <c r="B1795" s="62" t="inlineStr">
        <is>
          <t>COPY requirements.txt .</t>
        </is>
      </c>
    </row>
    <row r="1796">
      <c r="A1796" s="61" t="n">
        <v>17</v>
      </c>
      <c r="B1796" s="62" t="inlineStr">
        <is>
          <t>RUN pip install --no-cache-dir -r requirements.txt</t>
        </is>
      </c>
    </row>
    <row r="1797">
      <c r="A1797" s="61" t="n">
        <v>18</v>
      </c>
      <c r="B1797" s="62" t="n"/>
    </row>
    <row r="1798">
      <c r="A1798" s="61" t="n">
        <v>19</v>
      </c>
      <c r="B1798" s="62" t="inlineStr">
        <is>
          <t>COPY . .</t>
        </is>
      </c>
    </row>
    <row r="1799">
      <c r="A1799" s="61" t="n">
        <v>20</v>
      </c>
      <c r="B1799" s="62" t="n"/>
    </row>
    <row r="1800">
      <c r="A1800" s="61" t="n">
        <v>21</v>
      </c>
      <c r="B1800" s="62" t="inlineStr">
        <is>
          <t># Never run as root inside the container.</t>
        </is>
      </c>
    </row>
    <row r="1801">
      <c r="A1801" s="61" t="n">
        <v>22</v>
      </c>
      <c r="B1801" s="62" t="inlineStr">
        <is>
          <t>RUN useradd --create-home --uid 10001 appuser</t>
        </is>
      </c>
    </row>
    <row r="1802">
      <c r="A1802" s="61" t="n">
        <v>23</v>
      </c>
      <c r="B1802" s="62" t="inlineStr">
        <is>
          <t>USER appuser</t>
        </is>
      </c>
    </row>
    <row r="1803">
      <c r="A1803" s="61" t="n">
        <v>24</v>
      </c>
      <c r="B1803" s="62" t="n"/>
    </row>
    <row r="1804">
      <c r="A1804" s="61" t="n">
        <v>25</v>
      </c>
      <c r="B1804" s="62" t="inlineStr">
        <is>
          <t>EXPOSE 8000</t>
        </is>
      </c>
    </row>
    <row r="1805">
      <c r="A1805" s="61" t="n">
        <v>26</v>
      </c>
      <c r="B1805" s="62" t="inlineStr">
        <is>
          <t>CMD ["sh", "-c", "uvicorn app.main:app --host 0.0.0.0 --port ${PORT:-8000}"]</t>
        </is>
      </c>
    </row>
    <row r="1808">
      <c r="A1808" s="60" t="inlineStr">
        <is>
          <t>C34</t>
        </is>
      </c>
      <c r="B1808" s="60" t="inlineStr">
        <is>
          <t>services/backend/.dockerignore   ·   Phase P5   ·   Keeps .venv, caches and .env out of the image.</t>
        </is>
      </c>
    </row>
    <row r="1809">
      <c r="B1809" s="55" t="inlineStr">
        <is>
          <t>↑ back to Code Index</t>
        </is>
      </c>
    </row>
    <row r="1810">
      <c r="A1810" s="61" t="n">
        <v>1</v>
      </c>
      <c r="B1810" s="62" t="inlineStr">
        <is>
          <t>.venv</t>
        </is>
      </c>
    </row>
    <row r="1811">
      <c r="A1811" s="61" t="n">
        <v>2</v>
      </c>
      <c r="B1811" s="62" t="inlineStr">
        <is>
          <t>__pycache__</t>
        </is>
      </c>
    </row>
    <row r="1812">
      <c r="A1812" s="61" t="n">
        <v>3</v>
      </c>
      <c r="B1812" s="62" t="inlineStr">
        <is>
          <t>*.pyc</t>
        </is>
      </c>
    </row>
    <row r="1813">
      <c r="A1813" s="61" t="n">
        <v>4</v>
      </c>
      <c r="B1813" s="62" t="inlineStr">
        <is>
          <t>.pytest_cache</t>
        </is>
      </c>
    </row>
    <row r="1814">
      <c r="A1814" s="61" t="n">
        <v>5</v>
      </c>
      <c r="B1814" s="62" t="inlineStr">
        <is>
          <t>.ruff_cache</t>
        </is>
      </c>
    </row>
    <row r="1815">
      <c r="A1815" s="61" t="n">
        <v>6</v>
      </c>
      <c r="B1815" s="62" t="inlineStr">
        <is>
          <t>.env</t>
        </is>
      </c>
    </row>
    <row r="1816">
      <c r="A1816" s="61" t="n">
        <v>7</v>
      </c>
      <c r="B1816" s="62" t="inlineStr">
        <is>
          <t>tests/__pycache__</t>
        </is>
      </c>
    </row>
    <row r="1819">
      <c r="A1819" s="60" t="inlineStr">
        <is>
          <t>C35</t>
        </is>
      </c>
      <c r="B1819" s="60" t="inlineStr">
        <is>
          <t>render.yaml   ·   Phase P5   ·   Render Blueprint: database, API web service, background worker.</t>
        </is>
      </c>
    </row>
    <row r="1820">
      <c r="B1820" s="55" t="inlineStr">
        <is>
          <t>↑ back to Code Index</t>
        </is>
      </c>
    </row>
    <row r="1821">
      <c r="A1821" s="61" t="n">
        <v>1</v>
      </c>
      <c r="B1821" s="62" t="inlineStr">
        <is>
          <t># Render Blueprint (Infrastructure as Code). In Render: New &gt; Blueprint &gt; pick this repo.</t>
        </is>
      </c>
    </row>
    <row r="1822">
      <c r="A1822" s="61" t="n">
        <v>2</v>
      </c>
      <c r="B1822" s="62" t="inlineStr">
        <is>
          <t># Check plan names and prices on render.com before applying; they change over time.</t>
        </is>
      </c>
    </row>
    <row r="1823">
      <c r="A1823" s="61" t="n">
        <v>3</v>
      </c>
      <c r="B1823" s="62" t="inlineStr">
        <is>
          <t>databases:</t>
        </is>
      </c>
    </row>
    <row r="1824">
      <c r="A1824" s="61" t="n">
        <v>4</v>
      </c>
      <c r="B1824" s="62" t="inlineStr">
        <is>
          <t xml:space="preserve">  - name: chesslab-db</t>
        </is>
      </c>
    </row>
    <row r="1825">
      <c r="A1825" s="61" t="n">
        <v>5</v>
      </c>
      <c r="B1825" s="62" t="inlineStr">
        <is>
          <t xml:space="preserve">    plan: basic-256mb          # verify current plan names; free databases expire</t>
        </is>
      </c>
    </row>
    <row r="1826">
      <c r="A1826" s="61" t="n">
        <v>6</v>
      </c>
      <c r="B1826" s="62" t="inlineStr">
        <is>
          <t xml:space="preserve">    databaseName: chesslab</t>
        </is>
      </c>
    </row>
    <row r="1827">
      <c r="A1827" s="61" t="n">
        <v>7</v>
      </c>
      <c r="B1827" s="62" t="inlineStr">
        <is>
          <t xml:space="preserve">    user: chesslab</t>
        </is>
      </c>
    </row>
    <row r="1828">
      <c r="A1828" s="61" t="n">
        <v>8</v>
      </c>
      <c r="B1828" s="62" t="n"/>
    </row>
    <row r="1829">
      <c r="A1829" s="61" t="n">
        <v>9</v>
      </c>
      <c r="B1829" s="62" t="inlineStr">
        <is>
          <t>services:</t>
        </is>
      </c>
    </row>
    <row r="1830">
      <c r="A1830" s="61" t="n">
        <v>10</v>
      </c>
      <c r="B1830" s="62" t="inlineStr">
        <is>
          <t xml:space="preserve">  - type: web</t>
        </is>
      </c>
    </row>
    <row r="1831">
      <c r="A1831" s="61" t="n">
        <v>11</v>
      </c>
      <c r="B1831" s="62" t="inlineStr">
        <is>
          <t xml:space="preserve">    name: chesslab-api</t>
        </is>
      </c>
    </row>
    <row r="1832">
      <c r="A1832" s="61" t="n">
        <v>12</v>
      </c>
      <c r="B1832" s="62" t="inlineStr">
        <is>
          <t xml:space="preserve">    runtime: docker</t>
        </is>
      </c>
    </row>
    <row r="1833">
      <c r="A1833" s="61" t="n">
        <v>13</v>
      </c>
      <c r="B1833" s="62" t="inlineStr">
        <is>
          <t xml:space="preserve">    rootDir: services/backend</t>
        </is>
      </c>
    </row>
    <row r="1834">
      <c r="A1834" s="61" t="n">
        <v>14</v>
      </c>
      <c r="B1834" s="62" t="inlineStr">
        <is>
          <t xml:space="preserve">    dockerfilePath: ./Dockerfile</t>
        </is>
      </c>
    </row>
    <row r="1835">
      <c r="A1835" s="61" t="n">
        <v>15</v>
      </c>
      <c r="B1835" s="62" t="inlineStr">
        <is>
          <t xml:space="preserve">    plan: starter              # always-on; the free plan sleeps after inactivity</t>
        </is>
      </c>
    </row>
    <row r="1836">
      <c r="A1836" s="61" t="n">
        <v>16</v>
      </c>
      <c r="B1836" s="62" t="inlineStr">
        <is>
          <t xml:space="preserve">    healthCheckPath: /health/ready</t>
        </is>
      </c>
    </row>
    <row r="1837">
      <c r="A1837" s="61" t="n">
        <v>17</v>
      </c>
      <c r="B1837" s="62" t="inlineStr">
        <is>
          <t xml:space="preserve">    preDeployCommand: alembic upgrade head   # one controlled migration step per deploy</t>
        </is>
      </c>
    </row>
    <row r="1838">
      <c r="A1838" s="61" t="n">
        <v>18</v>
      </c>
      <c r="B1838" s="62" t="inlineStr">
        <is>
          <t xml:space="preserve">    envVars:</t>
        </is>
      </c>
    </row>
    <row r="1839">
      <c r="A1839" s="61" t="n">
        <v>19</v>
      </c>
      <c r="B1839" s="62" t="inlineStr">
        <is>
          <t xml:space="preserve">      - key: DATABASE_URL</t>
        </is>
      </c>
    </row>
    <row r="1840">
      <c r="A1840" s="61" t="n">
        <v>20</v>
      </c>
      <c r="B1840" s="62" t="inlineStr">
        <is>
          <t xml:space="preserve">        fromDatabase: { name: chesslab-db, property: connectionString }</t>
        </is>
      </c>
    </row>
    <row r="1841">
      <c r="A1841" s="61" t="n">
        <v>21</v>
      </c>
      <c r="B1841" s="62" t="inlineStr">
        <is>
          <t xml:space="preserve">      - key: ALLOWED_ORIGINS</t>
        </is>
      </c>
    </row>
    <row r="1842">
      <c r="A1842" s="61" t="n">
        <v>22</v>
      </c>
      <c r="B1842" s="62" t="inlineStr">
        <is>
          <t xml:space="preserve">        sync: false            # set in the dashboard: https://your-app.vercel.app</t>
        </is>
      </c>
    </row>
    <row r="1843">
      <c r="A1843" s="61" t="n">
        <v>23</v>
      </c>
      <c r="B1843" s="62" t="inlineStr">
        <is>
          <t xml:space="preserve">      - key: ENVIRONMENT</t>
        </is>
      </c>
    </row>
    <row r="1844">
      <c r="A1844" s="61" t="n">
        <v>24</v>
      </c>
      <c r="B1844" s="62" t="inlineStr">
        <is>
          <t xml:space="preserve">        value: production</t>
        </is>
      </c>
    </row>
    <row r="1845">
      <c r="A1845" s="61" t="n">
        <v>25</v>
      </c>
      <c r="B1845" s="62" t="n"/>
    </row>
    <row r="1846">
      <c r="A1846" s="61" t="n">
        <v>26</v>
      </c>
      <c r="B1846" s="62" t="inlineStr">
        <is>
          <t xml:space="preserve">  - type: worker</t>
        </is>
      </c>
    </row>
    <row r="1847">
      <c r="A1847" s="61" t="n">
        <v>27</v>
      </c>
      <c r="B1847" s="62" t="inlineStr">
        <is>
          <t xml:space="preserve">    name: chesslab-worker</t>
        </is>
      </c>
    </row>
    <row r="1848">
      <c r="A1848" s="61" t="n">
        <v>28</v>
      </c>
      <c r="B1848" s="62" t="inlineStr">
        <is>
          <t xml:space="preserve">    runtime: docker</t>
        </is>
      </c>
    </row>
    <row r="1849">
      <c r="A1849" s="61" t="n">
        <v>29</v>
      </c>
      <c r="B1849" s="62" t="inlineStr">
        <is>
          <t xml:space="preserve">    rootDir: services/backend</t>
        </is>
      </c>
    </row>
    <row r="1850">
      <c r="A1850" s="61" t="n">
        <v>30</v>
      </c>
      <c r="B1850" s="62" t="inlineStr">
        <is>
          <t xml:space="preserve">    dockerfilePath: ./Dockerfile</t>
        </is>
      </c>
    </row>
    <row r="1851">
      <c r="A1851" s="61" t="n">
        <v>31</v>
      </c>
      <c r="B1851" s="62" t="inlineStr">
        <is>
          <t xml:space="preserve">    plan: starter</t>
        </is>
      </c>
    </row>
    <row r="1852">
      <c r="A1852" s="61" t="n">
        <v>32</v>
      </c>
      <c r="B1852" s="62" t="inlineStr">
        <is>
          <t xml:space="preserve">    dockerCommand: python -m app.worker</t>
        </is>
      </c>
    </row>
    <row r="1853">
      <c r="A1853" s="61" t="n">
        <v>33</v>
      </c>
      <c r="B1853" s="62" t="inlineStr">
        <is>
          <t xml:space="preserve">    envVars:</t>
        </is>
      </c>
    </row>
    <row r="1854">
      <c r="A1854" s="61" t="n">
        <v>34</v>
      </c>
      <c r="B1854" s="62" t="inlineStr">
        <is>
          <t xml:space="preserve">      - key: DATABASE_URL</t>
        </is>
      </c>
    </row>
    <row r="1855">
      <c r="A1855" s="61" t="n">
        <v>35</v>
      </c>
      <c r="B1855" s="62" t="inlineStr">
        <is>
          <t xml:space="preserve">        fromDatabase: { name: chesslab-db, property: connectionString }</t>
        </is>
      </c>
    </row>
    <row r="1856">
      <c r="A1856" s="61" t="n">
        <v>36</v>
      </c>
      <c r="B1856" s="62" t="inlineStr">
        <is>
          <t xml:space="preserve">      - key: ENGINE_THREADS</t>
        </is>
      </c>
    </row>
    <row r="1857">
      <c r="A1857" s="61" t="n">
        <v>37</v>
      </c>
      <c r="B1857" s="62" t="inlineStr">
        <is>
          <t xml:space="preserve">        value: "1"</t>
        </is>
      </c>
    </row>
    <row r="1858">
      <c r="A1858" s="61" t="n">
        <v>38</v>
      </c>
      <c r="B1858" s="62" t="inlineStr">
        <is>
          <t xml:space="preserve">      - key: ENGINE_HASH_MB</t>
        </is>
      </c>
    </row>
    <row r="1859">
      <c r="A1859" s="61" t="n">
        <v>39</v>
      </c>
      <c r="B1859" s="62" t="inlineStr">
        <is>
          <t xml:space="preserve">        value: "32"</t>
        </is>
      </c>
    </row>
    <row r="1860">
      <c r="A1860" s="61" t="n">
        <v>40</v>
      </c>
      <c r="B1860" s="62" t="inlineStr">
        <is>
          <t xml:space="preserve">      - key: PROVIDER_USER_AGENT</t>
        </is>
      </c>
    </row>
    <row r="1861">
      <c r="A1861" s="61" t="n">
        <v>41</v>
      </c>
      <c r="B1861" s="62" t="inlineStr">
        <is>
          <t xml:space="preserve">        sync: false</t>
        </is>
      </c>
    </row>
    <row r="1864">
      <c r="A1864" s="60" t="inlineStr">
        <is>
          <t>C36</t>
        </is>
      </c>
      <c r="B1864" s="60" t="inlineStr">
        <is>
          <t>apps/web/vercel.json   ·   Phase P5   ·   SPA rewrite and security headers (CSP).</t>
        </is>
      </c>
    </row>
    <row r="1865">
      <c r="B1865" s="55" t="inlineStr">
        <is>
          <t>↑ back to Code Index</t>
        </is>
      </c>
    </row>
    <row r="1866">
      <c r="A1866" s="61" t="n">
        <v>1</v>
      </c>
      <c r="B1866" s="62" t="inlineStr">
        <is>
          <t>{</t>
        </is>
      </c>
    </row>
    <row r="1867">
      <c r="A1867" s="61" t="n">
        <v>2</v>
      </c>
      <c r="B1867" s="62" t="inlineStr">
        <is>
          <t xml:space="preserve">  "rewrites": [{ "source": "/(.*)", "destination": "/index.html" }],</t>
        </is>
      </c>
    </row>
    <row r="1868">
      <c r="A1868" s="61" t="n">
        <v>3</v>
      </c>
      <c r="B1868" s="62" t="inlineStr">
        <is>
          <t xml:space="preserve">  "headers": [</t>
        </is>
      </c>
    </row>
    <row r="1869">
      <c r="A1869" s="61" t="n">
        <v>4</v>
      </c>
      <c r="B1869" s="62" t="inlineStr">
        <is>
          <t xml:space="preserve">    {</t>
        </is>
      </c>
    </row>
    <row r="1870">
      <c r="A1870" s="61" t="n">
        <v>5</v>
      </c>
      <c r="B1870" s="62" t="inlineStr">
        <is>
          <t xml:space="preserve">      "source": "/(.*)",</t>
        </is>
      </c>
    </row>
    <row r="1871">
      <c r="A1871" s="61" t="n">
        <v>6</v>
      </c>
      <c r="B1871" s="62" t="inlineStr">
        <is>
          <t xml:space="preserve">      "headers": [</t>
        </is>
      </c>
    </row>
    <row r="1872">
      <c r="A1872" s="61" t="n">
        <v>7</v>
      </c>
      <c r="B1872" s="62" t="inlineStr">
        <is>
          <t xml:space="preserve">        { "key": "X-Content-Type-Options", "value": "nosniff" },</t>
        </is>
      </c>
    </row>
    <row r="1873">
      <c r="A1873" s="61" t="n">
        <v>8</v>
      </c>
      <c r="B1873" s="62" t="inlineStr">
        <is>
          <t xml:space="preserve">        { "key": "Referrer-Policy", "value": "strict-origin-when-cross-origin" },</t>
        </is>
      </c>
    </row>
    <row r="1874">
      <c r="A1874" s="61" t="n">
        <v>9</v>
      </c>
      <c r="B1874" s="62" t="inlineStr">
        <is>
          <t xml:space="preserve">        { "key": "Content-Security-Policy", "value": "default-src 'self'; script-src 'self' 'wasm-unsafe-eval'; worker-src 'self'; style-src 'self' 'unsafe-inline'; img-src 'self' data:; connect-src 'self' https://YOUR-API.onrender.com" }</t>
        </is>
      </c>
    </row>
    <row r="1875">
      <c r="A1875" s="61" t="n">
        <v>10</v>
      </c>
      <c r="B1875" s="62" t="inlineStr">
        <is>
          <t xml:space="preserve">      ]</t>
        </is>
      </c>
    </row>
    <row r="1876">
      <c r="A1876" s="61" t="n">
        <v>11</v>
      </c>
      <c r="B1876" s="62" t="inlineStr">
        <is>
          <t xml:space="preserve">    }</t>
        </is>
      </c>
    </row>
    <row r="1877">
      <c r="A1877" s="61" t="n">
        <v>12</v>
      </c>
      <c r="B1877" s="62" t="inlineStr">
        <is>
          <t xml:space="preserve">  ]</t>
        </is>
      </c>
    </row>
    <row r="1878">
      <c r="A1878" s="61" t="n">
        <v>13</v>
      </c>
      <c r="B1878" s="62" t="inlineStr">
        <is>
          <t>}</t>
        </is>
      </c>
    </row>
    <row r="1881">
      <c r="A1881" s="60" t="inlineStr">
        <is>
          <t>C37</t>
        </is>
      </c>
      <c r="B1881" s="60" t="inlineStr">
        <is>
          <t>.github/workflows/ci.yml   ·   Phase P5   ·   CI: backend (Postgres service) and frontend checks.</t>
        </is>
      </c>
    </row>
    <row r="1882">
      <c r="B1882" s="55" t="inlineStr">
        <is>
          <t>↑ back to Code Index</t>
        </is>
      </c>
    </row>
    <row r="1883">
      <c r="A1883" s="61" t="n">
        <v>1</v>
      </c>
      <c r="B1883" s="62" t="inlineStr">
        <is>
          <t>name: CI</t>
        </is>
      </c>
    </row>
    <row r="1884">
      <c r="A1884" s="61" t="n">
        <v>2</v>
      </c>
      <c r="B1884" s="62" t="inlineStr">
        <is>
          <t>on:</t>
        </is>
      </c>
    </row>
    <row r="1885">
      <c r="A1885" s="61" t="n">
        <v>3</v>
      </c>
      <c r="B1885" s="62" t="inlineStr">
        <is>
          <t xml:space="preserve">  pull_request:</t>
        </is>
      </c>
    </row>
    <row r="1886">
      <c r="A1886" s="61" t="n">
        <v>4</v>
      </c>
      <c r="B1886" s="62" t="inlineStr">
        <is>
          <t xml:space="preserve">  push:</t>
        </is>
      </c>
    </row>
    <row r="1887">
      <c r="A1887" s="61" t="n">
        <v>5</v>
      </c>
      <c r="B1887" s="62" t="inlineStr">
        <is>
          <t xml:space="preserve">    branches: [main]</t>
        </is>
      </c>
    </row>
    <row r="1888">
      <c r="A1888" s="61" t="n">
        <v>6</v>
      </c>
      <c r="B1888" s="62" t="n"/>
    </row>
    <row r="1889">
      <c r="A1889" s="61" t="n">
        <v>7</v>
      </c>
      <c r="B1889" s="62" t="inlineStr">
        <is>
          <t>jobs:</t>
        </is>
      </c>
    </row>
    <row r="1890">
      <c r="A1890" s="61" t="n">
        <v>8</v>
      </c>
      <c r="B1890" s="62" t="inlineStr">
        <is>
          <t xml:space="preserve">  backend:</t>
        </is>
      </c>
    </row>
    <row r="1891">
      <c r="A1891" s="61" t="n">
        <v>9</v>
      </c>
      <c r="B1891" s="62" t="inlineStr">
        <is>
          <t xml:space="preserve">    runs-on: ubuntu-latest</t>
        </is>
      </c>
    </row>
    <row r="1892">
      <c r="A1892" s="61" t="n">
        <v>10</v>
      </c>
      <c r="B1892" s="62" t="inlineStr">
        <is>
          <t xml:space="preserve">    services:</t>
        </is>
      </c>
    </row>
    <row r="1893">
      <c r="A1893" s="61" t="n">
        <v>11</v>
      </c>
      <c r="B1893" s="62" t="inlineStr">
        <is>
          <t xml:space="preserve">      postgres:</t>
        </is>
      </c>
    </row>
    <row r="1894">
      <c r="A1894" s="61" t="n">
        <v>12</v>
      </c>
      <c r="B1894" s="62" t="inlineStr">
        <is>
          <t xml:space="preserve">        image: postgres:16</t>
        </is>
      </c>
    </row>
    <row r="1895">
      <c r="A1895" s="61" t="n">
        <v>13</v>
      </c>
      <c r="B1895" s="62" t="inlineStr">
        <is>
          <t xml:space="preserve">        env: { POSTGRES_USER: chesslab, POSTGRES_PASSWORD: chesslab, POSTGRES_DB: chesslab }</t>
        </is>
      </c>
    </row>
    <row r="1896">
      <c r="A1896" s="61" t="n">
        <v>14</v>
      </c>
      <c r="B1896" s="62" t="inlineStr">
        <is>
          <t xml:space="preserve">        ports: ["5432:5432"]</t>
        </is>
      </c>
    </row>
    <row r="1897">
      <c r="A1897" s="61" t="n">
        <v>15</v>
      </c>
      <c r="B1897" s="62" t="inlineStr">
        <is>
          <t xml:space="preserve">        options: &gt;-</t>
        </is>
      </c>
    </row>
    <row r="1898">
      <c r="A1898" s="61" t="n">
        <v>16</v>
      </c>
      <c r="B1898" s="62" t="inlineStr">
        <is>
          <t xml:space="preserve">          --health-cmd "pg_isready -U chesslab" --health-interval 5s --health-timeout 3s --health-retries 20</t>
        </is>
      </c>
    </row>
    <row r="1899">
      <c r="A1899" s="61" t="n">
        <v>17</v>
      </c>
      <c r="B1899" s="62" t="inlineStr">
        <is>
          <t xml:space="preserve">    defaults:</t>
        </is>
      </c>
    </row>
    <row r="1900">
      <c r="A1900" s="61" t="n">
        <v>18</v>
      </c>
      <c r="B1900" s="62" t="inlineStr">
        <is>
          <t xml:space="preserve">      run:</t>
        </is>
      </c>
    </row>
    <row r="1901">
      <c r="A1901" s="61" t="n">
        <v>19</v>
      </c>
      <c r="B1901" s="62" t="inlineStr">
        <is>
          <t xml:space="preserve">        working-directory: services/backend</t>
        </is>
      </c>
    </row>
    <row r="1902">
      <c r="A1902" s="61" t="n">
        <v>20</v>
      </c>
      <c r="B1902" s="62" t="inlineStr">
        <is>
          <t xml:space="preserve">    env:</t>
        </is>
      </c>
    </row>
    <row r="1903">
      <c r="A1903" s="61" t="n">
        <v>21</v>
      </c>
      <c r="B1903" s="62" t="inlineStr">
        <is>
          <t xml:space="preserve">      DATABASE_URL: postgresql+psycopg://chesslab:chesslab@localhost:5432/chesslab</t>
        </is>
      </c>
    </row>
    <row r="1904">
      <c r="A1904" s="61" t="n">
        <v>22</v>
      </c>
      <c r="B1904" s="62" t="inlineStr">
        <is>
          <t xml:space="preserve">    steps:</t>
        </is>
      </c>
    </row>
    <row r="1905">
      <c r="A1905" s="61" t="n">
        <v>23</v>
      </c>
      <c r="B1905" s="62" t="inlineStr">
        <is>
          <t xml:space="preserve">      - uses: actions/checkout@v4</t>
        </is>
      </c>
    </row>
    <row r="1906">
      <c r="A1906" s="61" t="n">
        <v>24</v>
      </c>
      <c r="B1906" s="62" t="inlineStr">
        <is>
          <t xml:space="preserve">      - uses: astral-sh/setup-uv@v6</t>
        </is>
      </c>
    </row>
    <row r="1907">
      <c r="A1907" s="61" t="n">
        <v>25</v>
      </c>
      <c r="B1907" s="62" t="inlineStr">
        <is>
          <t xml:space="preserve">      - run: uv sync --frozen</t>
        </is>
      </c>
    </row>
    <row r="1908">
      <c r="A1908" s="61" t="n">
        <v>26</v>
      </c>
      <c r="B1908" s="62" t="inlineStr">
        <is>
          <t xml:space="preserve">      - run: uv run ruff check .</t>
        </is>
      </c>
    </row>
    <row r="1909">
      <c r="A1909" s="61" t="n">
        <v>27</v>
      </c>
      <c r="B1909" s="62" t="inlineStr">
        <is>
          <t xml:space="preserve">      - run: uv run alembic upgrade head          # proves migrations apply to an empty database</t>
        </is>
      </c>
    </row>
    <row r="1910">
      <c r="A1910" s="61" t="n">
        <v>28</v>
      </c>
      <c r="B1910" s="62" t="inlineStr">
        <is>
          <t xml:space="preserve">      - run: uv run alembic check                # proves models and migrations agree</t>
        </is>
      </c>
    </row>
    <row r="1911">
      <c r="A1911" s="61" t="n">
        <v>29</v>
      </c>
      <c r="B1911" s="62" t="inlineStr">
        <is>
          <t xml:space="preserve">      - run: uv run pytest -q                     # tests create/drop their own chesslab_test database</t>
        </is>
      </c>
    </row>
    <row r="1912">
      <c r="A1912" s="61" t="n">
        <v>30</v>
      </c>
      <c r="B1912" s="62" t="inlineStr">
        <is>
          <t xml:space="preserve">      - run: docker build -t chesslab-backend .   # the image Render will build must build here too</t>
        </is>
      </c>
    </row>
    <row r="1913">
      <c r="A1913" s="61" t="n">
        <v>31</v>
      </c>
      <c r="B1913" s="62" t="n"/>
    </row>
    <row r="1914">
      <c r="A1914" s="61" t="n">
        <v>32</v>
      </c>
      <c r="B1914" s="62" t="inlineStr">
        <is>
          <t xml:space="preserve">  frontend:</t>
        </is>
      </c>
    </row>
    <row r="1915">
      <c r="A1915" s="61" t="n">
        <v>33</v>
      </c>
      <c r="B1915" s="62" t="inlineStr">
        <is>
          <t xml:space="preserve">    runs-on: ubuntu-latest</t>
        </is>
      </c>
    </row>
    <row r="1916">
      <c r="A1916" s="61" t="n">
        <v>34</v>
      </c>
      <c r="B1916" s="62" t="inlineStr">
        <is>
          <t xml:space="preserve">    defaults:</t>
        </is>
      </c>
    </row>
    <row r="1917">
      <c r="A1917" s="61" t="n">
        <v>35</v>
      </c>
      <c r="B1917" s="62" t="inlineStr">
        <is>
          <t xml:space="preserve">      run:</t>
        </is>
      </c>
    </row>
    <row r="1918">
      <c r="A1918" s="61" t="n">
        <v>36</v>
      </c>
      <c r="B1918" s="62" t="inlineStr">
        <is>
          <t xml:space="preserve">        working-directory: apps/web</t>
        </is>
      </c>
    </row>
    <row r="1919">
      <c r="A1919" s="61" t="n">
        <v>37</v>
      </c>
      <c r="B1919" s="62" t="inlineStr">
        <is>
          <t xml:space="preserve">    steps:</t>
        </is>
      </c>
    </row>
    <row r="1920">
      <c r="A1920" s="61" t="n">
        <v>38</v>
      </c>
      <c r="B1920" s="62" t="inlineStr">
        <is>
          <t xml:space="preserve">      - uses: actions/checkout@v4</t>
        </is>
      </c>
    </row>
    <row r="1921">
      <c r="A1921" s="61" t="n">
        <v>39</v>
      </c>
      <c r="B1921" s="62" t="inlineStr">
        <is>
          <t xml:space="preserve">      - uses: actions/setup-node@v4</t>
        </is>
      </c>
    </row>
    <row r="1922">
      <c r="A1922" s="61" t="n">
        <v>40</v>
      </c>
      <c r="B1922" s="62" t="inlineStr">
        <is>
          <t xml:space="preserve">        with: { node-version: 22, cache: npm, cache-dependency-path: apps/web/package-lock.json }</t>
        </is>
      </c>
    </row>
    <row r="1923">
      <c r="A1923" s="61" t="n">
        <v>41</v>
      </c>
      <c r="B1923" s="62" t="inlineStr">
        <is>
          <t xml:space="preserve">      - run: npm ci</t>
        </is>
      </c>
    </row>
    <row r="1924">
      <c r="A1924" s="61" t="n">
        <v>42</v>
      </c>
      <c r="B1924" s="62" t="inlineStr">
        <is>
          <t xml:space="preserve">      - run: npm run lint</t>
        </is>
      </c>
    </row>
    <row r="1925">
      <c r="A1925" s="61" t="n">
        <v>43</v>
      </c>
      <c r="B1925" s="62" t="inlineStr">
        <is>
          <t xml:space="preserve">      - run: npx tsc -b</t>
        </is>
      </c>
    </row>
    <row r="1926">
      <c r="A1926" s="61" t="n">
        <v>44</v>
      </c>
      <c r="B1926" s="62" t="inlineStr">
        <is>
          <t xml:space="preserve">      - run: npx vitest run</t>
        </is>
      </c>
    </row>
    <row r="1927">
      <c r="A1927" s="61" t="n">
        <v>45</v>
      </c>
      <c r="B1927" s="62" t="inlineStr">
        <is>
          <t xml:space="preserve">      - run: npm run build</t>
        </is>
      </c>
    </row>
    <row r="1928">
      <c r="A1928" s="61" t="n">
        <v>46</v>
      </c>
      <c r="B1928" s="62" t="inlineStr">
        <is>
          <t xml:space="preserve">      - run: npx playwright install --with-deps chromium</t>
        </is>
      </c>
    </row>
    <row r="1929">
      <c r="A1929" s="61" t="n">
        <v>47</v>
      </c>
      <c r="B1929" s="62" t="inlineStr">
        <is>
          <t xml:space="preserve">      - run: npx playwright test e2e/play.spec.ts   # frontend-only journeys; full-stack e2e runs locally</t>
        </is>
      </c>
    </row>
    <row r="1932">
      <c r="A1932" s="60" t="inlineStr">
        <is>
          <t>C38</t>
        </is>
      </c>
      <c r="B1932" s="60" t="inlineStr">
        <is>
          <t>services/backend/app/domain/pgn.py   ·   Phase P6   ·   Untrusted PGN parsing, replay validation, per-game errors.</t>
        </is>
      </c>
    </row>
    <row r="1933">
      <c r="B1933" s="55" t="inlineStr">
        <is>
          <t>↑ back to Code Index</t>
        </is>
      </c>
    </row>
    <row r="1934">
      <c r="A1934" s="61" t="n">
        <v>1</v>
      </c>
      <c r="B1934" s="62" t="inlineStr">
        <is>
          <t>"""PGN parsing and validation. Uploaded text is untrusted: bound it, replay it, reject what is not standard chess."""</t>
        </is>
      </c>
    </row>
    <row r="1935">
      <c r="A1935" s="61" t="n">
        <v>2</v>
      </c>
      <c r="B1935" s="62" t="inlineStr">
        <is>
          <t>import hashlib</t>
        </is>
      </c>
    </row>
    <row r="1936">
      <c r="A1936" s="61" t="n">
        <v>3</v>
      </c>
      <c r="B1936" s="62" t="inlineStr">
        <is>
          <t>import io</t>
        </is>
      </c>
    </row>
    <row r="1937">
      <c r="A1937" s="61" t="n">
        <v>4</v>
      </c>
      <c r="B1937" s="62" t="inlineStr">
        <is>
          <t>from collections.abc import Iterator</t>
        </is>
      </c>
    </row>
    <row r="1938">
      <c r="A1938" s="61" t="n">
        <v>5</v>
      </c>
      <c r="B1938" s="62" t="inlineStr">
        <is>
          <t>from dataclasses import dataclass, field</t>
        </is>
      </c>
    </row>
    <row r="1939">
      <c r="A1939" s="61" t="n">
        <v>6</v>
      </c>
      <c r="B1939" s="62" t="n"/>
    </row>
    <row r="1940">
      <c r="A1940" s="61" t="n">
        <v>7</v>
      </c>
      <c r="B1940" s="62" t="inlineStr">
        <is>
          <t>import chess</t>
        </is>
      </c>
    </row>
    <row r="1941">
      <c r="A1941" s="61" t="n">
        <v>8</v>
      </c>
      <c r="B1941" s="62" t="inlineStr">
        <is>
          <t>import chess.pgn</t>
        </is>
      </c>
    </row>
    <row r="1942">
      <c r="A1942" s="61" t="n">
        <v>9</v>
      </c>
      <c r="B1942" s="62" t="n"/>
    </row>
    <row r="1943">
      <c r="A1943" s="61" t="n">
        <v>10</v>
      </c>
      <c r="B1943" s="62" t="inlineStr">
        <is>
          <t>MAX_PLIES = 400  # longer games are rejected rather than analysed forever</t>
        </is>
      </c>
    </row>
    <row r="1944">
      <c r="A1944" s="61" t="n">
        <v>11</v>
      </c>
      <c r="B1944" s="62" t="n"/>
    </row>
    <row r="1945">
      <c r="A1945" s="61" t="n">
        <v>12</v>
      </c>
      <c r="B1945" s="62" t="n"/>
    </row>
    <row r="1946">
      <c r="A1946" s="61" t="n">
        <v>13</v>
      </c>
      <c r="B1946" s="62" t="inlineStr">
        <is>
          <t>class PgnError(ValueError):</t>
        </is>
      </c>
    </row>
    <row r="1947">
      <c r="A1947" s="61" t="n">
        <v>14</v>
      </c>
      <c r="B1947" s="62" t="inlineStr">
        <is>
          <t xml:space="preserve">    pass</t>
        </is>
      </c>
    </row>
    <row r="1948">
      <c r="A1948" s="61" t="n">
        <v>15</v>
      </c>
      <c r="B1948" s="62" t="n"/>
    </row>
    <row r="1949">
      <c r="A1949" s="61" t="n">
        <v>16</v>
      </c>
      <c r="B1949" s="62" t="n"/>
    </row>
    <row r="1950">
      <c r="A1950" s="61" t="n">
        <v>17</v>
      </c>
      <c r="B1950" s="62" t="inlineStr">
        <is>
          <t>@dataclass</t>
        </is>
      </c>
    </row>
    <row r="1951">
      <c r="A1951" s="61" t="n">
        <v>18</v>
      </c>
      <c r="B1951" s="62" t="inlineStr">
        <is>
          <t>class ParsedGame:</t>
        </is>
      </c>
    </row>
    <row r="1952">
      <c r="A1952" s="61" t="n">
        <v>19</v>
      </c>
      <c r="B1952" s="62" t="inlineStr">
        <is>
          <t xml:space="preserve">    pgn: str</t>
        </is>
      </c>
    </row>
    <row r="1953">
      <c r="A1953" s="61" t="n">
        <v>20</v>
      </c>
      <c r="B1953" s="62" t="inlineStr">
        <is>
          <t xml:space="preserve">    initial_fen: str</t>
        </is>
      </c>
    </row>
    <row r="1954">
      <c r="A1954" s="61" t="n">
        <v>21</v>
      </c>
      <c r="B1954" s="62" t="inlineStr">
        <is>
          <t xml:space="preserve">    moves_uci: list[str]</t>
        </is>
      </c>
    </row>
    <row r="1955">
      <c r="A1955" s="61" t="n">
        <v>22</v>
      </c>
      <c r="B1955" s="62" t="inlineStr">
        <is>
          <t xml:space="preserve">    white: str</t>
        </is>
      </c>
    </row>
    <row r="1956">
      <c r="A1956" s="61" t="n">
        <v>23</v>
      </c>
      <c r="B1956" s="62" t="inlineStr">
        <is>
          <t xml:space="preserve">    black: str</t>
        </is>
      </c>
    </row>
    <row r="1957">
      <c r="A1957" s="61" t="n">
        <v>24</v>
      </c>
      <c r="B1957" s="62" t="inlineStr">
        <is>
          <t xml:space="preserve">    result: str</t>
        </is>
      </c>
    </row>
    <row r="1958">
      <c r="A1958" s="61" t="n">
        <v>25</v>
      </c>
      <c r="B1958" s="62" t="inlineStr">
        <is>
          <t xml:space="preserve">    headers: dict[str, str] = field(default_factory=dict)</t>
        </is>
      </c>
    </row>
    <row r="1959">
      <c r="A1959" s="61" t="n">
        <v>26</v>
      </c>
      <c r="B1959" s="62" t="n"/>
    </row>
    <row r="1960">
      <c r="A1960" s="61" t="n">
        <v>27</v>
      </c>
      <c r="B1960" s="62" t="inlineStr">
        <is>
          <t xml:space="preserve">    @property</t>
        </is>
      </c>
    </row>
    <row r="1961">
      <c r="A1961" s="61" t="n">
        <v>28</v>
      </c>
      <c r="B1961" s="62" t="inlineStr">
        <is>
          <t xml:space="preserve">    def ply_count(self) -&gt; int:</t>
        </is>
      </c>
    </row>
    <row r="1962">
      <c r="A1962" s="61" t="n">
        <v>29</v>
      </c>
      <c r="B1962" s="62" t="inlineStr">
        <is>
          <t xml:space="preserve">        return len(self.moves_uci)</t>
        </is>
      </c>
    </row>
    <row r="1963">
      <c r="A1963" s="61" t="n">
        <v>30</v>
      </c>
      <c r="B1963" s="62" t="n"/>
    </row>
    <row r="1964">
      <c r="A1964" s="61" t="n">
        <v>31</v>
      </c>
      <c r="B1964" s="62" t="inlineStr">
        <is>
          <t xml:space="preserve">    @property</t>
        </is>
      </c>
    </row>
    <row r="1965">
      <c r="A1965" s="61" t="n">
        <v>32</v>
      </c>
      <c r="B1965" s="62" t="inlineStr">
        <is>
          <t xml:space="preserve">    def fingerprint(self) -&gt; str:</t>
        </is>
      </c>
    </row>
    <row r="1966">
      <c r="A1966" s="61" t="n">
        <v>33</v>
      </c>
      <c r="B1966" s="62" t="inlineStr">
        <is>
          <t xml:space="preserve">        """Stable id for games that have no provider id (played games, uploads)."""</t>
        </is>
      </c>
    </row>
    <row r="1967">
      <c r="A1967" s="61" t="n">
        <v>34</v>
      </c>
      <c r="B1967" s="62" t="inlineStr">
        <is>
          <t xml:space="preserve">        raw = self.initial_fen + " " + " ".join(self.moves_uci)</t>
        </is>
      </c>
    </row>
    <row r="1968">
      <c r="A1968" s="61" t="n">
        <v>35</v>
      </c>
      <c r="B1968" s="62" t="inlineStr">
        <is>
          <t xml:space="preserve">        return hashlib.sha256(raw.encode()).hexdigest()[:40]</t>
        </is>
      </c>
    </row>
    <row r="1969">
      <c r="A1969" s="61" t="n">
        <v>36</v>
      </c>
      <c r="B1969" s="62" t="n"/>
    </row>
    <row r="1970">
      <c r="A1970" s="61" t="n">
        <v>37</v>
      </c>
      <c r="B1970" s="62" t="n"/>
    </row>
    <row r="1971">
      <c r="A1971" s="61" t="n">
        <v>38</v>
      </c>
      <c r="B1971" s="62" t="inlineStr">
        <is>
          <t>def _validate(game: chess.pgn.Game) -&gt; ParsedGame:</t>
        </is>
      </c>
    </row>
    <row r="1972">
      <c r="A1972" s="61" t="n">
        <v>39</v>
      </c>
      <c r="B1972" s="62" t="inlineStr">
        <is>
          <t xml:space="preserve">    if game.errors:</t>
        </is>
      </c>
    </row>
    <row r="1973">
      <c r="A1973" s="61" t="n">
        <v>40</v>
      </c>
      <c r="B1973" s="62" t="inlineStr">
        <is>
          <t xml:space="preserve">        # python-chess does not raise on illegal moves; it records them and stops the mainline.</t>
        </is>
      </c>
    </row>
    <row r="1974">
      <c r="A1974" s="61" t="n">
        <v>41</v>
      </c>
      <c r="B1974" s="62" t="inlineStr">
        <is>
          <t xml:space="preserve">        raise PgnError(f"Unreadable or illegal move: {game.errors[0]}")</t>
        </is>
      </c>
    </row>
    <row r="1975">
      <c r="A1975" s="61" t="n">
        <v>42</v>
      </c>
      <c r="B1975" s="62" t="inlineStr">
        <is>
          <t xml:space="preserve">    variant = game.headers.get("Variant", "Standard").lower()</t>
        </is>
      </c>
    </row>
    <row r="1976">
      <c r="A1976" s="61" t="n">
        <v>43</v>
      </c>
      <c r="B1976" s="62" t="inlineStr">
        <is>
          <t xml:space="preserve">    if variant not in ("standard", "chess", "from position"):</t>
        </is>
      </c>
    </row>
    <row r="1977">
      <c r="A1977" s="61" t="n">
        <v>44</v>
      </c>
      <c r="B1977" s="62" t="inlineStr">
        <is>
          <t xml:space="preserve">        raise PgnError(f"Unsupported variant: {game.headers.get('Variant')}")</t>
        </is>
      </c>
    </row>
    <row r="1978">
      <c r="A1978" s="61" t="n">
        <v>45</v>
      </c>
      <c r="B1978" s="62" t="inlineStr">
        <is>
          <t xml:space="preserve">    board = game.board()  # honours a [FEN] header</t>
        </is>
      </c>
    </row>
    <row r="1979">
      <c r="A1979" s="61" t="n">
        <v>46</v>
      </c>
      <c r="B1979" s="62" t="inlineStr">
        <is>
          <t xml:space="preserve">    if not board.is_valid():</t>
        </is>
      </c>
    </row>
    <row r="1980">
      <c r="A1980" s="61" t="n">
        <v>47</v>
      </c>
      <c r="B1980" s="62" t="inlineStr">
        <is>
          <t xml:space="preserve">        raise PgnError("The starting position is not a legal chess position.")</t>
        </is>
      </c>
    </row>
    <row r="1981">
      <c r="A1981" s="61" t="n">
        <v>48</v>
      </c>
      <c r="B1981" s="62" t="inlineStr">
        <is>
          <t xml:space="preserve">    initial_fen = board.fen()</t>
        </is>
      </c>
    </row>
    <row r="1982">
      <c r="A1982" s="61" t="n">
        <v>49</v>
      </c>
      <c r="B1982" s="62" t="inlineStr">
        <is>
          <t xml:space="preserve">    moves: list[str] = []</t>
        </is>
      </c>
    </row>
    <row r="1983">
      <c r="A1983" s="61" t="n">
        <v>50</v>
      </c>
      <c r="B1983" s="62" t="inlineStr">
        <is>
          <t xml:space="preserve">    for move in game.mainline_moves():</t>
        </is>
      </c>
    </row>
    <row r="1984">
      <c r="A1984" s="61" t="n">
        <v>51</v>
      </c>
      <c r="B1984" s="62" t="inlineStr">
        <is>
          <t xml:space="preserve">        if move not in board.legal_moves:</t>
        </is>
      </c>
    </row>
    <row r="1985">
      <c r="A1985" s="61" t="n">
        <v>52</v>
      </c>
      <c r="B1985" s="62" t="inlineStr">
        <is>
          <t xml:space="preserve">            raise PgnError(f"Illegal move {move.uci()} at ply {len(moves) + 1}.")</t>
        </is>
      </c>
    </row>
    <row r="1986">
      <c r="A1986" s="61" t="n">
        <v>53</v>
      </c>
      <c r="B1986" s="62" t="inlineStr">
        <is>
          <t xml:space="preserve">        moves.append(move.uci())</t>
        </is>
      </c>
    </row>
    <row r="1987">
      <c r="A1987" s="61" t="n">
        <v>54</v>
      </c>
      <c r="B1987" s="62" t="inlineStr">
        <is>
          <t xml:space="preserve">        board.push(move)</t>
        </is>
      </c>
    </row>
    <row r="1988">
      <c r="A1988" s="61" t="n">
        <v>55</v>
      </c>
      <c r="B1988" s="62" t="inlineStr">
        <is>
          <t xml:space="preserve">        if len(moves) &gt; MAX_PLIES:</t>
        </is>
      </c>
    </row>
    <row r="1989">
      <c r="A1989" s="61" t="n">
        <v>56</v>
      </c>
      <c r="B1989" s="62" t="inlineStr">
        <is>
          <t xml:space="preserve">            raise PgnError(f"Game is longer than {MAX_PLIES} plies.")</t>
        </is>
      </c>
    </row>
    <row r="1990">
      <c r="A1990" s="61" t="n">
        <v>57</v>
      </c>
      <c r="B1990" s="62" t="inlineStr">
        <is>
          <t xml:space="preserve">    if not moves:</t>
        </is>
      </c>
    </row>
    <row r="1991">
      <c r="A1991" s="61" t="n">
        <v>58</v>
      </c>
      <c r="B1991" s="62" t="inlineStr">
        <is>
          <t xml:space="preserve">        raise PgnError("The game has no moves.")</t>
        </is>
      </c>
    </row>
    <row r="1992">
      <c r="A1992" s="61" t="n">
        <v>59</v>
      </c>
      <c r="B1992" s="62" t="inlineStr">
        <is>
          <t xml:space="preserve">    exporter = chess.pgn.StringExporter(headers=True, variations=False, comments=False)</t>
        </is>
      </c>
    </row>
    <row r="1993">
      <c r="A1993" s="61" t="n">
        <v>60</v>
      </c>
      <c r="B1993" s="62" t="inlineStr">
        <is>
          <t xml:space="preserve">    return ParsedGame(</t>
        </is>
      </c>
    </row>
    <row r="1994">
      <c r="A1994" s="61" t="n">
        <v>61</v>
      </c>
      <c r="B1994" s="62" t="inlineStr">
        <is>
          <t xml:space="preserve">        pgn=game.accept(exporter),</t>
        </is>
      </c>
    </row>
    <row r="1995">
      <c r="A1995" s="61" t="n">
        <v>62</v>
      </c>
      <c r="B1995" s="62" t="inlineStr">
        <is>
          <t xml:space="preserve">        initial_fen=initial_fen,</t>
        </is>
      </c>
    </row>
    <row r="1996">
      <c r="A1996" s="61" t="n">
        <v>63</v>
      </c>
      <c r="B1996" s="62" t="inlineStr">
        <is>
          <t xml:space="preserve">        moves_uci=moves,</t>
        </is>
      </c>
    </row>
    <row r="1997">
      <c r="A1997" s="61" t="n">
        <v>64</v>
      </c>
      <c r="B1997" s="62" t="inlineStr">
        <is>
          <t xml:space="preserve">        white=game.headers.get("White", "?")[:80],</t>
        </is>
      </c>
    </row>
    <row r="1998">
      <c r="A1998" s="61" t="n">
        <v>65</v>
      </c>
      <c r="B1998" s="62" t="inlineStr">
        <is>
          <t xml:space="preserve">        black=game.headers.get("Black", "?")[:80],</t>
        </is>
      </c>
    </row>
    <row r="1999">
      <c r="A1999" s="61" t="n">
        <v>66</v>
      </c>
      <c r="B1999" s="62" t="inlineStr">
        <is>
          <t xml:space="preserve">        result=game.headers.get("Result", "*")[:8],</t>
        </is>
      </c>
    </row>
    <row r="2000">
      <c r="A2000" s="61" t="n">
        <v>67</v>
      </c>
      <c r="B2000" s="62" t="inlineStr">
        <is>
          <t xml:space="preserve">        headers=dict(game.headers),</t>
        </is>
      </c>
    </row>
    <row r="2001">
      <c r="A2001" s="61" t="n">
        <v>68</v>
      </c>
      <c r="B2001" s="62" t="inlineStr">
        <is>
          <t xml:space="preserve">    )</t>
        </is>
      </c>
    </row>
    <row r="2002">
      <c r="A2002" s="61" t="n">
        <v>69</v>
      </c>
      <c r="B2002" s="62" t="n"/>
    </row>
    <row r="2003">
      <c r="A2003" s="61" t="n">
        <v>70</v>
      </c>
      <c r="B2003" s="62" t="n"/>
    </row>
    <row r="2004">
      <c r="A2004" s="61" t="n">
        <v>71</v>
      </c>
      <c r="B2004" s="62" t="inlineStr">
        <is>
          <t>def parse_single(text: str) -&gt; ParsedGame:</t>
        </is>
      </c>
    </row>
    <row r="2005">
      <c r="A2005" s="61" t="n">
        <v>72</v>
      </c>
      <c r="B2005" s="62" t="inlineStr">
        <is>
          <t xml:space="preserve">    game = chess.pgn.read_game(io.StringIO(text))</t>
        </is>
      </c>
    </row>
    <row r="2006">
      <c r="A2006" s="61" t="n">
        <v>73</v>
      </c>
      <c r="B2006" s="62" t="inlineStr">
        <is>
          <t xml:space="preserve">    if game is None:</t>
        </is>
      </c>
    </row>
    <row r="2007">
      <c r="A2007" s="61" t="n">
        <v>74</v>
      </c>
      <c r="B2007" s="62" t="inlineStr">
        <is>
          <t xml:space="preserve">        raise PgnError("No game found in the PGN text.")</t>
        </is>
      </c>
    </row>
    <row r="2008">
      <c r="A2008" s="61" t="n">
        <v>75</v>
      </c>
      <c r="B2008" s="62" t="inlineStr">
        <is>
          <t xml:space="preserve">    return _validate(game)</t>
        </is>
      </c>
    </row>
    <row r="2009">
      <c r="A2009" s="61" t="n">
        <v>76</v>
      </c>
      <c r="B2009" s="62" t="n"/>
    </row>
    <row r="2010">
      <c r="A2010" s="61" t="n">
        <v>77</v>
      </c>
      <c r="B2010" s="62" t="n"/>
    </row>
    <row r="2011">
      <c r="A2011" s="61" t="n">
        <v>78</v>
      </c>
      <c r="B2011" s="62" t="inlineStr">
        <is>
          <t>def iter_games(text: str, max_games: int) -&gt; Iterator[tuple[int, ParsedGame | None, str | None]]:</t>
        </is>
      </c>
    </row>
    <row r="2012">
      <c r="A2012" s="61" t="n">
        <v>79</v>
      </c>
      <c r="B2012" s="62" t="inlineStr">
        <is>
          <t xml:space="preserve">    """Yields (index, parsed_game, error) so one bad game does not reject a whole upload."""</t>
        </is>
      </c>
    </row>
    <row r="2013">
      <c r="A2013" s="61" t="n">
        <v>80</v>
      </c>
      <c r="B2013" s="62" t="inlineStr">
        <is>
          <t xml:space="preserve">    stream = io.StringIO(text)</t>
        </is>
      </c>
    </row>
    <row r="2014">
      <c r="A2014" s="61" t="n">
        <v>81</v>
      </c>
      <c r="B2014" s="62" t="inlineStr">
        <is>
          <t xml:space="preserve">    for index in range(max_games):</t>
        </is>
      </c>
    </row>
    <row r="2015">
      <c r="A2015" s="61" t="n">
        <v>82</v>
      </c>
      <c r="B2015" s="62" t="inlineStr">
        <is>
          <t xml:space="preserve">        game = chess.pgn.read_game(stream)</t>
        </is>
      </c>
    </row>
    <row r="2016">
      <c r="A2016" s="61" t="n">
        <v>83</v>
      </c>
      <c r="B2016" s="62" t="inlineStr">
        <is>
          <t xml:space="preserve">        if game is None:</t>
        </is>
      </c>
    </row>
    <row r="2017">
      <c r="A2017" s="61" t="n">
        <v>84</v>
      </c>
      <c r="B2017" s="62" t="inlineStr">
        <is>
          <t xml:space="preserve">            return</t>
        </is>
      </c>
    </row>
    <row r="2018">
      <c r="A2018" s="61" t="n">
        <v>85</v>
      </c>
      <c r="B2018" s="62" t="inlineStr">
        <is>
          <t xml:space="preserve">        try:</t>
        </is>
      </c>
    </row>
    <row r="2019">
      <c r="A2019" s="61" t="n">
        <v>86</v>
      </c>
      <c r="B2019" s="62" t="inlineStr">
        <is>
          <t xml:space="preserve">            yield index, _validate(game), None</t>
        </is>
      </c>
    </row>
    <row r="2020">
      <c r="A2020" s="61" t="n">
        <v>87</v>
      </c>
      <c r="B2020" s="62" t="inlineStr">
        <is>
          <t xml:space="preserve">        except PgnError as exc:</t>
        </is>
      </c>
    </row>
    <row r="2021">
      <c r="A2021" s="61" t="n">
        <v>88</v>
      </c>
      <c r="B2021" s="62" t="inlineStr">
        <is>
          <t xml:space="preserve">            yield index, None, str(exc)</t>
        </is>
      </c>
    </row>
    <row r="2022">
      <c r="A2022" s="61" t="n">
        <v>89</v>
      </c>
      <c r="B2022" s="62" t="n"/>
    </row>
    <row r="2023">
      <c r="A2023" s="61" t="n">
        <v>90</v>
      </c>
      <c r="B2023" s="62" t="n"/>
    </row>
    <row r="2024">
      <c r="A2024" s="61" t="n">
        <v>91</v>
      </c>
      <c r="B2024" s="62" t="inlineStr">
        <is>
          <t>def player_color_for(parsed: ParsedGame, player_name: str | None) -&gt; str | None:</t>
        </is>
      </c>
    </row>
    <row r="2025">
      <c r="A2025" s="61" t="n">
        <v>92</v>
      </c>
      <c r="B2025" s="62" t="inlineStr">
        <is>
          <t xml:space="preserve">    if not player_name:</t>
        </is>
      </c>
    </row>
    <row r="2026">
      <c r="A2026" s="61" t="n">
        <v>93</v>
      </c>
      <c r="B2026" s="62" t="inlineStr">
        <is>
          <t xml:space="preserve">        return None</t>
        </is>
      </c>
    </row>
    <row r="2027">
      <c r="A2027" s="61" t="n">
        <v>94</v>
      </c>
      <c r="B2027" s="62" t="inlineStr">
        <is>
          <t xml:space="preserve">    name = player_name.strip().lower()</t>
        </is>
      </c>
    </row>
    <row r="2028">
      <c r="A2028" s="61" t="n">
        <v>95</v>
      </c>
      <c r="B2028" s="62" t="inlineStr">
        <is>
          <t xml:space="preserve">    if parsed.white.lower() == name:</t>
        </is>
      </c>
    </row>
    <row r="2029">
      <c r="A2029" s="61" t="n">
        <v>96</v>
      </c>
      <c r="B2029" s="62" t="inlineStr">
        <is>
          <t xml:space="preserve">        return "white"</t>
        </is>
      </c>
    </row>
    <row r="2030">
      <c r="A2030" s="61" t="n">
        <v>97</v>
      </c>
      <c r="B2030" s="62" t="inlineStr">
        <is>
          <t xml:space="preserve">    if parsed.black.lower() == name:</t>
        </is>
      </c>
    </row>
    <row r="2031">
      <c r="A2031" s="61" t="n">
        <v>98</v>
      </c>
      <c r="B2031" s="62" t="inlineStr">
        <is>
          <t xml:space="preserve">        return "black"</t>
        </is>
      </c>
    </row>
    <row r="2032">
      <c r="A2032" s="61" t="n">
        <v>99</v>
      </c>
      <c r="B2032" s="62" t="inlineStr">
        <is>
          <t xml:space="preserve">    return None</t>
        </is>
      </c>
    </row>
    <row r="2035">
      <c r="A2035" s="60" t="inlineStr">
        <is>
          <t>C39</t>
        </is>
      </c>
      <c r="B2035" s="60" t="inlineStr">
        <is>
          <t>services/backend/app/jobs/queue.py   ·   Phase P6   ·   Postgres job queue: enqueue, SKIP LOCKED claim, leases, fencing, retries.</t>
        </is>
      </c>
    </row>
    <row r="2036">
      <c r="B2036" s="55" t="inlineStr">
        <is>
          <t>↑ back to Code Index</t>
        </is>
      </c>
    </row>
    <row r="2037">
      <c r="A2037" s="61" t="n">
        <v>1</v>
      </c>
      <c r="B2037" s="62" t="inlineStr">
        <is>
          <t>"""A durable job queue stored in a Postgres table.</t>
        </is>
      </c>
    </row>
    <row r="2038">
      <c r="A2038" s="61" t="n">
        <v>2</v>
      </c>
      <c r="B2038" s="62" t="n"/>
    </row>
    <row r="2039">
      <c r="A2039" s="61" t="n">
        <v>3</v>
      </c>
      <c r="B2039" s="62" t="inlineStr">
        <is>
          <t>Lifecycle: queued -&gt; running -&gt; succeeded</t>
        </is>
      </c>
    </row>
    <row r="2040">
      <c r="A2040" s="61" t="n">
        <v>4</v>
      </c>
      <c r="B2040" s="62" t="inlineStr">
        <is>
          <t xml:space="preserve">                    running -&gt; retry_wait -&gt; running ... -&gt; failed (after max_attempts)</t>
        </is>
      </c>
    </row>
    <row r="2041">
      <c r="A2041" s="61" t="n">
        <v>5</v>
      </c>
      <c r="B2041" s="62" t="inlineStr">
        <is>
          <t xml:space="preserve">                    running -&gt; cancelled (cooperative, at safe checkpoints)</t>
        </is>
      </c>
    </row>
    <row r="2042">
      <c r="A2042" s="61" t="n">
        <v>6</v>
      </c>
      <c r="B2042" s="62" t="n"/>
    </row>
    <row r="2043">
      <c r="A2043" s="61" t="n">
        <v>7</v>
      </c>
      <c r="B2043" s="62" t="inlineStr">
        <is>
          <t>Key ideas:</t>
        </is>
      </c>
    </row>
    <row r="2044">
      <c r="A2044" s="61" t="n">
        <v>8</v>
      </c>
      <c r="B2044" s="62" t="inlineStr">
        <is>
          <t>* claim() uses FOR UPDATE SKIP LOCKED so many workers can pull jobs without taking the same row.</t>
        </is>
      </c>
    </row>
    <row r="2045">
      <c r="A2045" s="61" t="n">
        <v>9</v>
      </c>
      <c r="B2045" s="62" t="inlineStr">
        <is>
          <t>* A claimed job has a LEASE. If the worker dies, the lease expires and another worker reclaims it.</t>
        </is>
      </c>
    </row>
    <row r="2046">
      <c r="A2046" s="61" t="n">
        <v>10</v>
      </c>
      <c r="B2046" s="62" t="inlineStr">
        <is>
          <t>* `attempts` doubles as a fencing token: a stale worker's late update matches 0 rows and is ignored.</t>
        </is>
      </c>
    </row>
    <row r="2047">
      <c r="A2047" s="61" t="n">
        <v>11</v>
      </c>
      <c r="B2047" s="62" t="inlineStr">
        <is>
          <t>* Handlers must be idempotent, because a crash after doing work but before saving "succeeded"</t>
        </is>
      </c>
    </row>
    <row r="2048">
      <c r="A2048" s="61" t="n">
        <v>12</v>
      </c>
      <c r="B2048" s="62" t="inlineStr">
        <is>
          <t xml:space="preserve">  means the work will run again.</t>
        </is>
      </c>
    </row>
    <row r="2049">
      <c r="A2049" s="61" t="n">
        <v>13</v>
      </c>
      <c r="B2049" s="62" t="inlineStr">
        <is>
          <t>"""</t>
        </is>
      </c>
    </row>
    <row r="2050">
      <c r="A2050" s="61" t="n">
        <v>14</v>
      </c>
      <c r="B2050" s="62" t="inlineStr">
        <is>
          <t>import json</t>
        </is>
      </c>
    </row>
    <row r="2051">
      <c r="A2051" s="61" t="n">
        <v>15</v>
      </c>
      <c r="B2051" s="62" t="inlineStr">
        <is>
          <t>import random</t>
        </is>
      </c>
    </row>
    <row r="2052">
      <c r="A2052" s="61" t="n">
        <v>16</v>
      </c>
      <c r="B2052" s="62" t="inlineStr">
        <is>
          <t>import uuid</t>
        </is>
      </c>
    </row>
    <row r="2053">
      <c r="A2053" s="61" t="n">
        <v>17</v>
      </c>
      <c r="B2053" s="62" t="inlineStr">
        <is>
          <t>from dataclasses import dataclass, field</t>
        </is>
      </c>
    </row>
    <row r="2054">
      <c r="A2054" s="61" t="n">
        <v>18</v>
      </c>
      <c r="B2054" s="62" t="inlineStr">
        <is>
          <t>from typing import Any</t>
        </is>
      </c>
    </row>
    <row r="2055">
      <c r="A2055" s="61" t="n">
        <v>19</v>
      </c>
      <c r="B2055" s="62" t="n"/>
    </row>
    <row r="2056">
      <c r="A2056" s="61" t="n">
        <v>20</v>
      </c>
      <c r="B2056" s="62" t="inlineStr">
        <is>
          <t>from sqlalchemy import select, text</t>
        </is>
      </c>
    </row>
    <row r="2057">
      <c r="A2057" s="61" t="n">
        <v>21</v>
      </c>
      <c r="B2057" s="62" t="inlineStr">
        <is>
          <t>from sqlalchemy.dialects.postgresql import insert as pg_insert</t>
        </is>
      </c>
    </row>
    <row r="2058">
      <c r="A2058" s="61" t="n">
        <v>22</v>
      </c>
      <c r="B2058" s="62" t="inlineStr">
        <is>
          <t>from sqlalchemy.orm import Session</t>
        </is>
      </c>
    </row>
    <row r="2059">
      <c r="A2059" s="61" t="n">
        <v>23</v>
      </c>
      <c r="B2059" s="62" t="n"/>
    </row>
    <row r="2060">
      <c r="A2060" s="61" t="n">
        <v>24</v>
      </c>
      <c r="B2060" s="62" t="inlineStr">
        <is>
          <t>from app.config import get_settings</t>
        </is>
      </c>
    </row>
    <row r="2061">
      <c r="A2061" s="61" t="n">
        <v>25</v>
      </c>
      <c r="B2061" s="62" t="inlineStr">
        <is>
          <t>from app.db import SessionLocal</t>
        </is>
      </c>
    </row>
    <row r="2062">
      <c r="A2062" s="61" t="n">
        <v>26</v>
      </c>
      <c r="B2062" s="62" t="inlineStr">
        <is>
          <t>from app.models import Job</t>
        </is>
      </c>
    </row>
    <row r="2063">
      <c r="A2063" s="61" t="n">
        <v>27</v>
      </c>
      <c r="B2063" s="62" t="n"/>
    </row>
    <row r="2064">
      <c r="A2064" s="61" t="n">
        <v>28</v>
      </c>
      <c r="B2064" s="62" t="inlineStr">
        <is>
          <t>TERMINAL = ("succeeded", "failed", "cancelled")</t>
        </is>
      </c>
    </row>
    <row r="2065">
      <c r="A2065" s="61" t="n">
        <v>29</v>
      </c>
      <c r="B2065" s="62" t="n"/>
    </row>
    <row r="2066">
      <c r="A2066" s="61" t="n">
        <v>30</v>
      </c>
      <c r="B2066" s="62" t="n"/>
    </row>
    <row r="2067">
      <c r="A2067" s="61" t="n">
        <v>31</v>
      </c>
      <c r="B2067" s="62" t="inlineStr">
        <is>
          <t>class Cancelled(Exception):</t>
        </is>
      </c>
    </row>
    <row r="2068">
      <c r="A2068" s="61" t="n">
        <v>32</v>
      </c>
      <c r="B2068" s="62" t="inlineStr">
        <is>
          <t xml:space="preserve">    """Raised inside a handler when the user asked to cancel."""</t>
        </is>
      </c>
    </row>
    <row r="2069">
      <c r="A2069" s="61" t="n">
        <v>33</v>
      </c>
      <c r="B2069" s="62" t="n"/>
    </row>
    <row r="2070">
      <c r="A2070" s="61" t="n">
        <v>34</v>
      </c>
      <c r="B2070" s="62" t="n"/>
    </row>
    <row r="2071">
      <c r="A2071" s="61" t="n">
        <v>35</v>
      </c>
      <c r="B2071" s="62" t="inlineStr">
        <is>
          <t>class PermanentError(Exception):</t>
        </is>
      </c>
    </row>
    <row r="2072">
      <c r="A2072" s="61" t="n">
        <v>36</v>
      </c>
      <c r="B2072" s="62" t="inlineStr">
        <is>
          <t xml:space="preserve">    """Raise for failures that will never succeed on retry (bad input, user not found)."""</t>
        </is>
      </c>
    </row>
    <row r="2073">
      <c r="A2073" s="61" t="n">
        <v>37</v>
      </c>
      <c r="B2073" s="62" t="n"/>
    </row>
    <row r="2074">
      <c r="A2074" s="61" t="n">
        <v>38</v>
      </c>
      <c r="B2074" s="62" t="inlineStr">
        <is>
          <t xml:space="preserve">    def __init__(self, code: str, detail: str = ""):</t>
        </is>
      </c>
    </row>
    <row r="2075">
      <c r="A2075" s="61" t="n">
        <v>39</v>
      </c>
      <c r="B2075" s="62" t="inlineStr">
        <is>
          <t xml:space="preserve">        super().__init__(detail or code)</t>
        </is>
      </c>
    </row>
    <row r="2076">
      <c r="A2076" s="61" t="n">
        <v>40</v>
      </c>
      <c r="B2076" s="62" t="inlineStr">
        <is>
          <t xml:space="preserve">        self.code = code</t>
        </is>
      </c>
    </row>
    <row r="2077">
      <c r="A2077" s="61" t="n">
        <v>41</v>
      </c>
      <c r="B2077" s="62" t="n"/>
    </row>
    <row r="2078">
      <c r="A2078" s="61" t="n">
        <v>42</v>
      </c>
      <c r="B2078" s="62" t="n"/>
    </row>
    <row r="2079">
      <c r="A2079" s="61" t="n">
        <v>43</v>
      </c>
      <c r="B2079" s="62" t="inlineStr">
        <is>
          <t>class RetryableError(Exception):</t>
        </is>
      </c>
    </row>
    <row r="2080">
      <c r="A2080" s="61" t="n">
        <v>44</v>
      </c>
      <c r="B2080" s="62" t="inlineStr">
        <is>
          <t xml:space="preserve">    """Raise for temporary failures (timeouts, provider 429/5xx)."""</t>
        </is>
      </c>
    </row>
    <row r="2081">
      <c r="A2081" s="61" t="n">
        <v>45</v>
      </c>
      <c r="B2081" s="62" t="n"/>
    </row>
    <row r="2082">
      <c r="A2082" s="61" t="n">
        <v>46</v>
      </c>
      <c r="B2082" s="62" t="inlineStr">
        <is>
          <t xml:space="preserve">    def __init__(self, code: str, detail: str = "", retry_after_s: int | None = None):</t>
        </is>
      </c>
    </row>
    <row r="2083">
      <c r="A2083" s="61" t="n">
        <v>47</v>
      </c>
      <c r="B2083" s="62" t="inlineStr">
        <is>
          <t xml:space="preserve">        super().__init__(detail or code)</t>
        </is>
      </c>
    </row>
    <row r="2084">
      <c r="A2084" s="61" t="n">
        <v>48</v>
      </c>
      <c r="B2084" s="62" t="inlineStr">
        <is>
          <t xml:space="preserve">        self.code = code</t>
        </is>
      </c>
    </row>
    <row r="2085">
      <c r="A2085" s="61" t="n">
        <v>49</v>
      </c>
      <c r="B2085" s="62" t="inlineStr">
        <is>
          <t xml:space="preserve">        self.retry_after_s = retry_after_s</t>
        </is>
      </c>
    </row>
    <row r="2086">
      <c r="A2086" s="61" t="n">
        <v>50</v>
      </c>
      <c r="B2086" s="62" t="n"/>
    </row>
    <row r="2087">
      <c r="A2087" s="61" t="n">
        <v>51</v>
      </c>
      <c r="B2087" s="62" t="n"/>
    </row>
    <row r="2088">
      <c r="A2088" s="61" t="n">
        <v>52</v>
      </c>
      <c r="B2088" s="62" t="inlineStr">
        <is>
          <t>def enqueue(</t>
        </is>
      </c>
    </row>
    <row r="2089">
      <c r="A2089" s="61" t="n">
        <v>53</v>
      </c>
      <c r="B2089" s="62" t="inlineStr">
        <is>
          <t xml:space="preserve">    db: Session,</t>
        </is>
      </c>
    </row>
    <row r="2090">
      <c r="A2090" s="61" t="n">
        <v>54</v>
      </c>
      <c r="B2090" s="62" t="inlineStr">
        <is>
          <t xml:space="preserve">    *,</t>
        </is>
      </c>
    </row>
    <row r="2091">
      <c r="A2091" s="61" t="n">
        <v>55</v>
      </c>
      <c r="B2091" s="62" t="inlineStr">
        <is>
          <t xml:space="preserve">    kind: str,</t>
        </is>
      </c>
    </row>
    <row r="2092">
      <c r="A2092" s="61" t="n">
        <v>56</v>
      </c>
      <c r="B2092" s="62" t="inlineStr">
        <is>
          <t xml:space="preserve">    payload: dict[str, Any],</t>
        </is>
      </c>
    </row>
    <row r="2093">
      <c r="A2093" s="61" t="n">
        <v>57</v>
      </c>
      <c r="B2093" s="62" t="inlineStr">
        <is>
          <t xml:space="preserve">    owner_id: uuid.UUID | None = None,</t>
        </is>
      </c>
    </row>
    <row r="2094">
      <c r="A2094" s="61" t="n">
        <v>58</v>
      </c>
      <c r="B2094" s="62" t="inlineStr">
        <is>
          <t xml:space="preserve">    priority: int = 0,</t>
        </is>
      </c>
    </row>
    <row r="2095">
      <c r="A2095" s="61" t="n">
        <v>59</v>
      </c>
      <c r="B2095" s="62" t="inlineStr">
        <is>
          <t xml:space="preserve">    dedupe_key: str | None = None,</t>
        </is>
      </c>
    </row>
    <row r="2096">
      <c r="A2096" s="61" t="n">
        <v>60</v>
      </c>
      <c r="B2096" s="62" t="inlineStr">
        <is>
          <t xml:space="preserve">    max_attempts: int = 5,</t>
        </is>
      </c>
    </row>
    <row r="2097">
      <c r="A2097" s="61" t="n">
        <v>61</v>
      </c>
      <c r="B2097" s="62" t="inlineStr">
        <is>
          <t>) -&gt; int:</t>
        </is>
      </c>
    </row>
    <row r="2098">
      <c r="A2098" s="61" t="n">
        <v>62</v>
      </c>
      <c r="B2098" s="62" t="inlineStr">
        <is>
          <t xml:space="preserve">    """Insert a job in the CALLER's transaction (commit together with the data it refers to).</t>
        </is>
      </c>
    </row>
    <row r="2099">
      <c r="A2099" s="61" t="n">
        <v>63</v>
      </c>
      <c r="B2099" s="62" t="inlineStr">
        <is>
          <t xml:space="preserve">    With a dedupe_key, enqueuing the same work twice returns the existing job id."""</t>
        </is>
      </c>
    </row>
    <row r="2100">
      <c r="A2100" s="61" t="n">
        <v>64</v>
      </c>
      <c r="B2100" s="62" t="inlineStr">
        <is>
          <t xml:space="preserve">    stmt = (</t>
        </is>
      </c>
    </row>
    <row r="2101">
      <c r="A2101" s="61" t="n">
        <v>65</v>
      </c>
      <c r="B2101" s="62" t="inlineStr">
        <is>
          <t xml:space="preserve">        pg_insert(Job)</t>
        </is>
      </c>
    </row>
    <row r="2102">
      <c r="A2102" s="61" t="n">
        <v>66</v>
      </c>
      <c r="B2102" s="62" t="inlineStr">
        <is>
          <t xml:space="preserve">        .values(kind=kind, payload=payload, owner_id=owner_id, priority=priority,</t>
        </is>
      </c>
    </row>
    <row r="2103">
      <c r="A2103" s="61" t="n">
        <v>67</v>
      </c>
      <c r="B2103" s="62" t="inlineStr">
        <is>
          <t xml:space="preserve">                dedupe_key=dedupe_key, max_attempts=max_attempts, progress={})</t>
        </is>
      </c>
    </row>
    <row r="2104">
      <c r="A2104" s="61" t="n">
        <v>68</v>
      </c>
      <c r="B2104" s="62" t="inlineStr">
        <is>
          <t xml:space="preserve">        .on_conflict_do_nothing(index_elements=["dedupe_key"])</t>
        </is>
      </c>
    </row>
    <row r="2105">
      <c r="A2105" s="61" t="n">
        <v>69</v>
      </c>
      <c r="B2105" s="62" t="inlineStr">
        <is>
          <t xml:space="preserve">        .returning(Job.id)</t>
        </is>
      </c>
    </row>
    <row r="2106">
      <c r="A2106" s="61" t="n">
        <v>70</v>
      </c>
      <c r="B2106" s="62" t="inlineStr">
        <is>
          <t xml:space="preserve">    )</t>
        </is>
      </c>
    </row>
    <row r="2107">
      <c r="A2107" s="61" t="n">
        <v>71</v>
      </c>
      <c r="B2107" s="62" t="inlineStr">
        <is>
          <t xml:space="preserve">    job_id = db.scalar(stmt)</t>
        </is>
      </c>
    </row>
    <row r="2108">
      <c r="A2108" s="61" t="n">
        <v>72</v>
      </c>
      <c r="B2108" s="62" t="inlineStr">
        <is>
          <t xml:space="preserve">    if job_id is None:</t>
        </is>
      </c>
    </row>
    <row r="2109">
      <c r="A2109" s="61" t="n">
        <v>73</v>
      </c>
      <c r="B2109" s="62" t="inlineStr">
        <is>
          <t xml:space="preserve">        job_id = db.scalar(select(Job.id).where(Job.dedupe_key == dedupe_key))</t>
        </is>
      </c>
    </row>
    <row r="2110">
      <c r="A2110" s="61" t="n">
        <v>74</v>
      </c>
      <c r="B2110" s="62" t="inlineStr">
        <is>
          <t xml:space="preserve">    return job_id</t>
        </is>
      </c>
    </row>
    <row r="2111">
      <c r="A2111" s="61" t="n">
        <v>75</v>
      </c>
      <c r="B2111" s="62" t="n"/>
    </row>
    <row r="2112">
      <c r="A2112" s="61" t="n">
        <v>76</v>
      </c>
      <c r="B2112" s="62" t="n"/>
    </row>
    <row r="2113">
      <c r="A2113" s="61" t="n">
        <v>77</v>
      </c>
      <c r="B2113" s="62" t="inlineStr">
        <is>
          <t>CLAIM_SQL = text(</t>
        </is>
      </c>
    </row>
    <row r="2114">
      <c r="A2114" s="61" t="n">
        <v>78</v>
      </c>
      <c r="B2114" s="62" t="inlineStr">
        <is>
          <t xml:space="preserve">    """</t>
        </is>
      </c>
    </row>
    <row r="2115">
      <c r="A2115" s="61" t="n">
        <v>79</v>
      </c>
      <c r="B2115" s="62" t="inlineStr">
        <is>
          <t xml:space="preserve">    UPDATE jobs</t>
        </is>
      </c>
    </row>
    <row r="2116">
      <c r="A2116" s="61" t="n">
        <v>80</v>
      </c>
      <c r="B2116" s="62" t="inlineStr">
        <is>
          <t xml:space="preserve">       SET status = 'running',</t>
        </is>
      </c>
    </row>
    <row r="2117">
      <c r="A2117" s="61" t="n">
        <v>81</v>
      </c>
      <c r="B2117" s="62" t="inlineStr">
        <is>
          <t xml:space="preserve">           attempts = attempts + 1,</t>
        </is>
      </c>
    </row>
    <row r="2118">
      <c r="A2118" s="61" t="n">
        <v>82</v>
      </c>
      <c r="B2118" s="62" t="inlineStr">
        <is>
          <t xml:space="preserve">           lease_expires_at = now() + make_interval(secs =&gt; :lease),</t>
        </is>
      </c>
    </row>
    <row r="2119">
      <c r="A2119" s="61" t="n">
        <v>83</v>
      </c>
      <c r="B2119" s="62" t="inlineStr">
        <is>
          <t xml:space="preserve">           heartbeat_at = now(),</t>
        </is>
      </c>
    </row>
    <row r="2120">
      <c r="A2120" s="61" t="n">
        <v>84</v>
      </c>
      <c r="B2120" s="62" t="inlineStr">
        <is>
          <t xml:space="preserve">           updated_at = now()</t>
        </is>
      </c>
    </row>
    <row r="2121">
      <c r="A2121" s="61" t="n">
        <v>85</v>
      </c>
      <c r="B2121" s="62" t="inlineStr">
        <is>
          <t xml:space="preserve">     WHERE id = (</t>
        </is>
      </c>
    </row>
    <row r="2122">
      <c r="A2122" s="61" t="n">
        <v>86</v>
      </c>
      <c r="B2122" s="62" t="inlineStr">
        <is>
          <t xml:space="preserve">           SELECT id FROM jobs</t>
        </is>
      </c>
    </row>
    <row r="2123">
      <c r="A2123" s="61" t="n">
        <v>87</v>
      </c>
      <c r="B2123" s="62" t="inlineStr">
        <is>
          <t xml:space="preserve">            WHERE (status IN ('queued', 'retry_wait') AND run_after &lt;= now())</t>
        </is>
      </c>
    </row>
    <row r="2124">
      <c r="A2124" s="61" t="n">
        <v>88</v>
      </c>
      <c r="B2124" s="62" t="inlineStr">
        <is>
          <t xml:space="preserve">               OR (status = 'running' AND lease_expires_at &lt; now())</t>
        </is>
      </c>
    </row>
    <row r="2125">
      <c r="A2125" s="61" t="n">
        <v>89</v>
      </c>
      <c r="B2125" s="62" t="inlineStr">
        <is>
          <t xml:space="preserve">            ORDER BY priority + LEAST(EXTRACT(EPOCH FROM now() - created_at) / 600.0, 20) DESC, id</t>
        </is>
      </c>
    </row>
    <row r="2126">
      <c r="A2126" s="61" t="n">
        <v>90</v>
      </c>
      <c r="B2126" s="62" t="inlineStr">
        <is>
          <t xml:space="preserve">            FOR UPDATE SKIP LOCKED</t>
        </is>
      </c>
    </row>
    <row r="2127">
      <c r="A2127" s="61" t="n">
        <v>91</v>
      </c>
      <c r="B2127" s="62" t="inlineStr">
        <is>
          <t xml:space="preserve">            LIMIT 1)</t>
        </is>
      </c>
    </row>
    <row r="2128">
      <c r="A2128" s="61" t="n">
        <v>92</v>
      </c>
      <c r="B2128" s="62" t="inlineStr">
        <is>
          <t xml:space="preserve">    RETURNING id, kind, payload, attempts, max_attempts, owner_id, cancel_requested</t>
        </is>
      </c>
    </row>
    <row r="2129">
      <c r="A2129" s="61" t="n">
        <v>93</v>
      </c>
      <c r="B2129" s="62" t="inlineStr">
        <is>
          <t xml:space="preserve">    """</t>
        </is>
      </c>
    </row>
    <row r="2130">
      <c r="A2130" s="61" t="n">
        <v>94</v>
      </c>
      <c r="B2130" s="62" t="inlineStr">
        <is>
          <t>)</t>
        </is>
      </c>
    </row>
    <row r="2131">
      <c r="A2131" s="61" t="n">
        <v>95</v>
      </c>
      <c r="B2131" s="62" t="n"/>
    </row>
    <row r="2132">
      <c r="A2132" s="61" t="n">
        <v>96</v>
      </c>
      <c r="B2132" s="62" t="n"/>
    </row>
    <row r="2133">
      <c r="A2133" s="61" t="n">
        <v>97</v>
      </c>
      <c r="B2133" s="62" t="inlineStr">
        <is>
          <t>@dataclass</t>
        </is>
      </c>
    </row>
    <row r="2134">
      <c r="A2134" s="61" t="n">
        <v>98</v>
      </c>
      <c r="B2134" s="62" t="inlineStr">
        <is>
          <t>class ClaimedJob:</t>
        </is>
      </c>
    </row>
    <row r="2135">
      <c r="A2135" s="61" t="n">
        <v>99</v>
      </c>
      <c r="B2135" s="62" t="inlineStr">
        <is>
          <t xml:space="preserve">    id: int</t>
        </is>
      </c>
    </row>
    <row r="2136">
      <c r="A2136" s="61" t="n">
        <v>100</v>
      </c>
      <c r="B2136" s="62" t="inlineStr">
        <is>
          <t xml:space="preserve">    kind: str</t>
        </is>
      </c>
    </row>
    <row r="2137">
      <c r="A2137" s="61" t="n">
        <v>101</v>
      </c>
      <c r="B2137" s="62" t="inlineStr">
        <is>
          <t xml:space="preserve">    payload: dict[str, Any]</t>
        </is>
      </c>
    </row>
    <row r="2138">
      <c r="A2138" s="61" t="n">
        <v>102</v>
      </c>
      <c r="B2138" s="62" t="inlineStr">
        <is>
          <t xml:space="preserve">    attempts: int</t>
        </is>
      </c>
    </row>
    <row r="2139">
      <c r="A2139" s="61" t="n">
        <v>103</v>
      </c>
      <c r="B2139" s="62" t="inlineStr">
        <is>
          <t xml:space="preserve">    max_attempts: int</t>
        </is>
      </c>
    </row>
    <row r="2140">
      <c r="A2140" s="61" t="n">
        <v>104</v>
      </c>
      <c r="B2140" s="62" t="inlineStr">
        <is>
          <t xml:space="preserve">    owner_id: uuid.UUID | None</t>
        </is>
      </c>
    </row>
    <row r="2141">
      <c r="A2141" s="61" t="n">
        <v>105</v>
      </c>
      <c r="B2141" s="62" t="inlineStr">
        <is>
          <t xml:space="preserve">    cancel_requested: bool = False</t>
        </is>
      </c>
    </row>
    <row r="2142">
      <c r="A2142" s="61" t="n">
        <v>106</v>
      </c>
      <c r="B2142" s="62" t="inlineStr">
        <is>
          <t xml:space="preserve">    progress: dict[str, Any] = field(default_factory=dict)</t>
        </is>
      </c>
    </row>
    <row r="2143">
      <c r="A2143" s="61" t="n">
        <v>107</v>
      </c>
      <c r="B2143" s="62" t="n"/>
    </row>
    <row r="2144">
      <c r="A2144" s="61" t="n">
        <v>108</v>
      </c>
      <c r="B2144" s="62" t="n"/>
    </row>
    <row r="2145">
      <c r="A2145" s="61" t="n">
        <v>109</v>
      </c>
      <c r="B2145" s="62" t="inlineStr">
        <is>
          <t>def claim() -&gt; ClaimedJob | None:</t>
        </is>
      </c>
    </row>
    <row r="2146">
      <c r="A2146" s="61" t="n">
        <v>110</v>
      </c>
      <c r="B2146" s="62" t="inlineStr">
        <is>
          <t xml:space="preserve">    """Short transaction: pick one job, set its lease, COMMIT. Heavy work happens after this returns."""</t>
        </is>
      </c>
    </row>
    <row r="2147">
      <c r="A2147" s="61" t="n">
        <v>111</v>
      </c>
      <c r="B2147" s="62" t="inlineStr">
        <is>
          <t xml:space="preserve">    with SessionLocal() as db:</t>
        </is>
      </c>
    </row>
    <row r="2148">
      <c r="A2148" s="61" t="n">
        <v>112</v>
      </c>
      <c r="B2148" s="62" t="inlineStr">
        <is>
          <t xml:space="preserve">        row = db.execute(CLAIM_SQL, {"lease": get_settings().job_lease_seconds}).mappings().first()</t>
        </is>
      </c>
    </row>
    <row r="2149">
      <c r="A2149" s="61" t="n">
        <v>113</v>
      </c>
      <c r="B2149" s="62" t="inlineStr">
        <is>
          <t xml:space="preserve">        db.commit()</t>
        </is>
      </c>
    </row>
    <row r="2150">
      <c r="A2150" s="61" t="n">
        <v>114</v>
      </c>
      <c r="B2150" s="62" t="inlineStr">
        <is>
          <t xml:space="preserve">    return ClaimedJob(**row) if row else None</t>
        </is>
      </c>
    </row>
    <row r="2151">
      <c r="A2151" s="61" t="n">
        <v>115</v>
      </c>
      <c r="B2151" s="62" t="n"/>
    </row>
    <row r="2152">
      <c r="A2152" s="61" t="n">
        <v>116</v>
      </c>
      <c r="B2152" s="62" t="n"/>
    </row>
    <row r="2153">
      <c r="A2153" s="61" t="n">
        <v>117</v>
      </c>
      <c r="B2153" s="62" t="inlineStr">
        <is>
          <t>def _guarded_update(job: ClaimedJob, sql: str, **params: Any) -&gt; bool:</t>
        </is>
      </c>
    </row>
    <row r="2154">
      <c r="A2154" s="61" t="n">
        <v>118</v>
      </c>
      <c r="B2154" s="62" t="inlineStr">
        <is>
          <t xml:space="preserve">    """Only the worker holding the current attempt may change the row."""</t>
        </is>
      </c>
    </row>
    <row r="2155">
      <c r="A2155" s="61" t="n">
        <v>119</v>
      </c>
      <c r="B2155" s="62" t="inlineStr">
        <is>
          <t xml:space="preserve">    with SessionLocal() as db:</t>
        </is>
      </c>
    </row>
    <row r="2156">
      <c r="A2156" s="61" t="n">
        <v>120</v>
      </c>
      <c r="B2156" s="62" t="inlineStr">
        <is>
          <t xml:space="preserve">        result = db.execute(text(sql + " WHERE id = :id AND attempts = :attempts AND status = 'running'"),</t>
        </is>
      </c>
    </row>
    <row r="2157">
      <c r="A2157" s="61" t="n">
        <v>121</v>
      </c>
      <c r="B2157" s="62" t="inlineStr">
        <is>
          <t xml:space="preserve">                            {"id": job.id, "attempts": job.attempts, **params})</t>
        </is>
      </c>
    </row>
    <row r="2158">
      <c r="A2158" s="61" t="n">
        <v>122</v>
      </c>
      <c r="B2158" s="62" t="inlineStr">
        <is>
          <t xml:space="preserve">        db.commit()</t>
        </is>
      </c>
    </row>
    <row r="2159">
      <c r="A2159" s="61" t="n">
        <v>123</v>
      </c>
      <c r="B2159" s="62" t="inlineStr">
        <is>
          <t xml:space="preserve">        return result.rowcount == 1</t>
        </is>
      </c>
    </row>
    <row r="2160">
      <c r="A2160" s="61" t="n">
        <v>124</v>
      </c>
      <c r="B2160" s="62" t="n"/>
    </row>
    <row r="2161">
      <c r="A2161" s="61" t="n">
        <v>125</v>
      </c>
      <c r="B2161" s="62" t="n"/>
    </row>
    <row r="2162">
      <c r="A2162" s="61" t="n">
        <v>126</v>
      </c>
      <c r="B2162" s="62" t="inlineStr">
        <is>
          <t>def heartbeat(job: ClaimedJob, progress: dict[str, Any] | None = None) -&gt; bool:</t>
        </is>
      </c>
    </row>
    <row r="2163">
      <c r="A2163" s="61" t="n">
        <v>127</v>
      </c>
      <c r="B2163" s="62" t="inlineStr">
        <is>
          <t xml:space="preserve">    """Extend the lease and save progress. Returns True if the user requested cancellation."""</t>
        </is>
      </c>
    </row>
    <row r="2164">
      <c r="A2164" s="61" t="n">
        <v>128</v>
      </c>
      <c r="B2164" s="62" t="inlineStr">
        <is>
          <t xml:space="preserve">    with SessionLocal() as db:</t>
        </is>
      </c>
    </row>
    <row r="2165">
      <c r="A2165" s="61" t="n">
        <v>129</v>
      </c>
      <c r="B2165" s="62" t="inlineStr">
        <is>
          <t xml:space="preserve">        row = db.execute(</t>
        </is>
      </c>
    </row>
    <row r="2166">
      <c r="A2166" s="61" t="n">
        <v>130</v>
      </c>
      <c r="B2166" s="62" t="inlineStr">
        <is>
          <t xml:space="preserve">            text("""UPDATE jobs SET heartbeat_at = now(), updated_at = now(),</t>
        </is>
      </c>
    </row>
    <row r="2167">
      <c r="A2167" s="61" t="n">
        <v>131</v>
      </c>
      <c r="B2167" s="62" t="inlineStr">
        <is>
          <t xml:space="preserve">                        lease_expires_at = now() + make_interval(secs =&gt; :lease),</t>
        </is>
      </c>
    </row>
    <row r="2168">
      <c r="A2168" s="61" t="n">
        <v>132</v>
      </c>
      <c r="B2168" s="62" t="inlineStr">
        <is>
          <t xml:space="preserve">                        progress = COALESCE(CAST(:progress AS jsonb), progress)</t>
        </is>
      </c>
    </row>
    <row r="2169">
      <c r="A2169" s="61" t="n">
        <v>133</v>
      </c>
      <c r="B2169" s="62" t="inlineStr">
        <is>
          <t xml:space="preserve">                    WHERE id = :id AND attempts = :attempts AND status = 'running'</t>
        </is>
      </c>
    </row>
    <row r="2170">
      <c r="A2170" s="61" t="n">
        <v>134</v>
      </c>
      <c r="B2170" s="62" t="inlineStr">
        <is>
          <t xml:space="preserve">                    RETURNING cancel_requested"""),</t>
        </is>
      </c>
    </row>
    <row r="2171">
      <c r="A2171" s="61" t="n">
        <v>135</v>
      </c>
      <c r="B2171" s="62" t="inlineStr">
        <is>
          <t xml:space="preserve">            {"id": job.id, "attempts": job.attempts, "lease": get_settings().job_lease_seconds,</t>
        </is>
      </c>
    </row>
    <row r="2172">
      <c r="A2172" s="61" t="n">
        <v>136</v>
      </c>
      <c r="B2172" s="62" t="inlineStr">
        <is>
          <t xml:space="preserve">             "progress": None if progress is None else json.dumps(progress)},</t>
        </is>
      </c>
    </row>
    <row r="2173">
      <c r="A2173" s="61" t="n">
        <v>137</v>
      </c>
      <c r="B2173" s="62" t="inlineStr">
        <is>
          <t xml:space="preserve">        ).first()</t>
        </is>
      </c>
    </row>
    <row r="2174">
      <c r="A2174" s="61" t="n">
        <v>138</v>
      </c>
      <c r="B2174" s="62" t="inlineStr">
        <is>
          <t xml:space="preserve">        db.commit()</t>
        </is>
      </c>
    </row>
    <row r="2175">
      <c r="A2175" s="61" t="n">
        <v>139</v>
      </c>
      <c r="B2175" s="62" t="inlineStr">
        <is>
          <t xml:space="preserve">    if row is None:</t>
        </is>
      </c>
    </row>
    <row r="2176">
      <c r="A2176" s="61" t="n">
        <v>140</v>
      </c>
      <c r="B2176" s="62" t="inlineStr">
        <is>
          <t xml:space="preserve">        raise Cancelled("lease lost or job removed")  # someone else owns it now; stop quietly</t>
        </is>
      </c>
    </row>
    <row r="2177">
      <c r="A2177" s="61" t="n">
        <v>141</v>
      </c>
      <c r="B2177" s="62" t="inlineStr">
        <is>
          <t xml:space="preserve">    return bool(row[0])</t>
        </is>
      </c>
    </row>
    <row r="2178">
      <c r="A2178" s="61" t="n">
        <v>142</v>
      </c>
      <c r="B2178" s="62" t="n"/>
    </row>
    <row r="2179">
      <c r="A2179" s="61" t="n">
        <v>143</v>
      </c>
      <c r="B2179" s="62" t="n"/>
    </row>
    <row r="2180">
      <c r="A2180" s="61" t="n">
        <v>144</v>
      </c>
      <c r="B2180" s="62" t="inlineStr">
        <is>
          <t>def complete(job: ClaimedJob, result: dict[str, Any]) -&gt; bool:</t>
        </is>
      </c>
    </row>
    <row r="2181">
      <c r="A2181" s="61" t="n">
        <v>145</v>
      </c>
      <c r="B2181" s="62" t="inlineStr">
        <is>
          <t xml:space="preserve">    return _guarded_update(job, "UPDATE jobs SET status = 'succeeded', result = CAST(:result AS jsonb), "</t>
        </is>
      </c>
    </row>
    <row r="2182">
      <c r="A2182" s="61" t="n">
        <v>146</v>
      </c>
      <c r="B2182" s="62" t="inlineStr">
        <is>
          <t xml:space="preserve">                                "lease_expires_at = NULL, updated_at = now()", result=json.dumps(result))</t>
        </is>
      </c>
    </row>
    <row r="2183">
      <c r="A2183" s="61" t="n">
        <v>147</v>
      </c>
      <c r="B2183" s="62" t="n"/>
    </row>
    <row r="2184">
      <c r="A2184" s="61" t="n">
        <v>148</v>
      </c>
      <c r="B2184" s="62" t="n"/>
    </row>
    <row r="2185">
      <c r="A2185" s="61" t="n">
        <v>149</v>
      </c>
      <c r="B2185" s="62" t="inlineStr">
        <is>
          <t>def mark_cancelled(job: ClaimedJob) -&gt; bool:</t>
        </is>
      </c>
    </row>
    <row r="2186">
      <c r="A2186" s="61" t="n">
        <v>150</v>
      </c>
      <c r="B2186" s="62" t="inlineStr">
        <is>
          <t xml:space="preserve">    return _guarded_update(job, "UPDATE jobs SET status = 'cancelled', lease_expires_at = NULL, updated_at = now()")</t>
        </is>
      </c>
    </row>
    <row r="2187">
      <c r="A2187" s="61" t="n">
        <v>151</v>
      </c>
      <c r="B2187" s="62" t="n"/>
    </row>
    <row r="2188">
      <c r="A2188" s="61" t="n">
        <v>152</v>
      </c>
      <c r="B2188" s="62" t="n"/>
    </row>
    <row r="2189">
      <c r="A2189" s="61" t="n">
        <v>153</v>
      </c>
      <c r="B2189" s="62" t="inlineStr">
        <is>
          <t>def fail(job: ClaimedJob, code: str, detail: str, retryable: bool, retry_after_s: int | None = None) -&gt; str:</t>
        </is>
      </c>
    </row>
    <row r="2190">
      <c r="A2190" s="61" t="n">
        <v>154</v>
      </c>
      <c r="B2190" s="62" t="inlineStr">
        <is>
          <t xml:space="preserve">    """Retryable failures back off exponentially with jitter; others (or exhausted ones) fail for good."""</t>
        </is>
      </c>
    </row>
    <row r="2191">
      <c r="A2191" s="61" t="n">
        <v>155</v>
      </c>
      <c r="B2191" s="62" t="inlineStr">
        <is>
          <t xml:space="preserve">    if retryable and job.attempts &lt; job.max_attempts:</t>
        </is>
      </c>
    </row>
    <row r="2192">
      <c r="A2192" s="61" t="n">
        <v>156</v>
      </c>
      <c r="B2192" s="62" t="inlineStr">
        <is>
          <t xml:space="preserve">        delay = retry_after_s or min(600, 5 * 2 ** job.attempts) + random.uniform(0, 3)</t>
        </is>
      </c>
    </row>
    <row r="2193">
      <c r="A2193" s="61" t="n">
        <v>157</v>
      </c>
      <c r="B2193" s="62" t="inlineStr">
        <is>
          <t xml:space="preserve">        _guarded_update(job, "UPDATE jobs SET status = 'retry_wait', error_code = :code, error_detail = :detail, "</t>
        </is>
      </c>
    </row>
    <row r="2194">
      <c r="A2194" s="61" t="n">
        <v>158</v>
      </c>
      <c r="B2194" s="62" t="inlineStr">
        <is>
          <t xml:space="preserve">                             "run_after = now() + make_interval(secs =&gt; :delay), lease_expires_at = NULL, "</t>
        </is>
      </c>
    </row>
    <row r="2195">
      <c r="A2195" s="61" t="n">
        <v>159</v>
      </c>
      <c r="B2195" s="62" t="inlineStr">
        <is>
          <t xml:space="preserve">                             "updated_at = now()", code=code, detail=detail[:2000], delay=delay)</t>
        </is>
      </c>
    </row>
    <row r="2196">
      <c r="A2196" s="61" t="n">
        <v>160</v>
      </c>
      <c r="B2196" s="62" t="inlineStr">
        <is>
          <t xml:space="preserve">        return "retry_wait"</t>
        </is>
      </c>
    </row>
    <row r="2197">
      <c r="A2197" s="61" t="n">
        <v>161</v>
      </c>
      <c r="B2197" s="62" t="inlineStr">
        <is>
          <t xml:space="preserve">    _guarded_update(job, "UPDATE jobs SET status = 'failed', error_code = :code, error_detail = :detail, "</t>
        </is>
      </c>
    </row>
    <row r="2198">
      <c r="A2198" s="61" t="n">
        <v>162</v>
      </c>
      <c r="B2198" s="62" t="inlineStr">
        <is>
          <t xml:space="preserve">                         "lease_expires_at = NULL, updated_at = now()", code=code, detail=detail[:2000])</t>
        </is>
      </c>
    </row>
    <row r="2199">
      <c r="A2199" s="61" t="n">
        <v>163</v>
      </c>
      <c r="B2199" s="62" t="inlineStr">
        <is>
          <t xml:space="preserve">    return "failed"</t>
        </is>
      </c>
    </row>
    <row r="2200">
      <c r="A2200" s="61" t="n">
        <v>164</v>
      </c>
      <c r="B2200" s="62" t="n"/>
    </row>
    <row r="2201">
      <c r="A2201" s="61" t="n">
        <v>165</v>
      </c>
      <c r="B2201" s="62" t="n"/>
    </row>
    <row r="2202">
      <c r="A2202" s="61" t="n">
        <v>166</v>
      </c>
      <c r="B2202" s="62" t="inlineStr">
        <is>
          <t>def fail_exhausted_leases() -&gt; int:</t>
        </is>
      </c>
    </row>
    <row r="2203">
      <c r="A2203" s="61" t="n">
        <v>167</v>
      </c>
      <c r="B2203" s="62" t="inlineStr">
        <is>
          <t xml:space="preserve">    """Jobs whose lease expired on their LAST attempt would otherwise be reclaimed forever."""</t>
        </is>
      </c>
    </row>
    <row r="2204">
      <c r="A2204" s="61" t="n">
        <v>168</v>
      </c>
      <c r="B2204" s="62" t="inlineStr">
        <is>
          <t xml:space="preserve">    with SessionLocal() as db:</t>
        </is>
      </c>
    </row>
    <row r="2205">
      <c r="A2205" s="61" t="n">
        <v>169</v>
      </c>
      <c r="B2205" s="62" t="inlineStr">
        <is>
          <t xml:space="preserve">        result = db.execute(text("""UPDATE jobs SET status = 'failed', error_code = 'LEASE_EXPIRED',</t>
        </is>
      </c>
    </row>
    <row r="2206">
      <c r="A2206" s="61" t="n">
        <v>170</v>
      </c>
      <c r="B2206" s="62" t="inlineStr">
        <is>
          <t xml:space="preserve">                                        lease_expires_at = NULL, updated_at = now()</t>
        </is>
      </c>
    </row>
    <row r="2207">
      <c r="A2207" s="61" t="n">
        <v>171</v>
      </c>
      <c r="B2207" s="62" t="inlineStr">
        <is>
          <t xml:space="preserve">                                    WHERE status = 'running' AND lease_expires_at &lt; now()</t>
        </is>
      </c>
    </row>
    <row r="2208">
      <c r="A2208" s="61" t="n">
        <v>172</v>
      </c>
      <c r="B2208" s="62" t="inlineStr">
        <is>
          <t xml:space="preserve">                                      AND attempts &gt;= max_attempts"""))</t>
        </is>
      </c>
    </row>
    <row r="2209">
      <c r="A2209" s="61" t="n">
        <v>173</v>
      </c>
      <c r="B2209" s="62" t="inlineStr">
        <is>
          <t xml:space="preserve">        db.commit()</t>
        </is>
      </c>
    </row>
    <row r="2210">
      <c r="A2210" s="61" t="n">
        <v>174</v>
      </c>
      <c r="B2210" s="62" t="inlineStr">
        <is>
          <t xml:space="preserve">        return result.rowcount</t>
        </is>
      </c>
    </row>
    <row r="2211">
      <c r="A2211" s="61" t="n">
        <v>175</v>
      </c>
      <c r="B2211" s="62" t="n"/>
    </row>
    <row r="2212">
      <c r="A2212" s="61" t="n">
        <v>176</v>
      </c>
      <c r="B2212" s="62" t="n"/>
    </row>
    <row r="2213">
      <c r="A2213" s="61" t="n">
        <v>177</v>
      </c>
      <c r="B2213" s="62" t="inlineStr">
        <is>
          <t>def request_cancel(db: Session, job_id: int) -&gt; str:</t>
        </is>
      </c>
    </row>
    <row r="2214">
      <c r="A2214" s="61" t="n">
        <v>178</v>
      </c>
      <c r="B2214" s="62" t="inlineStr">
        <is>
          <t xml:space="preserve">    """Queued jobs are cancelled immediately; running jobs stop at their next heartbeat."""</t>
        </is>
      </c>
    </row>
    <row r="2215">
      <c r="A2215" s="61" t="n">
        <v>179</v>
      </c>
      <c r="B2215" s="62" t="inlineStr">
        <is>
          <t xml:space="preserve">    row = db.execute(</t>
        </is>
      </c>
    </row>
    <row r="2216">
      <c r="A2216" s="61" t="n">
        <v>180</v>
      </c>
      <c r="B2216" s="62" t="inlineStr">
        <is>
          <t xml:space="preserve">        text("""UPDATE jobs SET cancel_requested = true,</t>
        </is>
      </c>
    </row>
    <row r="2217">
      <c r="A2217" s="61" t="n">
        <v>181</v>
      </c>
      <c r="B2217" s="62" t="inlineStr">
        <is>
          <t xml:space="preserve">                    status = CASE WHEN status IN ('queued', 'retry_wait') THEN 'cancelled' ELSE status END,</t>
        </is>
      </c>
    </row>
    <row r="2218">
      <c r="A2218" s="61" t="n">
        <v>182</v>
      </c>
      <c r="B2218" s="62" t="inlineStr">
        <is>
          <t xml:space="preserve">                    updated_at = now()</t>
        </is>
      </c>
    </row>
    <row r="2219">
      <c r="A2219" s="61" t="n">
        <v>183</v>
      </c>
      <c r="B2219" s="62" t="inlineStr">
        <is>
          <t xml:space="preserve">                WHERE id = :id AND status NOT IN ('succeeded', 'failed', 'cancelled')</t>
        </is>
      </c>
    </row>
    <row r="2220">
      <c r="A2220" s="61" t="n">
        <v>184</v>
      </c>
      <c r="B2220" s="62" t="inlineStr">
        <is>
          <t xml:space="preserve">                RETURNING status"""),</t>
        </is>
      </c>
    </row>
    <row r="2221">
      <c r="A2221" s="61" t="n">
        <v>185</v>
      </c>
      <c r="B2221" s="62" t="inlineStr">
        <is>
          <t xml:space="preserve">        {"id": job_id},</t>
        </is>
      </c>
    </row>
    <row r="2222">
      <c r="A2222" s="61" t="n">
        <v>186</v>
      </c>
      <c r="B2222" s="62" t="inlineStr">
        <is>
          <t xml:space="preserve">    ).first()</t>
        </is>
      </c>
    </row>
    <row r="2223">
      <c r="A2223" s="61" t="n">
        <v>187</v>
      </c>
      <c r="B2223" s="62" t="inlineStr">
        <is>
          <t xml:space="preserve">    db.commit()</t>
        </is>
      </c>
    </row>
    <row r="2224">
      <c r="A2224" s="61" t="n">
        <v>188</v>
      </c>
      <c r="B2224" s="62" t="inlineStr">
        <is>
          <t xml:space="preserve">    return row[0] if row else "already_finished"</t>
        </is>
      </c>
    </row>
    <row r="2227">
      <c r="A2227" s="60" t="inlineStr">
        <is>
          <t>C40</t>
        </is>
      </c>
      <c r="B2227" s="60" t="inlineStr">
        <is>
          <t>services/backend/app/api/games.py   ·   Phase P6   ·   Save played games (idempotent), list, detail, re-analyse.</t>
        </is>
      </c>
    </row>
    <row r="2228">
      <c r="B2228" s="55" t="inlineStr">
        <is>
          <t>↑ back to Code Index</t>
        </is>
      </c>
    </row>
    <row r="2229">
      <c r="A2229" s="61" t="n">
        <v>1</v>
      </c>
      <c r="B2229" s="62" t="inlineStr">
        <is>
          <t>import uuid</t>
        </is>
      </c>
    </row>
    <row r="2230">
      <c r="A2230" s="61" t="n">
        <v>2</v>
      </c>
      <c r="B2230" s="62" t="inlineStr">
        <is>
          <t>from datetime import datetime</t>
        </is>
      </c>
    </row>
    <row r="2231">
      <c r="A2231" s="61" t="n">
        <v>3</v>
      </c>
      <c r="B2231" s="62" t="inlineStr">
        <is>
          <t>from typing import Literal</t>
        </is>
      </c>
    </row>
    <row r="2232">
      <c r="A2232" s="61" t="n">
        <v>4</v>
      </c>
      <c r="B2232" s="62" t="n"/>
    </row>
    <row r="2233">
      <c r="A2233" s="61" t="n">
        <v>5</v>
      </c>
      <c r="B2233" s="62" t="inlineStr">
        <is>
          <t>from fastapi import APIRouter, Depends</t>
        </is>
      </c>
    </row>
    <row r="2234">
      <c r="A2234" s="61" t="n">
        <v>6</v>
      </c>
      <c r="B2234" s="62" t="inlineStr">
        <is>
          <t>from pydantic import BaseModel, Field</t>
        </is>
      </c>
    </row>
    <row r="2235">
      <c r="A2235" s="61" t="n">
        <v>7</v>
      </c>
      <c r="B2235" s="62" t="inlineStr">
        <is>
          <t>from sqlalchemy import select</t>
        </is>
      </c>
    </row>
    <row r="2236">
      <c r="A2236" s="61" t="n">
        <v>8</v>
      </c>
      <c r="B2236" s="62" t="inlineStr">
        <is>
          <t>from sqlalchemy.dialects.postgresql import insert as pg_insert</t>
        </is>
      </c>
    </row>
    <row r="2237">
      <c r="A2237" s="61" t="n">
        <v>9</v>
      </c>
      <c r="B2237" s="62" t="inlineStr">
        <is>
          <t>from sqlalchemy.orm import Session</t>
        </is>
      </c>
    </row>
    <row r="2238">
      <c r="A2238" s="61" t="n">
        <v>10</v>
      </c>
      <c r="B2238" s="62" t="n"/>
    </row>
    <row r="2239">
      <c r="A2239" s="61" t="n">
        <v>11</v>
      </c>
      <c r="B2239" s="62" t="inlineStr">
        <is>
          <t>from app.analysis.pipeline import PIPELINE_VERSION</t>
        </is>
      </c>
    </row>
    <row r="2240">
      <c r="A2240" s="61" t="n">
        <v>12</v>
      </c>
      <c r="B2240" s="62" t="inlineStr">
        <is>
          <t>from app.db import get_db</t>
        </is>
      </c>
    </row>
    <row r="2241">
      <c r="A2241" s="61" t="n">
        <v>13</v>
      </c>
      <c r="B2241" s="62" t="inlineStr">
        <is>
          <t>from app.domain.pgn import PgnError, parse_single</t>
        </is>
      </c>
    </row>
    <row r="2242">
      <c r="A2242" s="61" t="n">
        <v>14</v>
      </c>
      <c r="B2242" s="62" t="inlineStr">
        <is>
          <t>from app.errors import ApiError</t>
        </is>
      </c>
    </row>
    <row r="2243">
      <c r="A2243" s="61" t="n">
        <v>15</v>
      </c>
      <c r="B2243" s="62" t="inlineStr">
        <is>
          <t>from app.jobs.queue import enqueue</t>
        </is>
      </c>
    </row>
    <row r="2244">
      <c r="A2244" s="61" t="n">
        <v>16</v>
      </c>
      <c r="B2244" s="62" t="inlineStr">
        <is>
          <t>from app.models import AnalysisRun, Game, Visitor</t>
        </is>
      </c>
    </row>
    <row r="2245">
      <c r="A2245" s="61" t="n">
        <v>17</v>
      </c>
      <c r="B2245" s="62" t="inlineStr">
        <is>
          <t>from app.security import current_visitor</t>
        </is>
      </c>
    </row>
    <row r="2246">
      <c r="A2246" s="61" t="n">
        <v>18</v>
      </c>
      <c r="B2246" s="62" t="n"/>
    </row>
    <row r="2247">
      <c r="A2247" s="61" t="n">
        <v>19</v>
      </c>
      <c r="B2247" s="62" t="inlineStr">
        <is>
          <t>router = APIRouter(prefix="/v1/games", tags=["games"])</t>
        </is>
      </c>
    </row>
    <row r="2248">
      <c r="A2248" s="61" t="n">
        <v>20</v>
      </c>
      <c r="B2248" s="62" t="n"/>
    </row>
    <row r="2249">
      <c r="A2249" s="61" t="n">
        <v>21</v>
      </c>
      <c r="B2249" s="62" t="inlineStr">
        <is>
          <t>INTERACTIVE_PRIORITY = 10  # a game the visitor just finished beats a 200-game background import</t>
        </is>
      </c>
    </row>
    <row r="2250">
      <c r="A2250" s="61" t="n">
        <v>22</v>
      </c>
      <c r="B2250" s="62" t="n"/>
    </row>
    <row r="2251">
      <c r="A2251" s="61" t="n">
        <v>23</v>
      </c>
      <c r="B2251" s="62" t="n"/>
    </row>
    <row r="2252">
      <c r="A2252" s="61" t="n">
        <v>24</v>
      </c>
      <c r="B2252" s="62" t="inlineStr">
        <is>
          <t>class PlayedGameIn(BaseModel):</t>
        </is>
      </c>
    </row>
    <row r="2253">
      <c r="A2253" s="61" t="n">
        <v>25</v>
      </c>
      <c r="B2253" s="62" t="inlineStr">
        <is>
          <t xml:space="preserve">    pgn: str = Field(min_length=10, max_length=60_000)</t>
        </is>
      </c>
    </row>
    <row r="2254">
      <c r="A2254" s="61" t="n">
        <v>26</v>
      </c>
      <c r="B2254" s="62" t="inlineStr">
        <is>
          <t xml:space="preserve">    player_color: Literal["white", "black"]</t>
        </is>
      </c>
    </row>
    <row r="2255">
      <c r="A2255" s="61" t="n">
        <v>27</v>
      </c>
      <c r="B2255" s="62" t="inlineStr">
        <is>
          <t xml:space="preserve">    engine_label: str = Field(default="stockfish-wasm", max_length=40)</t>
        </is>
      </c>
    </row>
    <row r="2256">
      <c r="A2256" s="61" t="n">
        <v>28</v>
      </c>
      <c r="B2256" s="62" t="n"/>
    </row>
    <row r="2257">
      <c r="A2257" s="61" t="n">
        <v>29</v>
      </c>
      <c r="B2257" s="62" t="n"/>
    </row>
    <row r="2258">
      <c r="A2258" s="61" t="n">
        <v>30</v>
      </c>
      <c r="B2258" s="62" t="inlineStr">
        <is>
          <t>class GameCreated(BaseModel):</t>
        </is>
      </c>
    </row>
    <row r="2259">
      <c r="A2259" s="61" t="n">
        <v>31</v>
      </c>
      <c r="B2259" s="62" t="inlineStr">
        <is>
          <t xml:space="preserve">    game_id: uuid.UUID</t>
        </is>
      </c>
    </row>
    <row r="2260">
      <c r="A2260" s="61" t="n">
        <v>32</v>
      </c>
      <c r="B2260" s="62" t="inlineStr">
        <is>
          <t xml:space="preserve">    analysis_job_id: int</t>
        </is>
      </c>
    </row>
    <row r="2261">
      <c r="A2261" s="61" t="n">
        <v>33</v>
      </c>
      <c r="B2261" s="62" t="n"/>
    </row>
    <row r="2262">
      <c r="A2262" s="61" t="n">
        <v>34</v>
      </c>
      <c r="B2262" s="62" t="n"/>
    </row>
    <row r="2263">
      <c r="A2263" s="61" t="n">
        <v>35</v>
      </c>
      <c r="B2263" s="62" t="inlineStr">
        <is>
          <t>class GameSummary(BaseModel):</t>
        </is>
      </c>
    </row>
    <row r="2264">
      <c r="A2264" s="61" t="n">
        <v>36</v>
      </c>
      <c r="B2264" s="62" t="inlineStr">
        <is>
          <t xml:space="preserve">    id: uuid.UUID</t>
        </is>
      </c>
    </row>
    <row r="2265">
      <c r="A2265" s="61" t="n">
        <v>37</v>
      </c>
      <c r="B2265" s="62" t="inlineStr">
        <is>
          <t xml:space="preserve">    source: str</t>
        </is>
      </c>
    </row>
    <row r="2266">
      <c r="A2266" s="61" t="n">
        <v>38</v>
      </c>
      <c r="B2266" s="62" t="inlineStr">
        <is>
          <t xml:space="preserve">    player_color: str</t>
        </is>
      </c>
    </row>
    <row r="2267">
      <c r="A2267" s="61" t="n">
        <v>39</v>
      </c>
      <c r="B2267" s="62" t="inlineStr">
        <is>
          <t xml:space="preserve">    white_name: str</t>
        </is>
      </c>
    </row>
    <row r="2268">
      <c r="A2268" s="61" t="n">
        <v>40</v>
      </c>
      <c r="B2268" s="62" t="inlineStr">
        <is>
          <t xml:space="preserve">    black_name: str</t>
        </is>
      </c>
    </row>
    <row r="2269">
      <c r="A2269" s="61" t="n">
        <v>41</v>
      </c>
      <c r="B2269" s="62" t="inlineStr">
        <is>
          <t xml:space="preserve">    result: str</t>
        </is>
      </c>
    </row>
    <row r="2270">
      <c r="A2270" s="61" t="n">
        <v>42</v>
      </c>
      <c r="B2270" s="62" t="inlineStr">
        <is>
          <t xml:space="preserve">    ply_count: int</t>
        </is>
      </c>
    </row>
    <row r="2271">
      <c r="A2271" s="61" t="n">
        <v>43</v>
      </c>
      <c r="B2271" s="62" t="inlineStr">
        <is>
          <t xml:space="preserve">    played_at: datetime | None</t>
        </is>
      </c>
    </row>
    <row r="2272">
      <c r="A2272" s="61" t="n">
        <v>44</v>
      </c>
      <c r="B2272" s="62" t="inlineStr">
        <is>
          <t xml:space="preserve">    created_at: datetime</t>
        </is>
      </c>
    </row>
    <row r="2273">
      <c r="A2273" s="61" t="n">
        <v>45</v>
      </c>
      <c r="B2273" s="62" t="inlineStr">
        <is>
          <t xml:space="preserve">    analysis_state: str | None</t>
        </is>
      </c>
    </row>
    <row r="2274">
      <c r="A2274" s="61" t="n">
        <v>46</v>
      </c>
      <c r="B2274" s="62" t="n"/>
    </row>
    <row r="2275">
      <c r="A2275" s="61" t="n">
        <v>47</v>
      </c>
      <c r="B2275" s="62" t="n"/>
    </row>
    <row r="2276">
      <c r="A2276" s="61" t="n">
        <v>48</v>
      </c>
      <c r="B2276" s="62" t="inlineStr">
        <is>
          <t>class GameDetail(GameSummary):</t>
        </is>
      </c>
    </row>
    <row r="2277">
      <c r="A2277" s="61" t="n">
        <v>49</v>
      </c>
      <c r="B2277" s="62" t="inlineStr">
        <is>
          <t xml:space="preserve">    pgn: str</t>
        </is>
      </c>
    </row>
    <row r="2278">
      <c r="A2278" s="61" t="n">
        <v>50</v>
      </c>
      <c r="B2278" s="62" t="inlineStr">
        <is>
          <t xml:space="preserve">    initial_fen: str</t>
        </is>
      </c>
    </row>
    <row r="2279">
      <c r="A2279" s="61" t="n">
        <v>51</v>
      </c>
      <c r="B2279" s="62" t="n"/>
    </row>
    <row r="2280">
      <c r="A2280" s="61" t="n">
        <v>52</v>
      </c>
      <c r="B2280" s="62" t="n"/>
    </row>
    <row r="2281">
      <c r="A2281" s="61" t="n">
        <v>53</v>
      </c>
      <c r="B2281" s="62" t="inlineStr">
        <is>
          <t>def get_owned_game(db: Session, game_id: uuid.UUID, visitor: Visitor) -&gt; Game:</t>
        </is>
      </c>
    </row>
    <row r="2282">
      <c r="A2282" s="61" t="n">
        <v>54</v>
      </c>
      <c r="B2282" s="62" t="inlineStr">
        <is>
          <t xml:space="preserve">    """404 (not 403) for other people's games, so ids of private data are not confirmed to exist."""</t>
        </is>
      </c>
    </row>
    <row r="2283">
      <c r="A2283" s="61" t="n">
        <v>55</v>
      </c>
      <c r="B2283" s="62" t="inlineStr">
        <is>
          <t xml:space="preserve">    game = db.get(Game, game_id)</t>
        </is>
      </c>
    </row>
    <row r="2284">
      <c r="A2284" s="61" t="n">
        <v>56</v>
      </c>
      <c r="B2284" s="62" t="inlineStr">
        <is>
          <t xml:space="preserve">    if game is None or game.owner_id != visitor.id:</t>
        </is>
      </c>
    </row>
    <row r="2285">
      <c r="A2285" s="61" t="n">
        <v>57</v>
      </c>
      <c r="B2285" s="62" t="inlineStr">
        <is>
          <t xml:space="preserve">        raise ApiError(404, "GAME_NOT_FOUND", "Game not found.")</t>
        </is>
      </c>
    </row>
    <row r="2286">
      <c r="A2286" s="61" t="n">
        <v>58</v>
      </c>
      <c r="B2286" s="62" t="inlineStr">
        <is>
          <t xml:space="preserve">    return game</t>
        </is>
      </c>
    </row>
    <row r="2287">
      <c r="A2287" s="61" t="n">
        <v>59</v>
      </c>
      <c r="B2287" s="62" t="n"/>
    </row>
    <row r="2288">
      <c r="A2288" s="61" t="n">
        <v>60</v>
      </c>
      <c r="B2288" s="62" t="n"/>
    </row>
    <row r="2289">
      <c r="A2289" s="61" t="n">
        <v>61</v>
      </c>
      <c r="B2289" s="62" t="inlineStr">
        <is>
          <t>def analysis_state(db: Session, game_id: uuid.UUID) -&gt; str | None:</t>
        </is>
      </c>
    </row>
    <row r="2290">
      <c r="A2290" s="61" t="n">
        <v>62</v>
      </c>
      <c r="B2290" s="62" t="inlineStr">
        <is>
          <t xml:space="preserve">    return db.scalar(select(AnalysisRun.state).where(AnalysisRun.game_id == game_id,</t>
        </is>
      </c>
    </row>
    <row r="2291">
      <c r="A2291" s="61" t="n">
        <v>63</v>
      </c>
      <c r="B2291" s="62" t="inlineStr">
        <is>
          <t xml:space="preserve">                                                     AnalysisRun.pipeline_version == PIPELINE_VERSION))</t>
        </is>
      </c>
    </row>
    <row r="2292">
      <c r="A2292" s="61" t="n">
        <v>64</v>
      </c>
      <c r="B2292" s="62" t="n"/>
    </row>
    <row r="2293">
      <c r="A2293" s="61" t="n">
        <v>65</v>
      </c>
      <c r="B2293" s="62" t="n"/>
    </row>
    <row r="2294">
      <c r="A2294" s="61" t="n">
        <v>66</v>
      </c>
      <c r="B2294" s="62" t="inlineStr">
        <is>
          <t>def enqueue_analysis(db: Session, game_id: uuid.UUID, owner_id: uuid.UUID, priority: int) -&gt; int:</t>
        </is>
      </c>
    </row>
    <row r="2295">
      <c r="A2295" s="61" t="n">
        <v>67</v>
      </c>
      <c r="B2295" s="62" t="inlineStr">
        <is>
          <t xml:space="preserve">    return enqueue(db, kind="analyze_game", payload={"game_id": str(game_id)}, owner_id=owner_id,</t>
        </is>
      </c>
    </row>
    <row r="2296">
      <c r="A2296" s="61" t="n">
        <v>68</v>
      </c>
      <c r="B2296" s="62" t="inlineStr">
        <is>
          <t xml:space="preserve">                   priority=priority, dedupe_key=f"analyze:{game_id}:{PIPELINE_VERSION}")</t>
        </is>
      </c>
    </row>
    <row r="2297">
      <c r="A2297" s="61" t="n">
        <v>69</v>
      </c>
      <c r="B2297" s="62" t="n"/>
    </row>
    <row r="2298">
      <c r="A2298" s="61" t="n">
        <v>70</v>
      </c>
      <c r="B2298" s="62" t="n"/>
    </row>
    <row r="2299">
      <c r="A2299" s="61" t="n">
        <v>71</v>
      </c>
      <c r="B2299" s="62" t="inlineStr">
        <is>
          <t>@router.post("", response_model=GameCreated, status_code=201)</t>
        </is>
      </c>
    </row>
    <row r="2300">
      <c r="A2300" s="61" t="n">
        <v>72</v>
      </c>
      <c r="B2300" s="62" t="inlineStr">
        <is>
          <t>def save_played_game(body: PlayedGameIn, visitor: Visitor = Depends(current_visitor),</t>
        </is>
      </c>
    </row>
    <row r="2301">
      <c r="A2301" s="61" t="n">
        <v>73</v>
      </c>
      <c r="B2301" s="62" t="inlineStr">
        <is>
          <t xml:space="preserve">                     db: Session = Depends(get_db)) -&gt; GameCreated:</t>
        </is>
      </c>
    </row>
    <row r="2302">
      <c r="A2302" s="61" t="n">
        <v>74</v>
      </c>
      <c r="B2302" s="62" t="inlineStr">
        <is>
          <t xml:space="preserve">    """The browser played the game; the server re-validates every move before trusting it."""</t>
        </is>
      </c>
    </row>
    <row r="2303">
      <c r="A2303" s="61" t="n">
        <v>75</v>
      </c>
      <c r="B2303" s="62" t="inlineStr">
        <is>
          <t xml:space="preserve">    try:</t>
        </is>
      </c>
    </row>
    <row r="2304">
      <c r="A2304" s="61" t="n">
        <v>76</v>
      </c>
      <c r="B2304" s="62" t="inlineStr">
        <is>
          <t xml:space="preserve">        parsed = parse_single(body.pgn)</t>
        </is>
      </c>
    </row>
    <row r="2305">
      <c r="A2305" s="61" t="n">
        <v>77</v>
      </c>
      <c r="B2305" s="62" t="inlineStr">
        <is>
          <t xml:space="preserve">    except PgnError as exc:</t>
        </is>
      </c>
    </row>
    <row r="2306">
      <c r="A2306" s="61" t="n">
        <v>78</v>
      </c>
      <c r="B2306" s="62" t="inlineStr">
        <is>
          <t xml:space="preserve">        raise ApiError(422, "INVALID_PGN", str(exc)) from exc</t>
        </is>
      </c>
    </row>
    <row r="2307">
      <c r="A2307" s="61" t="n">
        <v>79</v>
      </c>
      <c r="B2307" s="62" t="inlineStr">
        <is>
          <t xml:space="preserve">    game_id = db.scalar(</t>
        </is>
      </c>
    </row>
    <row r="2308">
      <c r="A2308" s="61" t="n">
        <v>80</v>
      </c>
      <c r="B2308" s="62" t="inlineStr">
        <is>
          <t xml:space="preserve">        pg_insert(Game).values(</t>
        </is>
      </c>
    </row>
    <row r="2309">
      <c r="A2309" s="61" t="n">
        <v>81</v>
      </c>
      <c r="B2309" s="62" t="inlineStr">
        <is>
          <t xml:space="preserve">            id=uuid.uuid4(), owner_id=visitor.id, source="played", source_game_id=parsed.fingerprint,</t>
        </is>
      </c>
    </row>
    <row r="2310">
      <c r="A2310" s="61" t="n">
        <v>82</v>
      </c>
      <c r="B2310" s="62" t="inlineStr">
        <is>
          <t xml:space="preserve">            player_color=body.player_color, white_name=parsed.white, black_name=parsed.black,</t>
        </is>
      </c>
    </row>
    <row r="2311">
      <c r="A2311" s="61" t="n">
        <v>83</v>
      </c>
      <c r="B2311" s="62" t="inlineStr">
        <is>
          <t xml:space="preserve">            result=parsed.result, pgn=parsed.pgn, initial_fen=parsed.initial_fen,</t>
        </is>
      </c>
    </row>
    <row r="2312">
      <c r="A2312" s="61" t="n">
        <v>84</v>
      </c>
      <c r="B2312" s="62" t="inlineStr">
        <is>
          <t xml:space="preserve">            ply_count=parsed.ply_count, engine_label=body.engine_label)</t>
        </is>
      </c>
    </row>
    <row r="2313">
      <c r="A2313" s="61" t="n">
        <v>85</v>
      </c>
      <c r="B2313" s="62" t="inlineStr">
        <is>
          <t xml:space="preserve">        .on_conflict_do_nothing(constraint="uq_game_source").returning(Game.id))</t>
        </is>
      </c>
    </row>
    <row r="2314">
      <c r="A2314" s="61" t="n">
        <v>86</v>
      </c>
      <c r="B2314" s="62" t="inlineStr">
        <is>
          <t xml:space="preserve">    if game_id is None:  # same game submitted twice (double click, retry): reuse it</t>
        </is>
      </c>
    </row>
    <row r="2315">
      <c r="A2315" s="61" t="n">
        <v>87</v>
      </c>
      <c r="B2315" s="62" t="inlineStr">
        <is>
          <t xml:space="preserve">        game_id = db.scalar(select(Game.id).where(Game.owner_id == visitor.id, Game.source == "played",</t>
        </is>
      </c>
    </row>
    <row r="2316">
      <c r="A2316" s="61" t="n">
        <v>88</v>
      </c>
      <c r="B2316" s="62" t="inlineStr">
        <is>
          <t xml:space="preserve">                                                  Game.source_game_id == parsed.fingerprint))</t>
        </is>
      </c>
    </row>
    <row r="2317">
      <c r="A2317" s="61" t="n">
        <v>89</v>
      </c>
      <c r="B2317" s="62" t="inlineStr">
        <is>
          <t xml:space="preserve">    job_id = enqueue_analysis(db, game_id, visitor.id, INTERACTIVE_PRIORITY)</t>
        </is>
      </c>
    </row>
    <row r="2318">
      <c r="A2318" s="61" t="n">
        <v>90</v>
      </c>
      <c r="B2318" s="62" t="inlineStr">
        <is>
          <t xml:space="preserve">    db.commit()  # game row and job row become visible together, or not at all</t>
        </is>
      </c>
    </row>
    <row r="2319">
      <c r="A2319" s="61" t="n">
        <v>91</v>
      </c>
      <c r="B2319" s="62" t="inlineStr">
        <is>
          <t xml:space="preserve">    return GameCreated(game_id=game_id, analysis_job_id=job_id)</t>
        </is>
      </c>
    </row>
    <row r="2320">
      <c r="A2320" s="61" t="n">
        <v>92</v>
      </c>
      <c r="B2320" s="62" t="n"/>
    </row>
    <row r="2321">
      <c r="A2321" s="61" t="n">
        <v>93</v>
      </c>
      <c r="B2321" s="62" t="n"/>
    </row>
    <row r="2322">
      <c r="A2322" s="61" t="n">
        <v>94</v>
      </c>
      <c r="B2322" s="62" t="inlineStr">
        <is>
          <t>@router.get("", response_model=list[GameSummary])</t>
        </is>
      </c>
    </row>
    <row r="2323">
      <c r="A2323" s="61" t="n">
        <v>95</v>
      </c>
      <c r="B2323" s="62" t="inlineStr">
        <is>
          <t>def list_games(visitor: Visitor = Depends(current_visitor), db: Session = Depends(get_db)) -&gt; list[GameSummary]:</t>
        </is>
      </c>
    </row>
    <row r="2324">
      <c r="A2324" s="61" t="n">
        <v>96</v>
      </c>
      <c r="B2324" s="62" t="inlineStr">
        <is>
          <t xml:space="preserve">    games = db.scalars(select(Game).where(Game.owner_id == visitor.id).order_by(Game.created_at.desc()).limit(300))</t>
        </is>
      </c>
    </row>
    <row r="2325">
      <c r="A2325" s="61" t="n">
        <v>97</v>
      </c>
      <c r="B2325" s="62" t="inlineStr">
        <is>
          <t xml:space="preserve">    return [GameSummary(**_summary(g), analysis_state=analysis_state(db, g.id)) for g in games]</t>
        </is>
      </c>
    </row>
    <row r="2326">
      <c r="A2326" s="61" t="n">
        <v>98</v>
      </c>
      <c r="B2326" s="62" t="n"/>
    </row>
    <row r="2327">
      <c r="A2327" s="61" t="n">
        <v>99</v>
      </c>
      <c r="B2327" s="62" t="n"/>
    </row>
    <row r="2328">
      <c r="A2328" s="61" t="n">
        <v>100</v>
      </c>
      <c r="B2328" s="62" t="inlineStr">
        <is>
          <t>@router.get("/{game_id}", response_model=GameDetail)</t>
        </is>
      </c>
    </row>
    <row r="2329">
      <c r="A2329" s="61" t="n">
        <v>101</v>
      </c>
      <c r="B2329" s="62" t="inlineStr">
        <is>
          <t>def read_game(game_id: uuid.UUID, visitor: Visitor = Depends(current_visitor),</t>
        </is>
      </c>
    </row>
    <row r="2330">
      <c r="A2330" s="61" t="n">
        <v>102</v>
      </c>
      <c r="B2330" s="62" t="inlineStr">
        <is>
          <t xml:space="preserve">              db: Session = Depends(get_db)) -&gt; GameDetail:</t>
        </is>
      </c>
    </row>
    <row r="2331">
      <c r="A2331" s="61" t="n">
        <v>103</v>
      </c>
      <c r="B2331" s="62" t="inlineStr">
        <is>
          <t xml:space="preserve">    game = get_owned_game(db, game_id, visitor)</t>
        </is>
      </c>
    </row>
    <row r="2332">
      <c r="A2332" s="61" t="n">
        <v>104</v>
      </c>
      <c r="B2332" s="62" t="inlineStr">
        <is>
          <t xml:space="preserve">    return GameDetail(**_summary(game), analysis_state=analysis_state(db, game.id),</t>
        </is>
      </c>
    </row>
    <row r="2333">
      <c r="A2333" s="61" t="n">
        <v>105</v>
      </c>
      <c r="B2333" s="62" t="inlineStr">
        <is>
          <t xml:space="preserve">                      pgn=game.pgn, initial_fen=game.initial_fen)</t>
        </is>
      </c>
    </row>
    <row r="2334">
      <c r="A2334" s="61" t="n">
        <v>106</v>
      </c>
      <c r="B2334" s="62" t="n"/>
    </row>
    <row r="2335">
      <c r="A2335" s="61" t="n">
        <v>107</v>
      </c>
      <c r="B2335" s="62" t="n"/>
    </row>
    <row r="2336">
      <c r="A2336" s="61" t="n">
        <v>108</v>
      </c>
      <c r="B2336" s="62" t="inlineStr">
        <is>
          <t>@router.post("/{game_id}/analysis", response_model=GameCreated, status_code=202)</t>
        </is>
      </c>
    </row>
    <row r="2337">
      <c r="A2337" s="61" t="n">
        <v>109</v>
      </c>
      <c r="B2337" s="62" t="inlineStr">
        <is>
          <t>def request_analysis(game_id: uuid.UUID, visitor: Visitor = Depends(current_visitor),</t>
        </is>
      </c>
    </row>
    <row r="2338">
      <c r="A2338" s="61" t="n">
        <v>110</v>
      </c>
      <c r="B2338" s="62" t="inlineStr">
        <is>
          <t xml:space="preserve">                     db: Session = Depends(get_db)) -&gt; GameCreated:</t>
        </is>
      </c>
    </row>
    <row r="2339">
      <c r="A2339" s="61" t="n">
        <v>111</v>
      </c>
      <c r="B2339" s="62" t="inlineStr">
        <is>
          <t xml:space="preserve">    game = get_owned_game(db, game_id, visitor)</t>
        </is>
      </c>
    </row>
    <row r="2340">
      <c r="A2340" s="61" t="n">
        <v>112</v>
      </c>
      <c r="B2340" s="62" t="inlineStr">
        <is>
          <t xml:space="preserve">    job_id = enqueue_analysis(db, game.id, visitor.id, INTERACTIVE_PRIORITY)</t>
        </is>
      </c>
    </row>
    <row r="2341">
      <c r="A2341" s="61" t="n">
        <v>113</v>
      </c>
      <c r="B2341" s="62" t="inlineStr">
        <is>
          <t xml:space="preserve">    db.commit()</t>
        </is>
      </c>
    </row>
    <row r="2342">
      <c r="A2342" s="61" t="n">
        <v>114</v>
      </c>
      <c r="B2342" s="62" t="inlineStr">
        <is>
          <t xml:space="preserve">    return GameCreated(game_id=game.id, analysis_job_id=job_id)</t>
        </is>
      </c>
    </row>
    <row r="2343">
      <c r="A2343" s="61" t="n">
        <v>115</v>
      </c>
      <c r="B2343" s="62" t="n"/>
    </row>
    <row r="2344">
      <c r="A2344" s="61" t="n">
        <v>116</v>
      </c>
      <c r="B2344" s="62" t="n"/>
    </row>
    <row r="2345">
      <c r="A2345" s="61" t="n">
        <v>117</v>
      </c>
      <c r="B2345" s="62" t="inlineStr">
        <is>
          <t>def _summary(g: Game) -&gt; dict:</t>
        </is>
      </c>
    </row>
    <row r="2346">
      <c r="A2346" s="61" t="n">
        <v>118</v>
      </c>
      <c r="B2346" s="62" t="inlineStr">
        <is>
          <t xml:space="preserve">    return dict(id=g.id, source=g.source, player_color=g.player_color, white_name=g.white_name,</t>
        </is>
      </c>
    </row>
    <row r="2347">
      <c r="A2347" s="61" t="n">
        <v>119</v>
      </c>
      <c r="B2347" s="62" t="inlineStr">
        <is>
          <t xml:space="preserve">                black_name=g.black_name, result=g.result, ply_count=g.ply_count,</t>
        </is>
      </c>
    </row>
    <row r="2348">
      <c r="A2348" s="61" t="n">
        <v>120</v>
      </c>
      <c r="B2348" s="62" t="inlineStr">
        <is>
          <t xml:space="preserve">                played_at=g.played_at, created_at=g.created_at)</t>
        </is>
      </c>
    </row>
    <row r="2351">
      <c r="A2351" s="60" t="inlineStr">
        <is>
          <t>C41</t>
        </is>
      </c>
      <c r="B2351" s="60" t="inlineStr">
        <is>
          <t>services/backend/app/api/jobs.py   ·   Phase P6   ·   Job status and cancellation (owner only).</t>
        </is>
      </c>
    </row>
    <row r="2352">
      <c r="B2352" s="55" t="inlineStr">
        <is>
          <t>↑ back to Code Index</t>
        </is>
      </c>
    </row>
    <row r="2353">
      <c r="A2353" s="61" t="n">
        <v>1</v>
      </c>
      <c r="B2353" s="62" t="inlineStr">
        <is>
          <t>from datetime import datetime</t>
        </is>
      </c>
    </row>
    <row r="2354">
      <c r="A2354" s="61" t="n">
        <v>2</v>
      </c>
      <c r="B2354" s="62" t="inlineStr">
        <is>
          <t>from typing import Any</t>
        </is>
      </c>
    </row>
    <row r="2355">
      <c r="A2355" s="61" t="n">
        <v>3</v>
      </c>
      <c r="B2355" s="62" t="n"/>
    </row>
    <row r="2356">
      <c r="A2356" s="61" t="n">
        <v>4</v>
      </c>
      <c r="B2356" s="62" t="inlineStr">
        <is>
          <t>from fastapi import APIRouter, Depends</t>
        </is>
      </c>
    </row>
    <row r="2357">
      <c r="A2357" s="61" t="n">
        <v>5</v>
      </c>
      <c r="B2357" s="62" t="inlineStr">
        <is>
          <t>from pydantic import BaseModel</t>
        </is>
      </c>
    </row>
    <row r="2358">
      <c r="A2358" s="61" t="n">
        <v>6</v>
      </c>
      <c r="B2358" s="62" t="inlineStr">
        <is>
          <t>from sqlalchemy.orm import Session</t>
        </is>
      </c>
    </row>
    <row r="2359">
      <c r="A2359" s="61" t="n">
        <v>7</v>
      </c>
      <c r="B2359" s="62" t="n"/>
    </row>
    <row r="2360">
      <c r="A2360" s="61" t="n">
        <v>8</v>
      </c>
      <c r="B2360" s="62" t="inlineStr">
        <is>
          <t>from app.db import get_db</t>
        </is>
      </c>
    </row>
    <row r="2361">
      <c r="A2361" s="61" t="n">
        <v>9</v>
      </c>
      <c r="B2361" s="62" t="inlineStr">
        <is>
          <t>from app.errors import ApiError</t>
        </is>
      </c>
    </row>
    <row r="2362">
      <c r="A2362" s="61" t="n">
        <v>10</v>
      </c>
      <c r="B2362" s="62" t="inlineStr">
        <is>
          <t>from app.jobs.queue import request_cancel</t>
        </is>
      </c>
    </row>
    <row r="2363">
      <c r="A2363" s="61" t="n">
        <v>11</v>
      </c>
      <c r="B2363" s="62" t="inlineStr">
        <is>
          <t>from app.models import Job, Visitor</t>
        </is>
      </c>
    </row>
    <row r="2364">
      <c r="A2364" s="61" t="n">
        <v>12</v>
      </c>
      <c r="B2364" s="62" t="inlineStr">
        <is>
          <t>from app.security import current_visitor</t>
        </is>
      </c>
    </row>
    <row r="2365">
      <c r="A2365" s="61" t="n">
        <v>13</v>
      </c>
      <c r="B2365" s="62" t="n"/>
    </row>
    <row r="2366">
      <c r="A2366" s="61" t="n">
        <v>14</v>
      </c>
      <c r="B2366" s="62" t="inlineStr">
        <is>
          <t>router = APIRouter(prefix="/v1/jobs", tags=["jobs"])</t>
        </is>
      </c>
    </row>
    <row r="2367">
      <c r="A2367" s="61" t="n">
        <v>15</v>
      </c>
      <c r="B2367" s="62" t="n"/>
    </row>
    <row r="2368">
      <c r="A2368" s="61" t="n">
        <v>16</v>
      </c>
      <c r="B2368" s="62" t="n"/>
    </row>
    <row r="2369">
      <c r="A2369" s="61" t="n">
        <v>17</v>
      </c>
      <c r="B2369" s="62" t="inlineStr">
        <is>
          <t>class JobOut(BaseModel):</t>
        </is>
      </c>
    </row>
    <row r="2370">
      <c r="A2370" s="61" t="n">
        <v>18</v>
      </c>
      <c r="B2370" s="62" t="inlineStr">
        <is>
          <t xml:space="preserve">    id: int</t>
        </is>
      </c>
    </row>
    <row r="2371">
      <c r="A2371" s="61" t="n">
        <v>19</v>
      </c>
      <c r="B2371" s="62" t="inlineStr">
        <is>
          <t xml:space="preserve">    kind: str</t>
        </is>
      </c>
    </row>
    <row r="2372">
      <c r="A2372" s="61" t="n">
        <v>20</v>
      </c>
      <c r="B2372" s="62" t="inlineStr">
        <is>
          <t xml:space="preserve">    status: str</t>
        </is>
      </c>
    </row>
    <row r="2373">
      <c r="A2373" s="61" t="n">
        <v>21</v>
      </c>
      <c r="B2373" s="62" t="inlineStr">
        <is>
          <t xml:space="preserve">    attempts: int</t>
        </is>
      </c>
    </row>
    <row r="2374">
      <c r="A2374" s="61" t="n">
        <v>22</v>
      </c>
      <c r="B2374" s="62" t="inlineStr">
        <is>
          <t xml:space="preserve">    progress: dict[str, Any]</t>
        </is>
      </c>
    </row>
    <row r="2375">
      <c r="A2375" s="61" t="n">
        <v>23</v>
      </c>
      <c r="B2375" s="62" t="inlineStr">
        <is>
          <t xml:space="preserve">    error_code: str | None</t>
        </is>
      </c>
    </row>
    <row r="2376">
      <c r="A2376" s="61" t="n">
        <v>24</v>
      </c>
      <c r="B2376" s="62" t="inlineStr">
        <is>
          <t xml:space="preserve">    run_after: datetime</t>
        </is>
      </c>
    </row>
    <row r="2377">
      <c r="A2377" s="61" t="n">
        <v>25</v>
      </c>
      <c r="B2377" s="62" t="inlineStr">
        <is>
          <t xml:space="preserve">    updated_at: datetime</t>
        </is>
      </c>
    </row>
    <row r="2378">
      <c r="A2378" s="61" t="n">
        <v>26</v>
      </c>
      <c r="B2378" s="62" t="n"/>
    </row>
    <row r="2379">
      <c r="A2379" s="61" t="n">
        <v>27</v>
      </c>
      <c r="B2379" s="62" t="n"/>
    </row>
    <row r="2380">
      <c r="A2380" s="61" t="n">
        <v>28</v>
      </c>
      <c r="B2380" s="62" t="inlineStr">
        <is>
          <t>def _owned_job(db: Session, job_id: int, visitor: Visitor) -&gt; Job:</t>
        </is>
      </c>
    </row>
    <row r="2381">
      <c r="A2381" s="61" t="n">
        <v>29</v>
      </c>
      <c r="B2381" s="62" t="inlineStr">
        <is>
          <t xml:space="preserve">    job = db.get(Job, job_id)</t>
        </is>
      </c>
    </row>
    <row r="2382">
      <c r="A2382" s="61" t="n">
        <v>30</v>
      </c>
      <c r="B2382" s="62" t="inlineStr">
        <is>
          <t xml:space="preserve">    if job is None or job.owner_id != visitor.id:</t>
        </is>
      </c>
    </row>
    <row r="2383">
      <c r="A2383" s="61" t="n">
        <v>31</v>
      </c>
      <c r="B2383" s="62" t="inlineStr">
        <is>
          <t xml:space="preserve">        raise ApiError(404, "JOB_NOT_FOUND", "Job not found.")</t>
        </is>
      </c>
    </row>
    <row r="2384">
      <c r="A2384" s="61" t="n">
        <v>32</v>
      </c>
      <c r="B2384" s="62" t="inlineStr">
        <is>
          <t xml:space="preserve">    return job</t>
        </is>
      </c>
    </row>
    <row r="2385">
      <c r="A2385" s="61" t="n">
        <v>33</v>
      </c>
      <c r="B2385" s="62" t="n"/>
    </row>
    <row r="2386">
      <c r="A2386" s="61" t="n">
        <v>34</v>
      </c>
      <c r="B2386" s="62" t="n"/>
    </row>
    <row r="2387">
      <c r="A2387" s="61" t="n">
        <v>35</v>
      </c>
      <c r="B2387" s="62" t="inlineStr">
        <is>
          <t>@router.get("/{job_id}", response_model=JobOut)</t>
        </is>
      </c>
    </row>
    <row r="2388">
      <c r="A2388" s="61" t="n">
        <v>36</v>
      </c>
      <c r="B2388" s="62" t="inlineStr">
        <is>
          <t>def read_job(job_id: int, visitor: Visitor = Depends(current_visitor), db: Session = Depends(get_db)) -&gt; JobOut:</t>
        </is>
      </c>
    </row>
    <row r="2389">
      <c r="A2389" s="61" t="n">
        <v>37</v>
      </c>
      <c r="B2389" s="62" t="inlineStr">
        <is>
          <t xml:space="preserve">    job = _owned_job(db, job_id, visitor)</t>
        </is>
      </c>
    </row>
    <row r="2390">
      <c r="A2390" s="61" t="n">
        <v>38</v>
      </c>
      <c r="B2390" s="62" t="inlineStr">
        <is>
          <t xml:space="preserve">    # error_detail may contain internals; only the stable code goes to the browser.</t>
        </is>
      </c>
    </row>
    <row r="2391">
      <c r="A2391" s="61" t="n">
        <v>39</v>
      </c>
      <c r="B2391" s="62" t="inlineStr">
        <is>
          <t xml:space="preserve">    return JobOut(id=job.id, kind=job.kind, status=job.status, attempts=job.attempts, progress=job.progress or {},</t>
        </is>
      </c>
    </row>
    <row r="2392">
      <c r="A2392" s="61" t="n">
        <v>40</v>
      </c>
      <c r="B2392" s="62" t="inlineStr">
        <is>
          <t xml:space="preserve">                  error_code=job.error_code, run_after=job.run_after, updated_at=job.updated_at)</t>
        </is>
      </c>
    </row>
    <row r="2393">
      <c r="A2393" s="61" t="n">
        <v>41</v>
      </c>
      <c r="B2393" s="62" t="n"/>
    </row>
    <row r="2394">
      <c r="A2394" s="61" t="n">
        <v>42</v>
      </c>
      <c r="B2394" s="62" t="n"/>
    </row>
    <row r="2395">
      <c r="A2395" s="61" t="n">
        <v>43</v>
      </c>
      <c r="B2395" s="62" t="inlineStr">
        <is>
          <t>@router.post("/{job_id}/cancel")</t>
        </is>
      </c>
    </row>
    <row r="2396">
      <c r="A2396" s="61" t="n">
        <v>44</v>
      </c>
      <c r="B2396" s="62" t="inlineStr">
        <is>
          <t>def cancel_job(job_id: int, visitor: Visitor = Depends(current_visitor), db: Session = Depends(get_db)) -&gt; dict:</t>
        </is>
      </c>
    </row>
    <row r="2397">
      <c r="A2397" s="61" t="n">
        <v>45</v>
      </c>
      <c r="B2397" s="62" t="inlineStr">
        <is>
          <t xml:space="preserve">    _owned_job(db, job_id, visitor)</t>
        </is>
      </c>
    </row>
    <row r="2398">
      <c r="A2398" s="61" t="n">
        <v>46</v>
      </c>
      <c r="B2398" s="62" t="inlineStr">
        <is>
          <t xml:space="preserve">    return {"status": request_cancel(db, job_id)}</t>
        </is>
      </c>
    </row>
    <row r="2401">
      <c r="A2401" s="60" t="inlineStr">
        <is>
          <t>C42</t>
        </is>
      </c>
      <c r="B2401" s="60" t="inlineStr">
        <is>
          <t>services/backend/app/analysis/engine.py   ·   Phase P6   ·   Evaluator protocol and the Stockfish adapter (python-chess).</t>
        </is>
      </c>
    </row>
    <row r="2402">
      <c r="B2402" s="55" t="inlineStr">
        <is>
          <t>↑ back to Code Index</t>
        </is>
      </c>
    </row>
    <row r="2403">
      <c r="A2403" s="61" t="n">
        <v>1</v>
      </c>
      <c r="B2403" s="62" t="inlineStr">
        <is>
          <t>"""Engine adapter. The rest of the code depends on the small `Evaluator` protocol, not on Stockfish,</t>
        </is>
      </c>
    </row>
    <row r="2404">
      <c r="A2404" s="61" t="n">
        <v>2</v>
      </c>
      <c r="B2404" s="62" t="inlineStr">
        <is>
          <t>so tests can use a fake evaluator and run in milliseconds without an engine installed."""</t>
        </is>
      </c>
    </row>
    <row r="2405">
      <c r="A2405" s="61" t="n">
        <v>3</v>
      </c>
      <c r="B2405" s="62" t="inlineStr">
        <is>
          <t>from dataclasses import dataclass, field</t>
        </is>
      </c>
    </row>
    <row r="2406">
      <c r="A2406" s="61" t="n">
        <v>4</v>
      </c>
      <c r="B2406" s="62" t="inlineStr">
        <is>
          <t>from typing import Protocol</t>
        </is>
      </c>
    </row>
    <row r="2407">
      <c r="A2407" s="61" t="n">
        <v>5</v>
      </c>
      <c r="B2407" s="62" t="n"/>
    </row>
    <row r="2408">
      <c r="A2408" s="61" t="n">
        <v>6</v>
      </c>
      <c r="B2408" s="62" t="inlineStr">
        <is>
          <t>import chess</t>
        </is>
      </c>
    </row>
    <row r="2409">
      <c r="A2409" s="61" t="n">
        <v>7</v>
      </c>
      <c r="B2409" s="62" t="inlineStr">
        <is>
          <t>import chess.engine</t>
        </is>
      </c>
    </row>
    <row r="2410">
      <c r="A2410" s="61" t="n">
        <v>8</v>
      </c>
      <c r="B2410" s="62" t="n"/>
    </row>
    <row r="2411">
      <c r="A2411" s="61" t="n">
        <v>9</v>
      </c>
      <c r="B2411" s="62" t="inlineStr">
        <is>
          <t>MATE_CP = 100_000  # mate scores are converted to a huge number for comparisons, but stored separately</t>
        </is>
      </c>
    </row>
    <row r="2412">
      <c r="A2412" s="61" t="n">
        <v>10</v>
      </c>
      <c r="B2412" s="62" t="n"/>
    </row>
    <row r="2413">
      <c r="A2413" s="61" t="n">
        <v>11</v>
      </c>
      <c r="B2413" s="62" t="n"/>
    </row>
    <row r="2414">
      <c r="A2414" s="61" t="n">
        <v>12</v>
      </c>
      <c r="B2414" s="62" t="inlineStr">
        <is>
          <t>class EngineUnavailable(RuntimeError):</t>
        </is>
      </c>
    </row>
    <row r="2415">
      <c r="A2415" s="61" t="n">
        <v>13</v>
      </c>
      <c r="B2415" s="62" t="inlineStr">
        <is>
          <t xml:space="preserve">    pass</t>
        </is>
      </c>
    </row>
    <row r="2416">
      <c r="A2416" s="61" t="n">
        <v>14</v>
      </c>
      <c r="B2416" s="62" t="n"/>
    </row>
    <row r="2417">
      <c r="A2417" s="61" t="n">
        <v>15</v>
      </c>
      <c r="B2417" s="62" t="n"/>
    </row>
    <row r="2418">
      <c r="A2418" s="61" t="n">
        <v>16</v>
      </c>
      <c r="B2418" s="62" t="inlineStr">
        <is>
          <t>@dataclass</t>
        </is>
      </c>
    </row>
    <row r="2419">
      <c r="A2419" s="61" t="n">
        <v>17</v>
      </c>
      <c r="B2419" s="62" t="inlineStr">
        <is>
          <t>class MoveEval:</t>
        </is>
      </c>
    </row>
    <row r="2420">
      <c r="A2420" s="61" t="n">
        <v>18</v>
      </c>
      <c r="B2420" s="62" t="inlineStr">
        <is>
          <t xml:space="preserve">    cp: int  # from the perspective of the side to move BEFORE the move</t>
        </is>
      </c>
    </row>
    <row r="2421">
      <c r="A2421" s="61" t="n">
        <v>19</v>
      </c>
      <c r="B2421" s="62" t="inlineStr">
        <is>
          <t xml:space="preserve">    mate: int | None  # +N = mate in N for that side, -N = getting mated, None = no mate found</t>
        </is>
      </c>
    </row>
    <row r="2422">
      <c r="A2422" s="61" t="n">
        <v>20</v>
      </c>
      <c r="B2422" s="62" t="inlineStr">
        <is>
          <t xml:space="preserve">    pv: list[chess.Move] = field(default_factory=list)  # principal variation, starts with the move</t>
        </is>
      </c>
    </row>
    <row r="2423">
      <c r="A2423" s="61" t="n">
        <v>21</v>
      </c>
      <c r="B2423" s="62" t="n"/>
    </row>
    <row r="2424">
      <c r="A2424" s="61" t="n">
        <v>22</v>
      </c>
      <c r="B2424" s="62" t="n"/>
    </row>
    <row r="2425">
      <c r="A2425" s="61" t="n">
        <v>23</v>
      </c>
      <c r="B2425" s="62" t="inlineStr">
        <is>
          <t>class Evaluator(Protocol):</t>
        </is>
      </c>
    </row>
    <row r="2426">
      <c r="A2426" s="61" t="n">
        <v>24</v>
      </c>
      <c r="B2426" s="62" t="inlineStr">
        <is>
          <t xml:space="preserve">    name: str</t>
        </is>
      </c>
    </row>
    <row r="2427">
      <c r="A2427" s="61" t="n">
        <v>25</v>
      </c>
      <c r="B2427" s="62" t="inlineStr">
        <is>
          <t xml:space="preserve">    limits: dict</t>
        </is>
      </c>
    </row>
    <row r="2428">
      <c r="A2428" s="61" t="n">
        <v>26</v>
      </c>
      <c r="B2428" s="62" t="n"/>
    </row>
    <row r="2429">
      <c r="A2429" s="61" t="n">
        <v>27</v>
      </c>
      <c r="B2429" s="62" t="inlineStr">
        <is>
          <t xml:space="preserve">    def eval_move(self, board: chess.Board, move: chess.Move) -&gt; MoveEval: ...</t>
        </is>
      </c>
    </row>
    <row r="2430">
      <c r="A2430" s="61" t="n">
        <v>28</v>
      </c>
      <c r="B2430" s="62" t="n"/>
    </row>
    <row r="2431">
      <c r="A2431" s="61" t="n">
        <v>29</v>
      </c>
      <c r="B2431" s="62" t="n"/>
    </row>
    <row r="2432">
      <c r="A2432" s="61" t="n">
        <v>30</v>
      </c>
      <c r="B2432" s="62" t="inlineStr">
        <is>
          <t>class StockfishEvaluator:</t>
        </is>
      </c>
    </row>
    <row r="2433">
      <c r="A2433" s="61" t="n">
        <v>31</v>
      </c>
      <c r="B2433" s="62" t="inlineStr">
        <is>
          <t xml:space="preserve">    """One long-lived UCI subprocess per worker process; restarted if it dies."""</t>
        </is>
      </c>
    </row>
    <row r="2434">
      <c r="A2434" s="61" t="n">
        <v>32</v>
      </c>
      <c r="B2434" s="62" t="n"/>
    </row>
    <row r="2435">
      <c r="A2435" s="61" t="n">
        <v>33</v>
      </c>
      <c r="B2435" s="62" t="inlineStr">
        <is>
          <t xml:space="preserve">    def __init__(self, path: str, threads: int, hash_mb: int, depth: int, time_s: float):</t>
        </is>
      </c>
    </row>
    <row r="2436">
      <c r="A2436" s="61" t="n">
        <v>34</v>
      </c>
      <c r="B2436" s="62" t="inlineStr">
        <is>
          <t xml:space="preserve">        self.path = path</t>
        </is>
      </c>
    </row>
    <row r="2437">
      <c r="A2437" s="61" t="n">
        <v>35</v>
      </c>
      <c r="B2437" s="62" t="inlineStr">
        <is>
          <t xml:space="preserve">        self.threads = threads</t>
        </is>
      </c>
    </row>
    <row r="2438">
      <c r="A2438" s="61" t="n">
        <v>36</v>
      </c>
      <c r="B2438" s="62" t="inlineStr">
        <is>
          <t xml:space="preserve">        self.hash_mb = hash_mb</t>
        </is>
      </c>
    </row>
    <row r="2439">
      <c r="A2439" s="61" t="n">
        <v>37</v>
      </c>
      <c r="B2439" s="62" t="inlineStr">
        <is>
          <t xml:space="preserve">        self.limit = chess.engine.Limit(depth=depth, time=time_s)</t>
        </is>
      </c>
    </row>
    <row r="2440">
      <c r="A2440" s="61" t="n">
        <v>38</v>
      </c>
      <c r="B2440" s="62" t="inlineStr">
        <is>
          <t xml:space="preserve">        self.limits = {"depth": depth, "time_s": time_s, "threads": threads, "hash_mb": hash_mb}</t>
        </is>
      </c>
    </row>
    <row r="2441">
      <c r="A2441" s="61" t="n">
        <v>39</v>
      </c>
      <c r="B2441" s="62" t="inlineStr">
        <is>
          <t xml:space="preserve">        self._engine: chess.engine.SimpleEngine | None = None</t>
        </is>
      </c>
    </row>
    <row r="2442">
      <c r="A2442" s="61" t="n">
        <v>40</v>
      </c>
      <c r="B2442" s="62" t="inlineStr">
        <is>
          <t xml:space="preserve">        self.name = "stockfish"</t>
        </is>
      </c>
    </row>
    <row r="2443">
      <c r="A2443" s="61" t="n">
        <v>41</v>
      </c>
      <c r="B2443" s="62" t="n"/>
    </row>
    <row r="2444">
      <c r="A2444" s="61" t="n">
        <v>42</v>
      </c>
      <c r="B2444" s="62" t="inlineStr">
        <is>
          <t xml:space="preserve">    def _get(self) -&gt; chess.engine.SimpleEngine:</t>
        </is>
      </c>
    </row>
    <row r="2445">
      <c r="A2445" s="61" t="n">
        <v>43</v>
      </c>
      <c r="B2445" s="62" t="inlineStr">
        <is>
          <t xml:space="preserve">        if self._engine is None:</t>
        </is>
      </c>
    </row>
    <row r="2446">
      <c r="A2446" s="61" t="n">
        <v>44</v>
      </c>
      <c r="B2446" s="62" t="inlineStr">
        <is>
          <t xml:space="preserve">            try:</t>
        </is>
      </c>
    </row>
    <row r="2447">
      <c r="A2447" s="61" t="n">
        <v>45</v>
      </c>
      <c r="B2447" s="62" t="inlineStr">
        <is>
          <t xml:space="preserve">                self._engine = chess.engine.SimpleEngine.popen_uci(self.path, timeout=15)</t>
        </is>
      </c>
    </row>
    <row r="2448">
      <c r="A2448" s="61" t="n">
        <v>46</v>
      </c>
      <c r="B2448" s="62" t="inlineStr">
        <is>
          <t xml:space="preserve">            except (FileNotFoundError, chess.engine.EngineError) as exc:</t>
        </is>
      </c>
    </row>
    <row r="2449">
      <c r="A2449" s="61" t="n">
        <v>47</v>
      </c>
      <c r="B2449" s="62" t="inlineStr">
        <is>
          <t xml:space="preserve">                raise EngineUnavailable(str(exc)) from exc</t>
        </is>
      </c>
    </row>
    <row r="2450">
      <c r="A2450" s="61" t="n">
        <v>48</v>
      </c>
      <c r="B2450" s="62" t="inlineStr">
        <is>
          <t xml:space="preserve">            self._engine.configure({"Threads": self.threads, "Hash": self.hash_mb})</t>
        </is>
      </c>
    </row>
    <row r="2451">
      <c r="A2451" s="61" t="n">
        <v>49</v>
      </c>
      <c r="B2451" s="62" t="inlineStr">
        <is>
          <t xml:space="preserve">            self.name = self._engine.id.get("name", "stockfish")</t>
        </is>
      </c>
    </row>
    <row r="2452">
      <c r="A2452" s="61" t="n">
        <v>50</v>
      </c>
      <c r="B2452" s="62" t="inlineStr">
        <is>
          <t xml:space="preserve">        return self._engine</t>
        </is>
      </c>
    </row>
    <row r="2453">
      <c r="A2453" s="61" t="n">
        <v>51</v>
      </c>
      <c r="B2453" s="62" t="n"/>
    </row>
    <row r="2454">
      <c r="A2454" s="61" t="n">
        <v>52</v>
      </c>
      <c r="B2454" s="62" t="inlineStr">
        <is>
          <t xml:space="preserve">    def eval_move(self, board: chess.Board, move: chess.Move) -&gt; MoveEval:</t>
        </is>
      </c>
    </row>
    <row r="2455">
      <c r="A2455" s="61" t="n">
        <v>53</v>
      </c>
      <c r="B2455" s="62" t="inlineStr">
        <is>
          <t xml:space="preserve">        # Pass the FULL board (with move history) so the engine knows about repetitions.</t>
        </is>
      </c>
    </row>
    <row r="2456">
      <c r="A2456" s="61" t="n">
        <v>54</v>
      </c>
      <c r="B2456" s="62" t="inlineStr">
        <is>
          <t xml:space="preserve">        try:</t>
        </is>
      </c>
    </row>
    <row r="2457">
      <c r="A2457" s="61" t="n">
        <v>55</v>
      </c>
      <c r="B2457" s="62" t="inlineStr">
        <is>
          <t xml:space="preserve">            info = self._get().analyse(board, self.limit, root_moves=[move])</t>
        </is>
      </c>
    </row>
    <row r="2458">
      <c r="A2458" s="61" t="n">
        <v>56</v>
      </c>
      <c r="B2458" s="62" t="inlineStr">
        <is>
          <t xml:space="preserve">        except (chess.engine.EngineTerminatedError, chess.engine.EngineError) as exc:</t>
        </is>
      </c>
    </row>
    <row r="2459">
      <c r="A2459" s="61" t="n">
        <v>57</v>
      </c>
      <c r="B2459" s="62" t="inlineStr">
        <is>
          <t xml:space="preserve">            self.close()</t>
        </is>
      </c>
    </row>
    <row r="2460">
      <c r="A2460" s="61" t="n">
        <v>58</v>
      </c>
      <c r="B2460" s="62" t="inlineStr">
        <is>
          <t xml:space="preserve">            raise EngineUnavailable(str(exc)) from exc</t>
        </is>
      </c>
    </row>
    <row r="2461">
      <c r="A2461" s="61" t="n">
        <v>59</v>
      </c>
      <c r="B2461" s="62" t="inlineStr">
        <is>
          <t xml:space="preserve">        score = info["score"].pov(board.turn)</t>
        </is>
      </c>
    </row>
    <row r="2462">
      <c r="A2462" s="61" t="n">
        <v>60</v>
      </c>
      <c r="B2462" s="62" t="inlineStr">
        <is>
          <t xml:space="preserve">        return MoveEval(cp=score.score(mate_score=MATE_CP), mate=score.mate(), pv=list(info.get("pv", [move])))</t>
        </is>
      </c>
    </row>
    <row r="2463">
      <c r="A2463" s="61" t="n">
        <v>61</v>
      </c>
      <c r="B2463" s="62" t="n"/>
    </row>
    <row r="2464">
      <c r="A2464" s="61" t="n">
        <v>62</v>
      </c>
      <c r="B2464" s="62" t="inlineStr">
        <is>
          <t xml:space="preserve">    def close(self) -&gt; None:</t>
        </is>
      </c>
    </row>
    <row r="2465">
      <c r="A2465" s="61" t="n">
        <v>63</v>
      </c>
      <c r="B2465" s="62" t="inlineStr">
        <is>
          <t xml:space="preserve">        if self._engine is not None:</t>
        </is>
      </c>
    </row>
    <row r="2466">
      <c r="A2466" s="61" t="n">
        <v>64</v>
      </c>
      <c r="B2466" s="62" t="inlineStr">
        <is>
          <t xml:space="preserve">            try:</t>
        </is>
      </c>
    </row>
    <row r="2467">
      <c r="A2467" s="61" t="n">
        <v>65</v>
      </c>
      <c r="B2467" s="62" t="inlineStr">
        <is>
          <t xml:space="preserve">                self._engine.quit()</t>
        </is>
      </c>
    </row>
    <row r="2468">
      <c r="A2468" s="61" t="n">
        <v>66</v>
      </c>
      <c r="B2468" s="62" t="inlineStr">
        <is>
          <t xml:space="preserve">            except Exception:</t>
        </is>
      </c>
    </row>
    <row r="2469">
      <c r="A2469" s="61" t="n">
        <v>67</v>
      </c>
      <c r="B2469" s="62" t="inlineStr">
        <is>
          <t xml:space="preserve">                pass</t>
        </is>
      </c>
    </row>
    <row r="2470">
      <c r="A2470" s="61" t="n">
        <v>68</v>
      </c>
      <c r="B2470" s="62" t="inlineStr">
        <is>
          <t xml:space="preserve">            self._engine = None</t>
        </is>
      </c>
    </row>
    <row r="2473">
      <c r="A2473" s="60" t="inlineStr">
        <is>
          <t>C43</t>
        </is>
      </c>
      <c r="B2473" s="60" t="inlineStr">
        <is>
          <t>services/backend/app/jobs/handlers.py   ·   Phase P6   ·   Idempotent handlers: analyze_game, import_lichess.</t>
        </is>
      </c>
    </row>
    <row r="2474">
      <c r="B2474" s="55" t="inlineStr">
        <is>
          <t>↑ back to Code Index</t>
        </is>
      </c>
    </row>
    <row r="2475">
      <c r="A2475" s="61" t="n">
        <v>1</v>
      </c>
      <c r="B2475" s="62" t="inlineStr">
        <is>
          <t>"""Job handlers. Each one must be IDEMPOTENT: running it twice gives the same final state."""</t>
        </is>
      </c>
    </row>
    <row r="2476">
      <c r="A2476" s="61" t="n">
        <v>2</v>
      </c>
      <c r="B2476" s="62" t="inlineStr">
        <is>
          <t>import time</t>
        </is>
      </c>
    </row>
    <row r="2477">
      <c r="A2477" s="61" t="n">
        <v>3</v>
      </c>
      <c r="B2477" s="62" t="inlineStr">
        <is>
          <t>import uuid</t>
        </is>
      </c>
    </row>
    <row r="2478">
      <c r="A2478" s="61" t="n">
        <v>4</v>
      </c>
      <c r="B2478" s="62" t="inlineStr">
        <is>
          <t>from collections.abc import Callable</t>
        </is>
      </c>
    </row>
    <row r="2479">
      <c r="A2479" s="61" t="n">
        <v>5</v>
      </c>
      <c r="B2479" s="62" t="inlineStr">
        <is>
          <t>from datetime import datetime, timezone</t>
        </is>
      </c>
    </row>
    <row r="2480">
      <c r="A2480" s="61" t="n">
        <v>6</v>
      </c>
      <c r="B2480" s="62" t="n"/>
    </row>
    <row r="2481">
      <c r="A2481" s="61" t="n">
        <v>7</v>
      </c>
      <c r="B2481" s="62" t="inlineStr">
        <is>
          <t>from sqlalchemy import delete, select, update</t>
        </is>
      </c>
    </row>
    <row r="2482">
      <c r="A2482" s="61" t="n">
        <v>8</v>
      </c>
      <c r="B2482" s="62" t="inlineStr">
        <is>
          <t>from sqlalchemy.dialects.postgresql import insert as pg_insert</t>
        </is>
      </c>
    </row>
    <row r="2483">
      <c r="A2483" s="61" t="n">
        <v>9</v>
      </c>
      <c r="B2483" s="62" t="n"/>
    </row>
    <row r="2484">
      <c r="A2484" s="61" t="n">
        <v>10</v>
      </c>
      <c r="B2484" s="62" t="inlineStr">
        <is>
          <t>from app.analysis.engine import EngineUnavailable, StockfishEvaluator</t>
        </is>
      </c>
    </row>
    <row r="2485">
      <c r="A2485" s="61" t="n">
        <v>11</v>
      </c>
      <c r="B2485" s="62" t="inlineStr">
        <is>
          <t>from app.analysis.pipeline import PIPELINE_VERSION, analyze_game</t>
        </is>
      </c>
    </row>
    <row r="2486">
      <c r="A2486" s="61" t="n">
        <v>12</v>
      </c>
      <c r="B2486" s="62" t="inlineStr">
        <is>
          <t>from app.config import get_settings</t>
        </is>
      </c>
    </row>
    <row r="2487">
      <c r="A2487" s="61" t="n">
        <v>13</v>
      </c>
      <c r="B2487" s="62" t="inlineStr">
        <is>
          <t>from app.db import SessionLocal</t>
        </is>
      </c>
    </row>
    <row r="2488">
      <c r="A2488" s="61" t="n">
        <v>14</v>
      </c>
      <c r="B2488" s="62" t="inlineStr">
        <is>
          <t>from app.domain.pgn import PgnError, parse_single</t>
        </is>
      </c>
    </row>
    <row r="2489">
      <c r="A2489" s="61" t="n">
        <v>15</v>
      </c>
      <c r="B2489" s="62" t="inlineStr">
        <is>
          <t>from app.importers import lichess</t>
        </is>
      </c>
    </row>
    <row r="2490">
      <c r="A2490" s="61" t="n">
        <v>16</v>
      </c>
      <c r="B2490" s="62" t="inlineStr">
        <is>
          <t>from app.jobs.queue import Cancelled, ClaimedJob, PermanentError, RetryableError, enqueue, heartbeat</t>
        </is>
      </c>
    </row>
    <row r="2491">
      <c r="A2491" s="61" t="n">
        <v>17</v>
      </c>
      <c r="B2491" s="62" t="inlineStr">
        <is>
          <t>from app.models import AnalysisRun, Game, ImportRun, TacticalEvidence</t>
        </is>
      </c>
    </row>
    <row r="2492">
      <c r="A2492" s="61" t="n">
        <v>18</v>
      </c>
      <c r="B2492" s="62" t="n"/>
    </row>
    <row r="2493">
      <c r="A2493" s="61" t="n">
        <v>19</v>
      </c>
      <c r="B2493" s="62" t="inlineStr">
        <is>
          <t>_evaluator: StockfishEvaluator | None = None</t>
        </is>
      </c>
    </row>
    <row r="2494">
      <c r="A2494" s="61" t="n">
        <v>20</v>
      </c>
      <c r="B2494" s="62" t="n"/>
    </row>
    <row r="2495">
      <c r="A2495" s="61" t="n">
        <v>21</v>
      </c>
      <c r="B2495" s="62" t="n"/>
    </row>
    <row r="2496">
      <c r="A2496" s="61" t="n">
        <v>22</v>
      </c>
      <c r="B2496" s="62" t="inlineStr">
        <is>
          <t>def evaluator() -&gt; StockfishEvaluator:</t>
        </is>
      </c>
    </row>
    <row r="2497">
      <c r="A2497" s="61" t="n">
        <v>23</v>
      </c>
      <c r="B2497" s="62" t="inlineStr">
        <is>
          <t xml:space="preserve">    """One engine process per worker, created on first use."""</t>
        </is>
      </c>
    </row>
    <row r="2498">
      <c r="A2498" s="61" t="n">
        <v>24</v>
      </c>
      <c r="B2498" s="62" t="inlineStr">
        <is>
          <t xml:space="preserve">    global _evaluator</t>
        </is>
      </c>
    </row>
    <row r="2499">
      <c r="A2499" s="61" t="n">
        <v>25</v>
      </c>
      <c r="B2499" s="62" t="inlineStr">
        <is>
          <t xml:space="preserve">    if _evaluator is None:</t>
        </is>
      </c>
    </row>
    <row r="2500">
      <c r="A2500" s="61" t="n">
        <v>26</v>
      </c>
      <c r="B2500" s="62" t="inlineStr">
        <is>
          <t xml:space="preserve">        s = get_settings()</t>
        </is>
      </c>
    </row>
    <row r="2501">
      <c r="A2501" s="61" t="n">
        <v>27</v>
      </c>
      <c r="B2501" s="62" t="inlineStr">
        <is>
          <t xml:space="preserve">        _evaluator = StockfishEvaluator(s.stockfish_path, s.engine_threads, s.engine_hash_mb, s.analysis_depth, s.analysis_time_s)</t>
        </is>
      </c>
    </row>
    <row r="2502">
      <c r="A2502" s="61" t="n">
        <v>28</v>
      </c>
      <c r="B2502" s="62" t="inlineStr">
        <is>
          <t xml:space="preserve">    return _evaluator</t>
        </is>
      </c>
    </row>
    <row r="2503">
      <c r="A2503" s="61" t="n">
        <v>29</v>
      </c>
      <c r="B2503" s="62" t="n"/>
    </row>
    <row r="2504">
      <c r="A2504" s="61" t="n">
        <v>30</v>
      </c>
      <c r="B2504" s="62" t="n"/>
    </row>
    <row r="2505">
      <c r="A2505" s="61" t="n">
        <v>31</v>
      </c>
      <c r="B2505" s="62" t="inlineStr">
        <is>
          <t>class Throttled:</t>
        </is>
      </c>
    </row>
    <row r="2506">
      <c r="A2506" s="61" t="n">
        <v>32</v>
      </c>
      <c r="B2506" s="62" t="inlineStr">
        <is>
          <t xml:space="preserve">    """Calls heartbeat at most every `every_s` seconds; raises Cancelled when the user cancels."""</t>
        </is>
      </c>
    </row>
    <row r="2507">
      <c r="A2507" s="61" t="n">
        <v>33</v>
      </c>
      <c r="B2507" s="62" t="n"/>
    </row>
    <row r="2508">
      <c r="A2508" s="61" t="n">
        <v>34</v>
      </c>
      <c r="B2508" s="62" t="inlineStr">
        <is>
          <t xml:space="preserve">    def __init__(self, job: ClaimedJob, every_s: float = 3.0):</t>
        </is>
      </c>
    </row>
    <row r="2509">
      <c r="A2509" s="61" t="n">
        <v>35</v>
      </c>
      <c r="B2509" s="62" t="inlineStr">
        <is>
          <t xml:space="preserve">        self.job, self.every_s, self.last = job, every_s, 0.0</t>
        </is>
      </c>
    </row>
    <row r="2510">
      <c r="A2510" s="61" t="n">
        <v>36</v>
      </c>
      <c r="B2510" s="62" t="n"/>
    </row>
    <row r="2511">
      <c r="A2511" s="61" t="n">
        <v>37</v>
      </c>
      <c r="B2511" s="62" t="inlineStr">
        <is>
          <t xml:space="preserve">    def __call__(self, progress: dict) -&gt; None:</t>
        </is>
      </c>
    </row>
    <row r="2512">
      <c r="A2512" s="61" t="n">
        <v>38</v>
      </c>
      <c r="B2512" s="62" t="inlineStr">
        <is>
          <t xml:space="preserve">        now = time.monotonic()</t>
        </is>
      </c>
    </row>
    <row r="2513">
      <c r="A2513" s="61" t="n">
        <v>39</v>
      </c>
      <c r="B2513" s="62" t="inlineStr">
        <is>
          <t xml:space="preserve">        if now - self.last &gt;= self.every_s:</t>
        </is>
      </c>
    </row>
    <row r="2514">
      <c r="A2514" s="61" t="n">
        <v>40</v>
      </c>
      <c r="B2514" s="62" t="inlineStr">
        <is>
          <t xml:space="preserve">            self.last = now</t>
        </is>
      </c>
    </row>
    <row r="2515">
      <c r="A2515" s="61" t="n">
        <v>41</v>
      </c>
      <c r="B2515" s="62" t="inlineStr">
        <is>
          <t xml:space="preserve">            if heartbeat(self.job, progress):</t>
        </is>
      </c>
    </row>
    <row r="2516">
      <c r="A2516" s="61" t="n">
        <v>42</v>
      </c>
      <c r="B2516" s="62" t="inlineStr">
        <is>
          <t xml:space="preserve">                raise Cancelled()</t>
        </is>
      </c>
    </row>
    <row r="2517">
      <c r="A2517" s="61" t="n">
        <v>43</v>
      </c>
      <c r="B2517" s="62" t="n"/>
    </row>
    <row r="2518">
      <c r="A2518" s="61" t="n">
        <v>44</v>
      </c>
      <c r="B2518" s="62" t="n"/>
    </row>
    <row r="2519">
      <c r="A2519" s="61" t="n">
        <v>45</v>
      </c>
      <c r="B2519" s="62" t="inlineStr">
        <is>
          <t>def handle_analyze_game(job: ClaimedJob) -&gt; dict:</t>
        </is>
      </c>
    </row>
    <row r="2520">
      <c r="A2520" s="61" t="n">
        <v>46</v>
      </c>
      <c r="B2520" s="62" t="inlineStr">
        <is>
          <t xml:space="preserve">    game_id = uuid.UUID(job.payload["game_id"])</t>
        </is>
      </c>
    </row>
    <row r="2521">
      <c r="A2521" s="61" t="n">
        <v>47</v>
      </c>
      <c r="B2521" s="62" t="inlineStr">
        <is>
          <t xml:space="preserve">    with SessionLocal() as db:</t>
        </is>
      </c>
    </row>
    <row r="2522">
      <c r="A2522" s="61" t="n">
        <v>48</v>
      </c>
      <c r="B2522" s="62" t="inlineStr">
        <is>
          <t xml:space="preserve">        game = db.get(Game, game_id)</t>
        </is>
      </c>
    </row>
    <row r="2523">
      <c r="A2523" s="61" t="n">
        <v>49</v>
      </c>
      <c r="B2523" s="62" t="inlineStr">
        <is>
          <t xml:space="preserve">        if game is None:</t>
        </is>
      </c>
    </row>
    <row r="2524">
      <c r="A2524" s="61" t="n">
        <v>50</v>
      </c>
      <c r="B2524" s="62" t="inlineStr">
        <is>
          <t xml:space="preserve">            return {"skipped": "game_deleted"}</t>
        </is>
      </c>
    </row>
    <row r="2525">
      <c r="A2525" s="61" t="n">
        <v>51</v>
      </c>
      <c r="B2525" s="62" t="inlineStr">
        <is>
          <t xml:space="preserve">        run = db.scalar(select(AnalysisRun).where(AnalysisRun.game_id == game_id,</t>
        </is>
      </c>
    </row>
    <row r="2526">
      <c r="A2526" s="61" t="n">
        <v>52</v>
      </c>
      <c r="B2526" s="62" t="inlineStr">
        <is>
          <t xml:space="preserve">                                                  AnalysisRun.pipeline_version == PIPELINE_VERSION))</t>
        </is>
      </c>
    </row>
    <row r="2527">
      <c r="A2527" s="61" t="n">
        <v>53</v>
      </c>
      <c r="B2527" s="62" t="inlineStr">
        <is>
          <t xml:space="preserve">        if run is not None and run.state in ("succeeded", "partial"):</t>
        </is>
      </c>
    </row>
    <row r="2528">
      <c r="A2528" s="61" t="n">
        <v>54</v>
      </c>
      <c r="B2528" s="62" t="inlineStr">
        <is>
          <t xml:space="preserve">            return {"skipped": "already_analyzed", "analysis_run_id": str(run.id)}  # idempotent</t>
        </is>
      </c>
    </row>
    <row r="2529">
      <c r="A2529" s="61" t="n">
        <v>55</v>
      </c>
      <c r="B2529" s="62" t="inlineStr">
        <is>
          <t xml:space="preserve">        if run is None:</t>
        </is>
      </c>
    </row>
    <row r="2530">
      <c r="A2530" s="61" t="n">
        <v>56</v>
      </c>
      <c r="B2530" s="62" t="inlineStr">
        <is>
          <t xml:space="preserve">            run = AnalysisRun(game_id=game_id, pipeline_version=PIPELINE_VERSION)</t>
        </is>
      </c>
    </row>
    <row r="2531">
      <c r="A2531" s="61" t="n">
        <v>57</v>
      </c>
      <c r="B2531" s="62" t="inlineStr">
        <is>
          <t xml:space="preserve">            db.add(run)</t>
        </is>
      </c>
    </row>
    <row r="2532">
      <c r="A2532" s="61" t="n">
        <v>58</v>
      </c>
      <c r="B2532" s="62" t="inlineStr">
        <is>
          <t xml:space="preserve">            db.commit()</t>
        </is>
      </c>
    </row>
    <row r="2533">
      <c r="A2533" s="61" t="n">
        <v>59</v>
      </c>
      <c r="B2533" s="62" t="inlineStr">
        <is>
          <t xml:space="preserve">        try:</t>
        </is>
      </c>
    </row>
    <row r="2534">
      <c r="A2534" s="61" t="n">
        <v>60</v>
      </c>
      <c r="B2534" s="62" t="inlineStr">
        <is>
          <t xml:space="preserve">            parsed = parse_single(game.pgn)</t>
        </is>
      </c>
    </row>
    <row r="2535">
      <c r="A2535" s="61" t="n">
        <v>61</v>
      </c>
      <c r="B2535" s="62" t="inlineStr">
        <is>
          <t xml:space="preserve">        except PgnError as exc:</t>
        </is>
      </c>
    </row>
    <row r="2536">
      <c r="A2536" s="61" t="n">
        <v>62</v>
      </c>
      <c r="B2536" s="62" t="inlineStr">
        <is>
          <t xml:space="preserve">            raise PermanentError("INVALID_PGN", str(exc)) from exc</t>
        </is>
      </c>
    </row>
    <row r="2537">
      <c r="A2537" s="61" t="n">
        <v>63</v>
      </c>
      <c r="B2537" s="62" t="inlineStr">
        <is>
          <t xml:space="preserve">        run_id, player_color = run.id, game.player_color</t>
        </is>
      </c>
    </row>
    <row r="2538">
      <c r="A2538" s="61" t="n">
        <v>64</v>
      </c>
      <c r="B2538" s="62" t="n"/>
    </row>
    <row r="2539">
      <c r="A2539" s="61" t="n">
        <v>65</v>
      </c>
      <c r="B2539" s="62" t="inlineStr">
        <is>
          <t xml:space="preserve">    beat = Throttled(job)</t>
        </is>
      </c>
    </row>
    <row r="2540">
      <c r="A2540" s="61" t="n">
        <v>66</v>
      </c>
      <c r="B2540" s="62" t="inlineStr">
        <is>
          <t xml:space="preserve">    ev = evaluator()</t>
        </is>
      </c>
    </row>
    <row r="2541">
      <c r="A2541" s="61" t="n">
        <v>67</v>
      </c>
      <c r="B2541" s="62" t="n"/>
    </row>
    <row r="2542">
      <c r="A2542" s="61" t="n">
        <v>68</v>
      </c>
      <c r="B2542" s="62" t="inlineStr">
        <is>
          <t xml:space="preserve">    def should_continue(done: int, total: int) -&gt; bool:</t>
        </is>
      </c>
    </row>
    <row r="2543">
      <c r="A2543" s="61" t="n">
        <v>69</v>
      </c>
      <c r="B2543" s="62" t="inlineStr">
        <is>
          <t xml:space="preserve">        beat({"positions_analyzed": done, "positions_total": total})</t>
        </is>
      </c>
    </row>
    <row r="2544">
      <c r="A2544" s="61" t="n">
        <v>70</v>
      </c>
      <c r="B2544" s="62" t="inlineStr">
        <is>
          <t xml:space="preserve">        return True</t>
        </is>
      </c>
    </row>
    <row r="2545">
      <c r="A2545" s="61" t="n">
        <v>71</v>
      </c>
      <c r="B2545" s="62" t="n"/>
    </row>
    <row r="2546">
      <c r="A2546" s="61" t="n">
        <v>72</v>
      </c>
      <c r="B2546" s="62" t="inlineStr">
        <is>
          <t xml:space="preserve">    try:</t>
        </is>
      </c>
    </row>
    <row r="2547">
      <c r="A2547" s="61" t="n">
        <v>73</v>
      </c>
      <c r="B2547" s="62" t="inlineStr">
        <is>
          <t xml:space="preserve">        result = analyze_game(parsed.initial_fen, parsed.moves_uci, player_color, ev, should_continue,</t>
        </is>
      </c>
    </row>
    <row r="2548">
      <c r="A2548" s="61" t="n">
        <v>74</v>
      </c>
      <c r="B2548" s="62" t="inlineStr">
        <is>
          <t xml:space="preserve">                              get_settings().max_candidates_per_position)</t>
        </is>
      </c>
    </row>
    <row r="2549">
      <c r="A2549" s="61" t="n">
        <v>75</v>
      </c>
      <c r="B2549" s="62" t="inlineStr">
        <is>
          <t xml:space="preserve">    except EngineUnavailable as exc:</t>
        </is>
      </c>
    </row>
    <row r="2550">
      <c r="A2550" s="61" t="n">
        <v>76</v>
      </c>
      <c r="B2550" s="62" t="inlineStr">
        <is>
          <t xml:space="preserve">        raise RetryableError("ENGINE_UNAVAILABLE", str(exc)) from exc</t>
        </is>
      </c>
    </row>
    <row r="2551">
      <c r="A2551" s="61" t="n">
        <v>77</v>
      </c>
      <c r="B2551" s="62" t="n"/>
    </row>
    <row r="2552">
      <c r="A2552" s="61" t="n">
        <v>78</v>
      </c>
      <c r="B2552" s="62" t="inlineStr">
        <is>
          <t xml:space="preserve">    with SessionLocal() as db:</t>
        </is>
      </c>
    </row>
    <row r="2553">
      <c r="A2553" s="61" t="n">
        <v>79</v>
      </c>
      <c r="B2553" s="62" t="inlineStr">
        <is>
          <t xml:space="preserve">        # Replace, don't append: a retried job must not duplicate evidence.</t>
        </is>
      </c>
    </row>
    <row r="2554">
      <c r="A2554" s="61" t="n">
        <v>80</v>
      </c>
      <c r="B2554" s="62" t="inlineStr">
        <is>
          <t xml:space="preserve">        db.execute(delete(TacticalEvidence).where(TacticalEvidence.analysis_run_id == run_id))</t>
        </is>
      </c>
    </row>
    <row r="2555">
      <c r="A2555" s="61" t="n">
        <v>81</v>
      </c>
      <c r="B2555" s="62" t="inlineStr">
        <is>
          <t xml:space="preserve">        for record in result.findings:</t>
        </is>
      </c>
    </row>
    <row r="2556">
      <c r="A2556" s="61" t="n">
        <v>82</v>
      </c>
      <c r="B2556" s="62" t="inlineStr">
        <is>
          <t xml:space="preserve">            db.add(TacticalEvidence(analysis_run_id=run_id, game_id=game_id, **record))</t>
        </is>
      </c>
    </row>
    <row r="2557">
      <c r="A2557" s="61" t="n">
        <v>83</v>
      </c>
      <c r="B2557" s="62" t="inlineStr">
        <is>
          <t xml:space="preserve">        db.execute(update(AnalysisRun).where(AnalysisRun.id == run_id).values(</t>
        </is>
      </c>
    </row>
    <row r="2558">
      <c r="A2558" s="61" t="n">
        <v>84</v>
      </c>
      <c r="B2558" s="62" t="inlineStr">
        <is>
          <t xml:space="preserve">            state="succeeded" if result.complete else "partial",</t>
        </is>
      </c>
    </row>
    <row r="2559">
      <c r="A2559" s="61" t="n">
        <v>85</v>
      </c>
      <c r="B2559" s="62" t="inlineStr">
        <is>
          <t xml:space="preserve">            engine_name=ev.name, limits=ev.limits,</t>
        </is>
      </c>
    </row>
    <row r="2560">
      <c r="A2560" s="61" t="n">
        <v>86</v>
      </c>
      <c r="B2560" s="62" t="inlineStr">
        <is>
          <t xml:space="preserve">            positions_total=result.positions_total, positions_analyzed=result.positions_analyzed,</t>
        </is>
      </c>
    </row>
    <row r="2561">
      <c r="A2561" s="61" t="n">
        <v>87</v>
      </c>
      <c r="B2561" s="62" t="inlineStr">
        <is>
          <t xml:space="preserve">            finished_at=datetime.now(timezone.utc)))</t>
        </is>
      </c>
    </row>
    <row r="2562">
      <c r="A2562" s="61" t="n">
        <v>88</v>
      </c>
      <c r="B2562" s="62" t="inlineStr">
        <is>
          <t xml:space="preserve">        db.commit()</t>
        </is>
      </c>
    </row>
    <row r="2563">
      <c r="A2563" s="61" t="n">
        <v>89</v>
      </c>
      <c r="B2563" s="62" t="inlineStr">
        <is>
          <t xml:space="preserve">    return {"analysis_run_id": str(run_id), "findings": len(result.findings)}</t>
        </is>
      </c>
    </row>
    <row r="2564">
      <c r="A2564" s="61" t="n">
        <v>90</v>
      </c>
      <c r="B2564" s="62" t="n"/>
    </row>
    <row r="2565">
      <c r="A2565" s="61" t="n">
        <v>91</v>
      </c>
      <c r="B2565" s="62" t="n"/>
    </row>
    <row r="2566">
      <c r="A2566" s="61" t="n">
        <v>92</v>
      </c>
      <c r="B2566" s="62" t="inlineStr">
        <is>
          <t>def handle_import_lichess(job: ClaimedJob) -&gt; dict:</t>
        </is>
      </c>
    </row>
    <row r="2567">
      <c r="A2567" s="61" t="n">
        <v>93</v>
      </c>
      <c r="B2567" s="62" t="inlineStr">
        <is>
          <t xml:space="preserve">    import_id = uuid.UUID(job.payload["import_id"])</t>
        </is>
      </c>
    </row>
    <row r="2568">
      <c r="A2568" s="61" t="n">
        <v>94</v>
      </c>
      <c r="B2568" s="62" t="inlineStr">
        <is>
          <t xml:space="preserve">    with SessionLocal() as db:</t>
        </is>
      </c>
    </row>
    <row r="2569">
      <c r="A2569" s="61" t="n">
        <v>95</v>
      </c>
      <c r="B2569" s="62" t="inlineStr">
        <is>
          <t xml:space="preserve">        run = db.get(ImportRun, import_id)</t>
        </is>
      </c>
    </row>
    <row r="2570">
      <c r="A2570" s="61" t="n">
        <v>96</v>
      </c>
      <c r="B2570" s="62" t="inlineStr">
        <is>
          <t xml:space="preserve">        if run is None:</t>
        </is>
      </c>
    </row>
    <row r="2571">
      <c r="A2571" s="61" t="n">
        <v>97</v>
      </c>
      <c r="B2571" s="62" t="inlineStr">
        <is>
          <t xml:space="preserve">            return {"skipped": "import_deleted"}</t>
        </is>
      </c>
    </row>
    <row r="2572">
      <c r="A2572" s="61" t="n">
        <v>98</v>
      </c>
      <c r="B2572" s="62" t="inlineStr">
        <is>
          <t xml:space="preserve">        username, limit, owner_id = run.username, run.target_limit, run.owner_id</t>
        </is>
      </c>
    </row>
    <row r="2573">
      <c r="A2573" s="61" t="n">
        <v>99</v>
      </c>
      <c r="B2573" s="62" t="inlineStr">
        <is>
          <t xml:space="preserve">        run.state = "running"</t>
        </is>
      </c>
    </row>
    <row r="2574">
      <c r="A2574" s="61" t="n">
        <v>100</v>
      </c>
      <c r="B2574" s="62" t="inlineStr">
        <is>
          <t xml:space="preserve">        db.commit()</t>
        </is>
      </c>
    </row>
    <row r="2575">
      <c r="A2575" s="61" t="n">
        <v>101</v>
      </c>
      <c r="B2575" s="62" t="n"/>
    </row>
    <row r="2576">
      <c r="A2576" s="61" t="n">
        <v>102</v>
      </c>
      <c r="B2576" s="62" t="inlineStr">
        <is>
          <t xml:space="preserve">    beat = Throttled(job)</t>
        </is>
      </c>
    </row>
    <row r="2577">
      <c r="A2577" s="61" t="n">
        <v>103</v>
      </c>
      <c r="B2577" s="62" t="inlineStr">
        <is>
          <t xml:space="preserve">    fetched = eligible = excluded = 0</t>
        </is>
      </c>
    </row>
    <row r="2578">
      <c r="A2578" s="61" t="n">
        <v>104</v>
      </c>
      <c r="B2578" s="62" t="inlineStr">
        <is>
          <t xml:space="preserve">    with SessionLocal() as db:</t>
        </is>
      </c>
    </row>
    <row r="2579">
      <c r="A2579" s="61" t="n">
        <v>105</v>
      </c>
      <c r="B2579" s="62" t="inlineStr">
        <is>
          <t xml:space="preserve">        for raw in lichess.fetch_raw(username, limit, get_settings().provider_user_agent):</t>
        </is>
      </c>
    </row>
    <row r="2580">
      <c r="A2580" s="61" t="n">
        <v>106</v>
      </c>
      <c r="B2580" s="62" t="inlineStr">
        <is>
          <t xml:space="preserve">            fetched += 1</t>
        </is>
      </c>
    </row>
    <row r="2581">
      <c r="A2581" s="61" t="n">
        <v>107</v>
      </c>
      <c r="B2581" s="62" t="inlineStr">
        <is>
          <t xml:space="preserve">            game = lichess.normalize(raw, username)</t>
        </is>
      </c>
    </row>
    <row r="2582">
      <c r="A2582" s="61" t="n">
        <v>108</v>
      </c>
      <c r="B2582" s="62" t="inlineStr">
        <is>
          <t xml:space="preserve">            parsed = None</t>
        </is>
      </c>
    </row>
    <row r="2583">
      <c r="A2583" s="61" t="n">
        <v>109</v>
      </c>
      <c r="B2583" s="62" t="inlineStr">
        <is>
          <t xml:space="preserve">            if game is not None and game.player_color is not None:</t>
        </is>
      </c>
    </row>
    <row r="2584">
      <c r="A2584" s="61" t="n">
        <v>110</v>
      </c>
      <c r="B2584" s="62" t="inlineStr">
        <is>
          <t xml:space="preserve">                try:</t>
        </is>
      </c>
    </row>
    <row r="2585">
      <c r="A2585" s="61" t="n">
        <v>111</v>
      </c>
      <c r="B2585" s="62" t="inlineStr">
        <is>
          <t xml:space="preserve">                    parsed = parse_single(game.pgn)</t>
        </is>
      </c>
    </row>
    <row r="2586">
      <c r="A2586" s="61" t="n">
        <v>112</v>
      </c>
      <c r="B2586" s="62" t="inlineStr">
        <is>
          <t xml:space="preserve">                except PgnError:</t>
        </is>
      </c>
    </row>
    <row r="2587">
      <c r="A2587" s="61" t="n">
        <v>113</v>
      </c>
      <c r="B2587" s="62" t="inlineStr">
        <is>
          <t xml:space="preserve">                    parsed = None</t>
        </is>
      </c>
    </row>
    <row r="2588">
      <c r="A2588" s="61" t="n">
        <v>114</v>
      </c>
      <c r="B2588" s="62" t="inlineStr">
        <is>
          <t xml:space="preserve">            if parsed is None:</t>
        </is>
      </c>
    </row>
    <row r="2589">
      <c r="A2589" s="61" t="n">
        <v>115</v>
      </c>
      <c r="B2589" s="62" t="inlineStr">
        <is>
          <t xml:space="preserve">                excluded += 1</t>
        </is>
      </c>
    </row>
    <row r="2590">
      <c r="A2590" s="61" t="n">
        <v>116</v>
      </c>
      <c r="B2590" s="62" t="inlineStr">
        <is>
          <t xml:space="preserve">            else:</t>
        </is>
      </c>
    </row>
    <row r="2591">
      <c r="A2591" s="61" t="n">
        <v>117</v>
      </c>
      <c r="B2591" s="62" t="inlineStr">
        <is>
          <t xml:space="preserve">                eligible += 1</t>
        </is>
      </c>
    </row>
    <row r="2592">
      <c r="A2592" s="61" t="n">
        <v>118</v>
      </c>
      <c r="B2592" s="62" t="inlineStr">
        <is>
          <t xml:space="preserve">                game_id = db.scalar(</t>
        </is>
      </c>
    </row>
    <row r="2593">
      <c r="A2593" s="61" t="n">
        <v>119</v>
      </c>
      <c r="B2593" s="62" t="inlineStr">
        <is>
          <t xml:space="preserve">                    pg_insert(Game).values(</t>
        </is>
      </c>
    </row>
    <row r="2594">
      <c r="A2594" s="61" t="n">
        <v>120</v>
      </c>
      <c r="B2594" s="62" t="inlineStr">
        <is>
          <t xml:space="preserve">                        id=uuid.uuid4(), owner_id=owner_id, import_id=import_id, source="lichess",</t>
        </is>
      </c>
    </row>
    <row r="2595">
      <c r="A2595" s="61" t="n">
        <v>121</v>
      </c>
      <c r="B2595" s="62" t="inlineStr">
        <is>
          <t xml:space="preserve">                        source_game_id=game.source_game_id, player_color=game.player_color,</t>
        </is>
      </c>
    </row>
    <row r="2596">
      <c r="A2596" s="61" t="n">
        <v>122</v>
      </c>
      <c r="B2596" s="62" t="inlineStr">
        <is>
          <t xml:space="preserve">                        white_name=parsed.white, black_name=parsed.black, result=parsed.result,</t>
        </is>
      </c>
    </row>
    <row r="2597">
      <c r="A2597" s="61" t="n">
        <v>123</v>
      </c>
      <c r="B2597" s="62" t="inlineStr">
        <is>
          <t xml:space="preserve">                        pgn=parsed.pgn, initial_fen=parsed.initial_fen, ply_count=parsed.ply_count,</t>
        </is>
      </c>
    </row>
    <row r="2598">
      <c r="A2598" s="61" t="n">
        <v>124</v>
      </c>
      <c r="B2598" s="62" t="inlineStr">
        <is>
          <t xml:space="preserve">                        time_control=game.time_control, played_at=game.played_at)</t>
        </is>
      </c>
    </row>
    <row r="2599">
      <c r="A2599" s="61" t="n">
        <v>125</v>
      </c>
      <c r="B2599" s="62" t="inlineStr">
        <is>
          <t xml:space="preserve">                    .on_conflict_do_nothing(constraint="uq_game_source").returning(Game.id))</t>
        </is>
      </c>
    </row>
    <row r="2600">
      <c r="A2600" s="61" t="n">
        <v>126</v>
      </c>
      <c r="B2600" s="62" t="inlineStr">
        <is>
          <t xml:space="preserve">                if game_id is not None:  # None = we already had this game (re-import or retry)</t>
        </is>
      </c>
    </row>
    <row r="2601">
      <c r="A2601" s="61" t="n">
        <v>127</v>
      </c>
      <c r="B2601" s="62" t="inlineStr">
        <is>
          <t xml:space="preserve">                    enqueue(db, kind="analyze_game", payload={"game_id": str(game_id)}, owner_id=owner_id,</t>
        </is>
      </c>
    </row>
    <row r="2602">
      <c r="A2602" s="61" t="n">
        <v>128</v>
      </c>
      <c r="B2602" s="62" t="inlineStr">
        <is>
          <t xml:space="preserve">                            priority=0, dedupe_key=f"analyze:{game_id}:{PIPELINE_VERSION}")</t>
        </is>
      </c>
    </row>
    <row r="2603">
      <c r="A2603" s="61" t="n">
        <v>129</v>
      </c>
      <c r="B2603" s="62" t="inlineStr">
        <is>
          <t xml:space="preserve">            if fetched % 10 == 0:</t>
        </is>
      </c>
    </row>
    <row r="2604">
      <c r="A2604" s="61" t="n">
        <v>130</v>
      </c>
      <c r="B2604" s="62" t="inlineStr">
        <is>
          <t xml:space="preserve">                db.execute(update(ImportRun).where(ImportRun.id == import_id).values(</t>
        </is>
      </c>
    </row>
    <row r="2605">
      <c r="A2605" s="61" t="n">
        <v>131</v>
      </c>
      <c r="B2605" s="62" t="inlineStr">
        <is>
          <t xml:space="preserve">                    fetched=fetched, eligible=eligible, excluded=excluded))</t>
        </is>
      </c>
    </row>
    <row r="2606">
      <c r="A2606" s="61" t="n">
        <v>132</v>
      </c>
      <c r="B2606" s="62" t="inlineStr">
        <is>
          <t xml:space="preserve">                db.commit()  # analysis of the first games can start while we keep downloading</t>
        </is>
      </c>
    </row>
    <row r="2607">
      <c r="A2607" s="61" t="n">
        <v>133</v>
      </c>
      <c r="B2607" s="62" t="inlineStr">
        <is>
          <t xml:space="preserve">                beat({"fetched": fetched})</t>
        </is>
      </c>
    </row>
    <row r="2608">
      <c r="A2608" s="61" t="n">
        <v>134</v>
      </c>
      <c r="B2608" s="62" t="inlineStr">
        <is>
          <t xml:space="preserve">        db.execute(update(ImportRun).where(ImportRun.id == import_id).values(</t>
        </is>
      </c>
    </row>
    <row r="2609">
      <c r="A2609" s="61" t="n">
        <v>135</v>
      </c>
      <c r="B2609" s="62" t="inlineStr">
        <is>
          <t xml:space="preserve">            fetched=fetched, eligible=eligible, excluded=excluded, state="succeeded"))</t>
        </is>
      </c>
    </row>
    <row r="2610">
      <c r="A2610" s="61" t="n">
        <v>136</v>
      </c>
      <c r="B2610" s="62" t="inlineStr">
        <is>
          <t xml:space="preserve">        db.commit()</t>
        </is>
      </c>
    </row>
    <row r="2611">
      <c r="A2611" s="61" t="n">
        <v>137</v>
      </c>
      <c r="B2611" s="62" t="inlineStr">
        <is>
          <t xml:space="preserve">    return {"fetched": fetched, "eligible": eligible, "excluded": excluded}</t>
        </is>
      </c>
    </row>
    <row r="2612">
      <c r="A2612" s="61" t="n">
        <v>138</v>
      </c>
      <c r="B2612" s="62" t="n"/>
    </row>
    <row r="2613">
      <c r="A2613" s="61" t="n">
        <v>139</v>
      </c>
      <c r="B2613" s="62" t="n"/>
    </row>
    <row r="2614">
      <c r="A2614" s="61" t="n">
        <v>140</v>
      </c>
      <c r="B2614" s="62" t="inlineStr">
        <is>
          <t>def set_import_state(job: ClaimedJob, state: str, code: str | None = None) -&gt; None:</t>
        </is>
      </c>
    </row>
    <row r="2615">
      <c r="A2615" s="61" t="n">
        <v>141</v>
      </c>
      <c r="B2615" s="62" t="inlineStr">
        <is>
          <t xml:space="preserve">    """Keeps the user-facing ImportRun in step with its job when the job fails or is cancelled."""</t>
        </is>
      </c>
    </row>
    <row r="2616">
      <c r="A2616" s="61" t="n">
        <v>142</v>
      </c>
      <c r="B2616" s="62" t="inlineStr">
        <is>
          <t xml:space="preserve">    import_id = job.payload.get("import_id")</t>
        </is>
      </c>
    </row>
    <row r="2617">
      <c r="A2617" s="61" t="n">
        <v>143</v>
      </c>
      <c r="B2617" s="62" t="inlineStr">
        <is>
          <t xml:space="preserve">    if not import_id:</t>
        </is>
      </c>
    </row>
    <row r="2618">
      <c r="A2618" s="61" t="n">
        <v>144</v>
      </c>
      <c r="B2618" s="62" t="inlineStr">
        <is>
          <t xml:space="preserve">        return</t>
        </is>
      </c>
    </row>
    <row r="2619">
      <c r="A2619" s="61" t="n">
        <v>145</v>
      </c>
      <c r="B2619" s="62" t="inlineStr">
        <is>
          <t xml:space="preserve">    with SessionLocal() as db:</t>
        </is>
      </c>
    </row>
    <row r="2620">
      <c r="A2620" s="61" t="n">
        <v>146</v>
      </c>
      <c r="B2620" s="62" t="inlineStr">
        <is>
          <t xml:space="preserve">        db.execute(update(ImportRun).where(ImportRun.id == uuid.UUID(import_id)).values(state=state, error_code=code))</t>
        </is>
      </c>
    </row>
    <row r="2621">
      <c r="A2621" s="61" t="n">
        <v>147</v>
      </c>
      <c r="B2621" s="62" t="inlineStr">
        <is>
          <t xml:space="preserve">        db.commit()</t>
        </is>
      </c>
    </row>
    <row r="2622">
      <c r="A2622" s="61" t="n">
        <v>148</v>
      </c>
      <c r="B2622" s="62" t="n"/>
    </row>
    <row r="2623">
      <c r="A2623" s="61" t="n">
        <v>149</v>
      </c>
      <c r="B2623" s="62" t="n"/>
    </row>
    <row r="2624">
      <c r="A2624" s="61" t="n">
        <v>150</v>
      </c>
      <c r="B2624" s="62" t="inlineStr">
        <is>
          <t>HANDLERS: dict[str, Callable[[ClaimedJob], dict]] = {</t>
        </is>
      </c>
    </row>
    <row r="2625">
      <c r="A2625" s="61" t="n">
        <v>151</v>
      </c>
      <c r="B2625" s="62" t="inlineStr">
        <is>
          <t xml:space="preserve">    "analyze_game": handle_analyze_game,</t>
        </is>
      </c>
    </row>
    <row r="2626">
      <c r="A2626" s="61" t="n">
        <v>152</v>
      </c>
      <c r="B2626" s="62" t="inlineStr">
        <is>
          <t xml:space="preserve">    "import_lichess": handle_import_lichess,</t>
        </is>
      </c>
    </row>
    <row r="2627">
      <c r="A2627" s="61" t="n">
        <v>153</v>
      </c>
      <c r="B2627" s="62" t="inlineStr">
        <is>
          <t>}</t>
        </is>
      </c>
    </row>
    <row r="2630">
      <c r="A2630" s="60" t="inlineStr">
        <is>
          <t>C44</t>
        </is>
      </c>
      <c r="B2630" s="60" t="inlineStr">
        <is>
          <t>services/backend/app/worker.py   ·   Phase P6   ·   Worker loop: claim, run, record; SIGTERM-safe; hourly cleanup.</t>
        </is>
      </c>
    </row>
    <row r="2631">
      <c r="B2631" s="55" t="inlineStr">
        <is>
          <t>↑ back to Code Index</t>
        </is>
      </c>
    </row>
    <row r="2632">
      <c r="A2632" s="61" t="n">
        <v>1</v>
      </c>
      <c r="B2632" s="62" t="inlineStr">
        <is>
          <t>"""Worker entry point:  python -m app.worker</t>
        </is>
      </c>
    </row>
    <row r="2633">
      <c r="A2633" s="61" t="n">
        <v>2</v>
      </c>
      <c r="B2633" s="62" t="n"/>
    </row>
    <row r="2634">
      <c r="A2634" s="61" t="n">
        <v>3</v>
      </c>
      <c r="B2634" s="62" t="inlineStr">
        <is>
          <t>A loop that claims one job at a time, runs its handler, and records the outcome.</t>
        </is>
      </c>
    </row>
    <row r="2635">
      <c r="A2635" s="61" t="n">
        <v>4</v>
      </c>
      <c r="B2635" s="62" t="inlineStr">
        <is>
          <t>On SIGTERM (Render sends it on deploys) it finishes the current job and exits;</t>
        </is>
      </c>
    </row>
    <row r="2636">
      <c r="A2636" s="61" t="n">
        <v>5</v>
      </c>
      <c r="B2636" s="62" t="inlineStr">
        <is>
          <t>if it is killed mid-job, the lease expires and another worker picks the job up again.</t>
        </is>
      </c>
    </row>
    <row r="2637">
      <c r="A2637" s="61" t="n">
        <v>6</v>
      </c>
      <c r="B2637" s="62" t="inlineStr">
        <is>
          <t>"""</t>
        </is>
      </c>
    </row>
    <row r="2638">
      <c r="A2638" s="61" t="n">
        <v>7</v>
      </c>
      <c r="B2638" s="62" t="inlineStr">
        <is>
          <t>import logging</t>
        </is>
      </c>
    </row>
    <row r="2639">
      <c r="A2639" s="61" t="n">
        <v>8</v>
      </c>
      <c r="B2639" s="62" t="inlineStr">
        <is>
          <t>import signal</t>
        </is>
      </c>
    </row>
    <row r="2640">
      <c r="A2640" s="61" t="n">
        <v>9</v>
      </c>
      <c r="B2640" s="62" t="inlineStr">
        <is>
          <t>import time</t>
        </is>
      </c>
    </row>
    <row r="2641">
      <c r="A2641" s="61" t="n">
        <v>10</v>
      </c>
      <c r="B2641" s="62" t="n"/>
    </row>
    <row r="2642">
      <c r="A2642" s="61" t="n">
        <v>11</v>
      </c>
      <c r="B2642" s="62" t="inlineStr">
        <is>
          <t>from app import cleanup</t>
        </is>
      </c>
    </row>
    <row r="2643">
      <c r="A2643" s="61" t="n">
        <v>12</v>
      </c>
      <c r="B2643" s="62" t="inlineStr">
        <is>
          <t>from app.config import get_settings</t>
        </is>
      </c>
    </row>
    <row r="2644">
      <c r="A2644" s="61" t="n">
        <v>13</v>
      </c>
      <c r="B2644" s="62" t="inlineStr">
        <is>
          <t>from app.jobs import queue</t>
        </is>
      </c>
    </row>
    <row r="2645">
      <c r="A2645" s="61" t="n">
        <v>14</v>
      </c>
      <c r="B2645" s="62" t="inlineStr">
        <is>
          <t>from app.jobs.handlers import HANDLERS, evaluator, set_import_state</t>
        </is>
      </c>
    </row>
    <row r="2646">
      <c r="A2646" s="61" t="n">
        <v>15</v>
      </c>
      <c r="B2646" s="62" t="n"/>
    </row>
    <row r="2647">
      <c r="A2647" s="61" t="n">
        <v>16</v>
      </c>
      <c r="B2647" s="62" t="inlineStr">
        <is>
          <t>log = logging.getLogger("chesslab.worker")</t>
        </is>
      </c>
    </row>
    <row r="2648">
      <c r="A2648" s="61" t="n">
        <v>17</v>
      </c>
      <c r="B2648" s="62" t="inlineStr">
        <is>
          <t>_stopping = False</t>
        </is>
      </c>
    </row>
    <row r="2649">
      <c r="A2649" s="61" t="n">
        <v>18</v>
      </c>
      <c r="B2649" s="62" t="n"/>
    </row>
    <row r="2650">
      <c r="A2650" s="61" t="n">
        <v>19</v>
      </c>
      <c r="B2650" s="62" t="n"/>
    </row>
    <row r="2651">
      <c r="A2651" s="61" t="n">
        <v>20</v>
      </c>
      <c r="B2651" s="62" t="inlineStr">
        <is>
          <t>def _request_stop(signum, frame) -&gt; None:</t>
        </is>
      </c>
    </row>
    <row r="2652">
      <c r="A2652" s="61" t="n">
        <v>21</v>
      </c>
      <c r="B2652" s="62" t="inlineStr">
        <is>
          <t xml:space="preserve">    global _stopping</t>
        </is>
      </c>
    </row>
    <row r="2653">
      <c r="A2653" s="61" t="n">
        <v>22</v>
      </c>
      <c r="B2653" s="62" t="inlineStr">
        <is>
          <t xml:space="preserve">    _stopping = True</t>
        </is>
      </c>
    </row>
    <row r="2654">
      <c r="A2654" s="61" t="n">
        <v>23</v>
      </c>
      <c r="B2654" s="62" t="inlineStr">
        <is>
          <t xml:space="preserve">    log.info("stop requested (signal %s); finishing current job", signum)</t>
        </is>
      </c>
    </row>
    <row r="2655">
      <c r="A2655" s="61" t="n">
        <v>24</v>
      </c>
      <c r="B2655" s="62" t="n"/>
    </row>
    <row r="2656">
      <c r="A2656" s="61" t="n">
        <v>25</v>
      </c>
      <c r="B2656" s="62" t="n"/>
    </row>
    <row r="2657">
      <c r="A2657" s="61" t="n">
        <v>26</v>
      </c>
      <c r="B2657" s="62" t="inlineStr">
        <is>
          <t>def run_one(job: queue.ClaimedJob) -&gt; None:</t>
        </is>
      </c>
    </row>
    <row r="2658">
      <c r="A2658" s="61" t="n">
        <v>27</v>
      </c>
      <c r="B2658" s="62" t="inlineStr">
        <is>
          <t xml:space="preserve">    started = time.monotonic()</t>
        </is>
      </c>
    </row>
    <row r="2659">
      <c r="A2659" s="61" t="n">
        <v>28</v>
      </c>
      <c r="B2659" s="62" t="inlineStr">
        <is>
          <t xml:space="preserve">    handler = HANDLERS.get(job.kind)</t>
        </is>
      </c>
    </row>
    <row r="2660">
      <c r="A2660" s="61" t="n">
        <v>29</v>
      </c>
      <c r="B2660" s="62" t="inlineStr">
        <is>
          <t xml:space="preserve">    try:</t>
        </is>
      </c>
    </row>
    <row r="2661">
      <c r="A2661" s="61" t="n">
        <v>30</v>
      </c>
      <c r="B2661" s="62" t="inlineStr">
        <is>
          <t xml:space="preserve">        if job.cancel_requested:</t>
        </is>
      </c>
    </row>
    <row r="2662">
      <c r="A2662" s="61" t="n">
        <v>31</v>
      </c>
      <c r="B2662" s="62" t="inlineStr">
        <is>
          <t xml:space="preserve">            raise queue.Cancelled()</t>
        </is>
      </c>
    </row>
    <row r="2663">
      <c r="A2663" s="61" t="n">
        <v>32</v>
      </c>
      <c r="B2663" s="62" t="inlineStr">
        <is>
          <t xml:space="preserve">        if handler is None:</t>
        </is>
      </c>
    </row>
    <row r="2664">
      <c r="A2664" s="61" t="n">
        <v>33</v>
      </c>
      <c r="B2664" s="62" t="inlineStr">
        <is>
          <t xml:space="preserve">            raise queue.PermanentError("UNKNOWN_JOB_KIND", job.kind)</t>
        </is>
      </c>
    </row>
    <row r="2665">
      <c r="A2665" s="61" t="n">
        <v>34</v>
      </c>
      <c r="B2665" s="62" t="inlineStr">
        <is>
          <t xml:space="preserve">        result = handler(job)</t>
        </is>
      </c>
    </row>
    <row r="2666">
      <c r="A2666" s="61" t="n">
        <v>35</v>
      </c>
      <c r="B2666" s="62" t="inlineStr">
        <is>
          <t xml:space="preserve">        queue.complete(job, result)</t>
        </is>
      </c>
    </row>
    <row r="2667">
      <c r="A2667" s="61" t="n">
        <v>36</v>
      </c>
      <c r="B2667" s="62" t="inlineStr">
        <is>
          <t xml:space="preserve">        outcome = "succeeded"</t>
        </is>
      </c>
    </row>
    <row r="2668">
      <c r="A2668" s="61" t="n">
        <v>37</v>
      </c>
      <c r="B2668" s="62" t="inlineStr">
        <is>
          <t xml:space="preserve">    except queue.Cancelled:</t>
        </is>
      </c>
    </row>
    <row r="2669">
      <c r="A2669" s="61" t="n">
        <v>38</v>
      </c>
      <c r="B2669" s="62" t="inlineStr">
        <is>
          <t xml:space="preserve">        queue.mark_cancelled(job)</t>
        </is>
      </c>
    </row>
    <row r="2670">
      <c r="A2670" s="61" t="n">
        <v>39</v>
      </c>
      <c r="B2670" s="62" t="inlineStr">
        <is>
          <t xml:space="preserve">        set_import_state(job, "cancelled")</t>
        </is>
      </c>
    </row>
    <row r="2671">
      <c r="A2671" s="61" t="n">
        <v>40</v>
      </c>
      <c r="B2671" s="62" t="inlineStr">
        <is>
          <t xml:space="preserve">        outcome = "cancelled"</t>
        </is>
      </c>
    </row>
    <row r="2672">
      <c r="A2672" s="61" t="n">
        <v>41</v>
      </c>
      <c r="B2672" s="62" t="inlineStr">
        <is>
          <t xml:space="preserve">    except queue.PermanentError as exc:</t>
        </is>
      </c>
    </row>
    <row r="2673">
      <c r="A2673" s="61" t="n">
        <v>42</v>
      </c>
      <c r="B2673" s="62" t="inlineStr">
        <is>
          <t xml:space="preserve">        outcome = queue.fail(job, exc.code, str(exc), retryable=False)</t>
        </is>
      </c>
    </row>
    <row r="2674">
      <c r="A2674" s="61" t="n">
        <v>43</v>
      </c>
      <c r="B2674" s="62" t="inlineStr">
        <is>
          <t xml:space="preserve">        set_import_state(job, "failed", exc.code)</t>
        </is>
      </c>
    </row>
    <row r="2675">
      <c r="A2675" s="61" t="n">
        <v>44</v>
      </c>
      <c r="B2675" s="62" t="inlineStr">
        <is>
          <t xml:space="preserve">    except queue.RetryableError as exc:</t>
        </is>
      </c>
    </row>
    <row r="2676">
      <c r="A2676" s="61" t="n">
        <v>45</v>
      </c>
      <c r="B2676" s="62" t="inlineStr">
        <is>
          <t xml:space="preserve">        outcome = queue.fail(job, exc.code, str(exc), retryable=True, retry_after_s=exc.retry_after_s)</t>
        </is>
      </c>
    </row>
    <row r="2677">
      <c r="A2677" s="61" t="n">
        <v>46</v>
      </c>
      <c r="B2677" s="62" t="inlineStr">
        <is>
          <t xml:space="preserve">        if outcome == "failed":</t>
        </is>
      </c>
    </row>
    <row r="2678">
      <c r="A2678" s="61" t="n">
        <v>47</v>
      </c>
      <c r="B2678" s="62" t="inlineStr">
        <is>
          <t xml:space="preserve">            set_import_state(job, "failed", exc.code)</t>
        </is>
      </c>
    </row>
    <row r="2679">
      <c r="A2679" s="61" t="n">
        <v>48</v>
      </c>
      <c r="B2679" s="62" t="inlineStr">
        <is>
          <t xml:space="preserve">    except Exception as exc:  # unknown bug: retry a few times, then fail visibly</t>
        </is>
      </c>
    </row>
    <row r="2680">
      <c r="A2680" s="61" t="n">
        <v>49</v>
      </c>
      <c r="B2680" s="62" t="inlineStr">
        <is>
          <t xml:space="preserve">        log.exception("job %s crashed", job.id)</t>
        </is>
      </c>
    </row>
    <row r="2681">
      <c r="A2681" s="61" t="n">
        <v>50</v>
      </c>
      <c r="B2681" s="62" t="inlineStr">
        <is>
          <t xml:space="preserve">        outcome = queue.fail(job, "INTERNAL", repr(exc), retryable=True)</t>
        </is>
      </c>
    </row>
    <row r="2682">
      <c r="A2682" s="61" t="n">
        <v>51</v>
      </c>
      <c r="B2682" s="62" t="inlineStr">
        <is>
          <t xml:space="preserve">    log.info("job=%s kind=%s attempt=%s outcome=%s duration_ms=%d",</t>
        </is>
      </c>
    </row>
    <row r="2683">
      <c r="A2683" s="61" t="n">
        <v>52</v>
      </c>
      <c r="B2683" s="62" t="inlineStr">
        <is>
          <t xml:space="preserve">             job.id, job.kind, job.attempts, outcome, (time.monotonic() - started) * 1000)</t>
        </is>
      </c>
    </row>
    <row r="2684">
      <c r="A2684" s="61" t="n">
        <v>53</v>
      </c>
      <c r="B2684" s="62" t="n"/>
    </row>
    <row r="2685">
      <c r="A2685" s="61" t="n">
        <v>54</v>
      </c>
      <c r="B2685" s="62" t="n"/>
    </row>
    <row r="2686">
      <c r="A2686" s="61" t="n">
        <v>55</v>
      </c>
      <c r="B2686" s="62" t="inlineStr">
        <is>
          <t>def main() -&gt; None:</t>
        </is>
      </c>
    </row>
    <row r="2687">
      <c r="A2687" s="61" t="n">
        <v>56</v>
      </c>
      <c r="B2687" s="62" t="inlineStr">
        <is>
          <t xml:space="preserve">    settings = get_settings()</t>
        </is>
      </c>
    </row>
    <row r="2688">
      <c r="A2688" s="61" t="n">
        <v>57</v>
      </c>
      <c r="B2688" s="62" t="inlineStr">
        <is>
          <t xml:space="preserve">    logging.basicConfig(level=settings.log_level, format="%(asctime)s %(levelname)s %(name)s %(message)s")</t>
        </is>
      </c>
    </row>
    <row r="2689">
      <c r="A2689" s="61" t="n">
        <v>58</v>
      </c>
      <c r="B2689" s="62" t="inlineStr">
        <is>
          <t xml:space="preserve">    signal.signal(signal.SIGTERM, _request_stop)</t>
        </is>
      </c>
    </row>
    <row r="2690">
      <c r="A2690" s="61" t="n">
        <v>59</v>
      </c>
      <c r="B2690" s="62" t="inlineStr">
        <is>
          <t xml:space="preserve">    signal.signal(signal.SIGINT, _request_stop)</t>
        </is>
      </c>
    </row>
    <row r="2691">
      <c r="A2691" s="61" t="n">
        <v>60</v>
      </c>
      <c r="B2691" s="62" t="inlineStr">
        <is>
          <t xml:space="preserve">    log.info("worker started")</t>
        </is>
      </c>
    </row>
    <row r="2692">
      <c r="A2692" s="61" t="n">
        <v>61</v>
      </c>
      <c r="B2692" s="62" t="inlineStr">
        <is>
          <t xml:space="preserve">    last_sweep = last_cleanup = 0.0</t>
        </is>
      </c>
    </row>
    <row r="2693">
      <c r="A2693" s="61" t="n">
        <v>62</v>
      </c>
      <c r="B2693" s="62" t="inlineStr">
        <is>
          <t xml:space="preserve">    while not _stopping:</t>
        </is>
      </c>
    </row>
    <row r="2694">
      <c r="A2694" s="61" t="n">
        <v>63</v>
      </c>
      <c r="B2694" s="62" t="inlineStr">
        <is>
          <t xml:space="preserve">        if time.monotonic() - last_sweep &gt; 60:</t>
        </is>
      </c>
    </row>
    <row r="2695">
      <c r="A2695" s="61" t="n">
        <v>64</v>
      </c>
      <c r="B2695" s="62" t="inlineStr">
        <is>
          <t xml:space="preserve">            queue.fail_exhausted_leases()</t>
        </is>
      </c>
    </row>
    <row r="2696">
      <c r="A2696" s="61" t="n">
        <v>65</v>
      </c>
      <c r="B2696" s="62" t="inlineStr">
        <is>
          <t xml:space="preserve">            last_sweep = time.monotonic()</t>
        </is>
      </c>
    </row>
    <row r="2697">
      <c r="A2697" s="61" t="n">
        <v>66</v>
      </c>
      <c r="B2697" s="62" t="inlineStr">
        <is>
          <t xml:space="preserve">        if time.monotonic() - last_cleanup &gt; 3600:</t>
        </is>
      </c>
    </row>
    <row r="2698">
      <c r="A2698" s="61" t="n">
        <v>67</v>
      </c>
      <c r="B2698" s="62" t="inlineStr">
        <is>
          <t xml:space="preserve">            cleanup.run()  # retention policy: expired guests, abandoned exercises</t>
        </is>
      </c>
    </row>
    <row r="2699">
      <c r="A2699" s="61" t="n">
        <v>68</v>
      </c>
      <c r="B2699" s="62" t="inlineStr">
        <is>
          <t xml:space="preserve">            last_cleanup = time.monotonic()</t>
        </is>
      </c>
    </row>
    <row r="2700">
      <c r="A2700" s="61" t="n">
        <v>69</v>
      </c>
      <c r="B2700" s="62" t="inlineStr">
        <is>
          <t xml:space="preserve">        job = queue.claim()</t>
        </is>
      </c>
    </row>
    <row r="2701">
      <c r="A2701" s="61" t="n">
        <v>70</v>
      </c>
      <c r="B2701" s="62" t="inlineStr">
        <is>
          <t xml:space="preserve">        if job is None:</t>
        </is>
      </c>
    </row>
    <row r="2702">
      <c r="A2702" s="61" t="n">
        <v>71</v>
      </c>
      <c r="B2702" s="62" t="inlineStr">
        <is>
          <t xml:space="preserve">            time.sleep(settings.worker_poll_seconds)</t>
        </is>
      </c>
    </row>
    <row r="2703">
      <c r="A2703" s="61" t="n">
        <v>72</v>
      </c>
      <c r="B2703" s="62" t="inlineStr">
        <is>
          <t xml:space="preserve">            continue</t>
        </is>
      </c>
    </row>
    <row r="2704">
      <c r="A2704" s="61" t="n">
        <v>73</v>
      </c>
      <c r="B2704" s="62" t="inlineStr">
        <is>
          <t xml:space="preserve">        run_one(job)</t>
        </is>
      </c>
    </row>
    <row r="2705">
      <c r="A2705" s="61" t="n">
        <v>74</v>
      </c>
      <c r="B2705" s="62" t="inlineStr">
        <is>
          <t xml:space="preserve">    evaluator().close()</t>
        </is>
      </c>
    </row>
    <row r="2706">
      <c r="A2706" s="61" t="n">
        <v>75</v>
      </c>
      <c r="B2706" s="62" t="inlineStr">
        <is>
          <t xml:space="preserve">    log.info("worker stopped")</t>
        </is>
      </c>
    </row>
    <row r="2707">
      <c r="A2707" s="61" t="n">
        <v>76</v>
      </c>
      <c r="B2707" s="62" t="n"/>
    </row>
    <row r="2708">
      <c r="A2708" s="61" t="n">
        <v>77</v>
      </c>
      <c r="B2708" s="62" t="n"/>
    </row>
    <row r="2709">
      <c r="A2709" s="61" t="n">
        <v>78</v>
      </c>
      <c r="B2709" s="62" t="inlineStr">
        <is>
          <t>if __name__ == "__main__":</t>
        </is>
      </c>
    </row>
    <row r="2710">
      <c r="A2710" s="61" t="n">
        <v>79</v>
      </c>
      <c r="B2710" s="62" t="inlineStr">
        <is>
          <t xml:space="preserve">    main()</t>
        </is>
      </c>
    </row>
    <row r="2713">
      <c r="A2713" s="60" t="inlineStr">
        <is>
          <t>C45</t>
        </is>
      </c>
      <c r="B2713" s="60" t="inlineStr">
        <is>
          <t>services/backend/app/importers/lichess.py   ·   Phase P7   ·   Streaming NDJSON export with polite error handling.</t>
        </is>
      </c>
    </row>
    <row r="2714">
      <c r="B2714" s="55" t="inlineStr">
        <is>
          <t>↑ back to Code Index</t>
        </is>
      </c>
    </row>
    <row r="2715">
      <c r="A2715" s="61" t="n">
        <v>1</v>
      </c>
      <c r="B2715" s="62" t="inlineStr">
        <is>
          <t>"""Lichess game export (https://lichess.org/api#tag/Games/operation/apiGamesUser).</t>
        </is>
      </c>
    </row>
    <row r="2716">
      <c r="A2716" s="61" t="n">
        <v>2</v>
      </c>
      <c r="B2716" s="62" t="n"/>
    </row>
    <row r="2717">
      <c r="A2717" s="61" t="n">
        <v>3</v>
      </c>
      <c r="B2717" s="62" t="inlineStr">
        <is>
          <t>Lichess asks clients to make ONE request at a time and to wait a full minute after a 429.</t>
        </is>
      </c>
    </row>
    <row r="2718">
      <c r="A2718" s="61" t="n">
        <v>4</v>
      </c>
      <c r="B2718" s="62" t="inlineStr">
        <is>
          <t>The response is NDJSON (one JSON object per line), streamed, so we can stop early.</t>
        </is>
      </c>
    </row>
    <row r="2719">
      <c r="A2719" s="61" t="n">
        <v>5</v>
      </c>
      <c r="B2719" s="62" t="inlineStr">
        <is>
          <t>"""</t>
        </is>
      </c>
    </row>
    <row r="2720">
      <c r="A2720" s="61" t="n">
        <v>6</v>
      </c>
      <c r="B2720" s="62" t="inlineStr">
        <is>
          <t>import json</t>
        </is>
      </c>
    </row>
    <row r="2721">
      <c r="A2721" s="61" t="n">
        <v>7</v>
      </c>
      <c r="B2721" s="62" t="inlineStr">
        <is>
          <t>from collections.abc import Iterator</t>
        </is>
      </c>
    </row>
    <row r="2722">
      <c r="A2722" s="61" t="n">
        <v>8</v>
      </c>
      <c r="B2722" s="62" t="inlineStr">
        <is>
          <t>from dataclasses import dataclass</t>
        </is>
      </c>
    </row>
    <row r="2723">
      <c r="A2723" s="61" t="n">
        <v>9</v>
      </c>
      <c r="B2723" s="62" t="inlineStr">
        <is>
          <t>from datetime import datetime, timezone</t>
        </is>
      </c>
    </row>
    <row r="2724">
      <c r="A2724" s="61" t="n">
        <v>10</v>
      </c>
      <c r="B2724" s="62" t="n"/>
    </row>
    <row r="2725">
      <c r="A2725" s="61" t="n">
        <v>11</v>
      </c>
      <c r="B2725" s="62" t="inlineStr">
        <is>
          <t>import httpx</t>
        </is>
      </c>
    </row>
    <row r="2726">
      <c r="A2726" s="61" t="n">
        <v>12</v>
      </c>
      <c r="B2726" s="62" t="n"/>
    </row>
    <row r="2727">
      <c r="A2727" s="61" t="n">
        <v>13</v>
      </c>
      <c r="B2727" s="62" t="inlineStr">
        <is>
          <t>from app.jobs.queue import PermanentError, RetryableError</t>
        </is>
      </c>
    </row>
    <row r="2728">
      <c r="A2728" s="61" t="n">
        <v>14</v>
      </c>
      <c r="B2728" s="62" t="n"/>
    </row>
    <row r="2729">
      <c r="A2729" s="61" t="n">
        <v>15</v>
      </c>
      <c r="B2729" s="62" t="inlineStr">
        <is>
          <t>EXPORT_URL = "https://lichess.org/api/games/user/{username}"</t>
        </is>
      </c>
    </row>
    <row r="2730">
      <c r="A2730" s="61" t="n">
        <v>16</v>
      </c>
      <c r="B2730" s="62" t="inlineStr">
        <is>
          <t>STANDARD_PERFS = "ultraBullet,bullet,blitz,rapid,classical,correspondence"</t>
        </is>
      </c>
    </row>
    <row r="2731">
      <c r="A2731" s="61" t="n">
        <v>17</v>
      </c>
      <c r="B2731" s="62" t="n"/>
    </row>
    <row r="2732">
      <c r="A2732" s="61" t="n">
        <v>18</v>
      </c>
      <c r="B2732" s="62" t="n"/>
    </row>
    <row r="2733">
      <c r="A2733" s="61" t="n">
        <v>19</v>
      </c>
      <c r="B2733" s="62" t="inlineStr">
        <is>
          <t>@dataclass</t>
        </is>
      </c>
    </row>
    <row r="2734">
      <c r="A2734" s="61" t="n">
        <v>20</v>
      </c>
      <c r="B2734" s="62" t="inlineStr">
        <is>
          <t>class ProviderGame:</t>
        </is>
      </c>
    </row>
    <row r="2735">
      <c r="A2735" s="61" t="n">
        <v>21</v>
      </c>
      <c r="B2735" s="62" t="inlineStr">
        <is>
          <t xml:space="preserve">    source_game_id: str</t>
        </is>
      </c>
    </row>
    <row r="2736">
      <c r="A2736" s="61" t="n">
        <v>22</v>
      </c>
      <c r="B2736" s="62" t="inlineStr">
        <is>
          <t xml:space="preserve">    pgn: str</t>
        </is>
      </c>
    </row>
    <row r="2737">
      <c r="A2737" s="61" t="n">
        <v>23</v>
      </c>
      <c r="B2737" s="62" t="inlineStr">
        <is>
          <t xml:space="preserve">    player_color: str | None</t>
        </is>
      </c>
    </row>
    <row r="2738">
      <c r="A2738" s="61" t="n">
        <v>24</v>
      </c>
      <c r="B2738" s="62" t="inlineStr">
        <is>
          <t xml:space="preserve">    time_control: str | None</t>
        </is>
      </c>
    </row>
    <row r="2739">
      <c r="A2739" s="61" t="n">
        <v>25</v>
      </c>
      <c r="B2739" s="62" t="inlineStr">
        <is>
          <t xml:space="preserve">    played_at: datetime | None</t>
        </is>
      </c>
    </row>
    <row r="2740">
      <c r="A2740" s="61" t="n">
        <v>26</v>
      </c>
      <c r="B2740" s="62" t="n"/>
    </row>
    <row r="2741">
      <c r="A2741" s="61" t="n">
        <v>27</v>
      </c>
      <c r="B2741" s="62" t="n"/>
    </row>
    <row r="2742">
      <c r="A2742" s="61" t="n">
        <v>28</v>
      </c>
      <c r="B2742" s="62" t="inlineStr">
        <is>
          <t>def fetch_raw(username: str, max_games: int, user_agent: str) -&gt; Iterator[dict]:</t>
        </is>
      </c>
    </row>
    <row r="2743">
      <c r="A2743" s="61" t="n">
        <v>29</v>
      </c>
      <c r="B2743" s="62" t="inlineStr">
        <is>
          <t xml:space="preserve">    params = {</t>
        </is>
      </c>
    </row>
    <row r="2744">
      <c r="A2744" s="61" t="n">
        <v>30</v>
      </c>
      <c r="B2744" s="62" t="inlineStr">
        <is>
          <t xml:space="preserve">        "max": max_games,</t>
        </is>
      </c>
    </row>
    <row r="2745">
      <c r="A2745" s="61" t="n">
        <v>31</v>
      </c>
      <c r="B2745" s="62" t="inlineStr">
        <is>
          <t xml:space="preserve">        "pgnInJson": "true",</t>
        </is>
      </c>
    </row>
    <row r="2746">
      <c r="A2746" s="61" t="n">
        <v>32</v>
      </c>
      <c r="B2746" s="62" t="inlineStr">
        <is>
          <t xml:space="preserve">        "moves": "true",</t>
        </is>
      </c>
    </row>
    <row r="2747">
      <c r="A2747" s="61" t="n">
        <v>33</v>
      </c>
      <c r="B2747" s="62" t="inlineStr">
        <is>
          <t xml:space="preserve">        "clocks": "false",</t>
        </is>
      </c>
    </row>
    <row r="2748">
      <c r="A2748" s="61" t="n">
        <v>34</v>
      </c>
      <c r="B2748" s="62" t="inlineStr">
        <is>
          <t xml:space="preserve">        "evals": "false",</t>
        </is>
      </c>
    </row>
    <row r="2749">
      <c r="A2749" s="61" t="n">
        <v>35</v>
      </c>
      <c r="B2749" s="62" t="inlineStr">
        <is>
          <t xml:space="preserve">        "opening": "false",</t>
        </is>
      </c>
    </row>
    <row r="2750">
      <c r="A2750" s="61" t="n">
        <v>36</v>
      </c>
      <c r="B2750" s="62" t="inlineStr">
        <is>
          <t xml:space="preserve">        "finished": "true",</t>
        </is>
      </c>
    </row>
    <row r="2751">
      <c r="A2751" s="61" t="n">
        <v>37</v>
      </c>
      <c r="B2751" s="62" t="inlineStr">
        <is>
          <t xml:space="preserve">        "perfType": STANDARD_PERFS,</t>
        </is>
      </c>
    </row>
    <row r="2752">
      <c r="A2752" s="61" t="n">
        <v>38</v>
      </c>
      <c r="B2752" s="62" t="inlineStr">
        <is>
          <t xml:space="preserve">    }</t>
        </is>
      </c>
    </row>
    <row r="2753">
      <c r="A2753" s="61" t="n">
        <v>39</v>
      </c>
      <c r="B2753" s="62" t="inlineStr">
        <is>
          <t xml:space="preserve">    headers = {"User-Agent": user_agent, "Accept": "application/x-ndjson"}</t>
        </is>
      </c>
    </row>
    <row r="2754">
      <c r="A2754" s="61" t="n">
        <v>40</v>
      </c>
      <c r="B2754" s="62" t="inlineStr">
        <is>
          <t xml:space="preserve">    try:</t>
        </is>
      </c>
    </row>
    <row r="2755">
      <c r="A2755" s="61" t="n">
        <v>41</v>
      </c>
      <c r="B2755" s="62" t="inlineStr">
        <is>
          <t xml:space="preserve">        with httpx.Client(timeout=httpx.Timeout(20.0, read=60.0), headers=headers) as client:</t>
        </is>
      </c>
    </row>
    <row r="2756">
      <c r="A2756" s="61" t="n">
        <v>42</v>
      </c>
      <c r="B2756" s="62" t="inlineStr">
        <is>
          <t xml:space="preserve">            # username was validated against ^[A-Za-z0-9_-]{2,30}$ at the API boundary</t>
        </is>
      </c>
    </row>
    <row r="2757">
      <c r="A2757" s="61" t="n">
        <v>43</v>
      </c>
      <c r="B2757" s="62" t="inlineStr">
        <is>
          <t xml:space="preserve">            with client.stream("GET", EXPORT_URL.format(username=username), params=params) as response:</t>
        </is>
      </c>
    </row>
    <row r="2758">
      <c r="A2758" s="61" t="n">
        <v>44</v>
      </c>
      <c r="B2758" s="62" t="inlineStr">
        <is>
          <t xml:space="preserve">                if response.status_code == 404:</t>
        </is>
      </c>
    </row>
    <row r="2759">
      <c r="A2759" s="61" t="n">
        <v>45</v>
      </c>
      <c r="B2759" s="62" t="inlineStr">
        <is>
          <t xml:space="preserve">                    raise PermanentError("USER_NOT_FOUND", f"Lichess user {username!r} does not exist.")</t>
        </is>
      </c>
    </row>
    <row r="2760">
      <c r="A2760" s="61" t="n">
        <v>46</v>
      </c>
      <c r="B2760" s="62" t="inlineStr">
        <is>
          <t xml:space="preserve">                if response.status_code == 429:</t>
        </is>
      </c>
    </row>
    <row r="2761">
      <c r="A2761" s="61" t="n">
        <v>47</v>
      </c>
      <c r="B2761" s="62" t="inlineStr">
        <is>
          <t xml:space="preserve">                    raise RetryableError("PROVIDER_RATE_LIMITED", "Lichess asked us to slow down.", retry_after_s=90)</t>
        </is>
      </c>
    </row>
    <row r="2762">
      <c r="A2762" s="61" t="n">
        <v>48</v>
      </c>
      <c r="B2762" s="62" t="inlineStr">
        <is>
          <t xml:space="preserve">                if response.status_code &gt;= 500:</t>
        </is>
      </c>
    </row>
    <row r="2763">
      <c r="A2763" s="61" t="n">
        <v>49</v>
      </c>
      <c r="B2763" s="62" t="inlineStr">
        <is>
          <t xml:space="preserve">                    raise RetryableError("PROVIDER_UNAVAILABLE", f"Lichess returned {response.status_code}.")</t>
        </is>
      </c>
    </row>
    <row r="2764">
      <c r="A2764" s="61" t="n">
        <v>50</v>
      </c>
      <c r="B2764" s="62" t="inlineStr">
        <is>
          <t xml:space="preserve">                response.raise_for_status()</t>
        </is>
      </c>
    </row>
    <row r="2765">
      <c r="A2765" s="61" t="n">
        <v>51</v>
      </c>
      <c r="B2765" s="62" t="inlineStr">
        <is>
          <t xml:space="preserve">                for line in response.iter_lines():</t>
        </is>
      </c>
    </row>
    <row r="2766">
      <c r="A2766" s="61" t="n">
        <v>52</v>
      </c>
      <c r="B2766" s="62" t="inlineStr">
        <is>
          <t xml:space="preserve">                    if line.strip():</t>
        </is>
      </c>
    </row>
    <row r="2767">
      <c r="A2767" s="61" t="n">
        <v>53</v>
      </c>
      <c r="B2767" s="62" t="inlineStr">
        <is>
          <t xml:space="preserve">                        yield json.loads(line)</t>
        </is>
      </c>
    </row>
    <row r="2768">
      <c r="A2768" s="61" t="n">
        <v>54</v>
      </c>
      <c r="B2768" s="62" t="inlineStr">
        <is>
          <t xml:space="preserve">    except httpx.TimeoutException as exc:</t>
        </is>
      </c>
    </row>
    <row r="2769">
      <c r="A2769" s="61" t="n">
        <v>55</v>
      </c>
      <c r="B2769" s="62" t="inlineStr">
        <is>
          <t xml:space="preserve">        raise RetryableError("PROVIDER_TIMEOUT", str(exc)) from exc</t>
        </is>
      </c>
    </row>
    <row r="2770">
      <c r="A2770" s="61" t="n">
        <v>56</v>
      </c>
      <c r="B2770" s="62" t="inlineStr">
        <is>
          <t xml:space="preserve">    except httpx.TransportError as exc:</t>
        </is>
      </c>
    </row>
    <row r="2771">
      <c r="A2771" s="61" t="n">
        <v>57</v>
      </c>
      <c r="B2771" s="62" t="inlineStr">
        <is>
          <t xml:space="preserve">        raise RetryableError("PROVIDER_NETWORK", str(exc)) from exc</t>
        </is>
      </c>
    </row>
    <row r="2772">
      <c r="A2772" s="61" t="n">
        <v>58</v>
      </c>
      <c r="B2772" s="62" t="n"/>
    </row>
    <row r="2773">
      <c r="A2773" s="61" t="n">
        <v>59</v>
      </c>
      <c r="B2773" s="62" t="n"/>
    </row>
    <row r="2774">
      <c r="A2774" s="61" t="n">
        <v>60</v>
      </c>
      <c r="B2774" s="62" t="inlineStr">
        <is>
          <t>def normalize(raw: dict, username: str) -&gt; ProviderGame | None:</t>
        </is>
      </c>
    </row>
    <row r="2775">
      <c r="A2775" s="61" t="n">
        <v>61</v>
      </c>
      <c r="B2775" s="62" t="inlineStr">
        <is>
          <t xml:space="preserve">    """Returns None for games we do not support (variants, unfinished, no PGN)."""</t>
        </is>
      </c>
    </row>
    <row r="2776">
      <c r="A2776" s="61" t="n">
        <v>62</v>
      </c>
      <c r="B2776" s="62" t="inlineStr">
        <is>
          <t xml:space="preserve">    if raw.get("variant") != "standard" or raw.get("status") in ("created", "started") or not raw.get("pgn"):</t>
        </is>
      </c>
    </row>
    <row r="2777">
      <c r="A2777" s="61" t="n">
        <v>63</v>
      </c>
      <c r="B2777" s="62" t="inlineStr">
        <is>
          <t xml:space="preserve">        return None</t>
        </is>
      </c>
    </row>
    <row r="2778">
      <c r="A2778" s="61" t="n">
        <v>64</v>
      </c>
      <c r="B2778" s="62" t="inlineStr">
        <is>
          <t xml:space="preserve">    players = raw.get("players", {})</t>
        </is>
      </c>
    </row>
    <row r="2779">
      <c r="A2779" s="61" t="n">
        <v>65</v>
      </c>
      <c r="B2779" s="62" t="inlineStr">
        <is>
          <t xml:space="preserve">    white = players.get("white", {}).get("user", {}).get("name", "")</t>
        </is>
      </c>
    </row>
    <row r="2780">
      <c r="A2780" s="61" t="n">
        <v>66</v>
      </c>
      <c r="B2780" s="62" t="inlineStr">
        <is>
          <t xml:space="preserve">    black = players.get("black", {}).get("user", {}).get("name", "")</t>
        </is>
      </c>
    </row>
    <row r="2781">
      <c r="A2781" s="61" t="n">
        <v>67</v>
      </c>
      <c r="B2781" s="62" t="inlineStr">
        <is>
          <t xml:space="preserve">    color = "white" if white.lower() == username.lower() else "black" if black.lower() == username.lower() else None</t>
        </is>
      </c>
    </row>
    <row r="2782">
      <c r="A2782" s="61" t="n">
        <v>68</v>
      </c>
      <c r="B2782" s="62" t="inlineStr">
        <is>
          <t xml:space="preserve">    created = raw.get("createdAt")</t>
        </is>
      </c>
    </row>
    <row r="2783">
      <c r="A2783" s="61" t="n">
        <v>69</v>
      </c>
      <c r="B2783" s="62" t="inlineStr">
        <is>
          <t xml:space="preserve">    return ProviderGame(</t>
        </is>
      </c>
    </row>
    <row r="2784">
      <c r="A2784" s="61" t="n">
        <v>70</v>
      </c>
      <c r="B2784" s="62" t="inlineStr">
        <is>
          <t xml:space="preserve">        source_game_id=raw["id"],</t>
        </is>
      </c>
    </row>
    <row r="2785">
      <c r="A2785" s="61" t="n">
        <v>71</v>
      </c>
      <c r="B2785" s="62" t="inlineStr">
        <is>
          <t xml:space="preserve">        pgn=raw["pgn"],</t>
        </is>
      </c>
    </row>
    <row r="2786">
      <c r="A2786" s="61" t="n">
        <v>72</v>
      </c>
      <c r="B2786" s="62" t="inlineStr">
        <is>
          <t xml:space="preserve">        player_color=color,</t>
        </is>
      </c>
    </row>
    <row r="2787">
      <c r="A2787" s="61" t="n">
        <v>73</v>
      </c>
      <c r="B2787" s="62" t="inlineStr">
        <is>
          <t xml:space="preserve">        time_control=raw.get("speed"),</t>
        </is>
      </c>
    </row>
    <row r="2788">
      <c r="A2788" s="61" t="n">
        <v>74</v>
      </c>
      <c r="B2788" s="62" t="inlineStr">
        <is>
          <t xml:space="preserve">        played_at=datetime.fromtimestamp(created / 1000, tz=timezone.utc) if created else None,</t>
        </is>
      </c>
    </row>
    <row r="2789">
      <c r="A2789" s="61" t="n">
        <v>75</v>
      </c>
      <c r="B2789" s="62" t="inlineStr">
        <is>
          <t xml:space="preserve">    )</t>
        </is>
      </c>
    </row>
    <row r="2792">
      <c r="A2792" s="60" t="inlineStr">
        <is>
          <t>C46</t>
        </is>
      </c>
      <c r="B2792" s="60" t="inlineStr">
        <is>
          <t>services/backend/app/api/imports.py   ·   Phase P7   ·   Start imports, PGN upload, import progress.</t>
        </is>
      </c>
    </row>
    <row r="2793">
      <c r="B2793" s="55" t="inlineStr">
        <is>
          <t>↑ back to Code Index</t>
        </is>
      </c>
    </row>
    <row r="2794">
      <c r="A2794" s="61" t="n">
        <v>1</v>
      </c>
      <c r="B2794" s="62" t="inlineStr">
        <is>
          <t>import uuid</t>
        </is>
      </c>
    </row>
    <row r="2795">
      <c r="A2795" s="61" t="n">
        <v>2</v>
      </c>
      <c r="B2795" s="62" t="inlineStr">
        <is>
          <t>from typing import Literal</t>
        </is>
      </c>
    </row>
    <row r="2796">
      <c r="A2796" s="61" t="n">
        <v>3</v>
      </c>
      <c r="B2796" s="62" t="n"/>
    </row>
    <row r="2797">
      <c r="A2797" s="61" t="n">
        <v>4</v>
      </c>
      <c r="B2797" s="62" t="inlineStr">
        <is>
          <t>from fastapi import APIRouter, Depends, Form, UploadFile</t>
        </is>
      </c>
    </row>
    <row r="2798">
      <c r="A2798" s="61" t="n">
        <v>5</v>
      </c>
      <c r="B2798" s="62" t="inlineStr">
        <is>
          <t>from pydantic import BaseModel, Field</t>
        </is>
      </c>
    </row>
    <row r="2799">
      <c r="A2799" s="61" t="n">
        <v>6</v>
      </c>
      <c r="B2799" s="62" t="inlineStr">
        <is>
          <t>from sqlalchemy import func, select</t>
        </is>
      </c>
    </row>
    <row r="2800">
      <c r="A2800" s="61" t="n">
        <v>7</v>
      </c>
      <c r="B2800" s="62" t="inlineStr">
        <is>
          <t>from sqlalchemy.dialects.postgresql import insert as pg_insert</t>
        </is>
      </c>
    </row>
    <row r="2801">
      <c r="A2801" s="61" t="n">
        <v>8</v>
      </c>
      <c r="B2801" s="62" t="inlineStr">
        <is>
          <t>from sqlalchemy.orm import Session</t>
        </is>
      </c>
    </row>
    <row r="2802">
      <c r="A2802" s="61" t="n">
        <v>9</v>
      </c>
      <c r="B2802" s="62" t="n"/>
    </row>
    <row r="2803">
      <c r="A2803" s="61" t="n">
        <v>10</v>
      </c>
      <c r="B2803" s="62" t="inlineStr">
        <is>
          <t>from app.analysis.pipeline import PIPELINE_VERSION</t>
        </is>
      </c>
    </row>
    <row r="2804">
      <c r="A2804" s="61" t="n">
        <v>11</v>
      </c>
      <c r="B2804" s="62" t="inlineStr">
        <is>
          <t>from app.api.games import enqueue_analysis</t>
        </is>
      </c>
    </row>
    <row r="2805">
      <c r="A2805" s="61" t="n">
        <v>12</v>
      </c>
      <c r="B2805" s="62" t="inlineStr">
        <is>
          <t>from app.config import get_settings</t>
        </is>
      </c>
    </row>
    <row r="2806">
      <c r="A2806" s="61" t="n">
        <v>13</v>
      </c>
      <c r="B2806" s="62" t="inlineStr">
        <is>
          <t>from app.db import get_db</t>
        </is>
      </c>
    </row>
    <row r="2807">
      <c r="A2807" s="61" t="n">
        <v>14</v>
      </c>
      <c r="B2807" s="62" t="inlineStr">
        <is>
          <t>from app.domain.pgn import iter_games, player_color_for</t>
        </is>
      </c>
    </row>
    <row r="2808">
      <c r="A2808" s="61" t="n">
        <v>15</v>
      </c>
      <c r="B2808" s="62" t="inlineStr">
        <is>
          <t>from app.errors import ApiError</t>
        </is>
      </c>
    </row>
    <row r="2809">
      <c r="A2809" s="61" t="n">
        <v>16</v>
      </c>
      <c r="B2809" s="62" t="inlineStr">
        <is>
          <t>from app.jobs.queue import enqueue</t>
        </is>
      </c>
    </row>
    <row r="2810">
      <c r="A2810" s="61" t="n">
        <v>17</v>
      </c>
      <c r="B2810" s="62" t="inlineStr">
        <is>
          <t>from app.models import AnalysisRun, Game, ImportRun, Visitor</t>
        </is>
      </c>
    </row>
    <row r="2811">
      <c r="A2811" s="61" t="n">
        <v>18</v>
      </c>
      <c r="B2811" s="62" t="inlineStr">
        <is>
          <t>from app.security import current_visitor</t>
        </is>
      </c>
    </row>
    <row r="2812">
      <c r="A2812" s="61" t="n">
        <v>19</v>
      </c>
      <c r="B2812" s="62" t="n"/>
    </row>
    <row r="2813">
      <c r="A2813" s="61" t="n">
        <v>20</v>
      </c>
      <c r="B2813" s="62" t="inlineStr">
        <is>
          <t>router = APIRouter(prefix="/v1/imports", tags=["imports"])</t>
        </is>
      </c>
    </row>
    <row r="2814">
      <c r="A2814" s="61" t="n">
        <v>21</v>
      </c>
      <c r="B2814" s="62" t="inlineStr">
        <is>
          <t>USERNAME = r"^[A-Za-z0-9_-]{2,30}$"</t>
        </is>
      </c>
    </row>
    <row r="2815">
      <c r="A2815" s="61" t="n">
        <v>22</v>
      </c>
      <c r="B2815" s="62" t="n"/>
    </row>
    <row r="2816">
      <c r="A2816" s="61" t="n">
        <v>23</v>
      </c>
      <c r="B2816" s="62" t="n"/>
    </row>
    <row r="2817">
      <c r="A2817" s="61" t="n">
        <v>24</v>
      </c>
      <c r="B2817" s="62" t="inlineStr">
        <is>
          <t>class ImportIn(BaseModel):</t>
        </is>
      </c>
    </row>
    <row r="2818">
      <c r="A2818" s="61" t="n">
        <v>25</v>
      </c>
      <c r="B2818" s="62" t="inlineStr">
        <is>
          <t xml:space="preserve">    provider: Literal["lichess"]  # add "chesscom" in stretch phase S1</t>
        </is>
      </c>
    </row>
    <row r="2819">
      <c r="A2819" s="61" t="n">
        <v>26</v>
      </c>
      <c r="B2819" s="62" t="inlineStr">
        <is>
          <t xml:space="preserve">    username: str = Field(pattern=USERNAME)</t>
        </is>
      </c>
    </row>
    <row r="2820">
      <c r="A2820" s="61" t="n">
        <v>27</v>
      </c>
      <c r="B2820" s="62" t="inlineStr">
        <is>
          <t xml:space="preserve">    max_games: int = Field(default=50, ge=1, le=200)</t>
        </is>
      </c>
    </row>
    <row r="2821">
      <c r="A2821" s="61" t="n">
        <v>28</v>
      </c>
      <c r="B2821" s="62" t="n"/>
    </row>
    <row r="2822">
      <c r="A2822" s="61" t="n">
        <v>29</v>
      </c>
      <c r="B2822" s="62" t="n"/>
    </row>
    <row r="2823">
      <c r="A2823" s="61" t="n">
        <v>30</v>
      </c>
      <c r="B2823" s="62" t="inlineStr">
        <is>
          <t>class ImportOut(BaseModel):</t>
        </is>
      </c>
    </row>
    <row r="2824">
      <c r="A2824" s="61" t="n">
        <v>31</v>
      </c>
      <c r="B2824" s="62" t="inlineStr">
        <is>
          <t xml:space="preserve">    id: uuid.UUID</t>
        </is>
      </c>
    </row>
    <row r="2825">
      <c r="A2825" s="61" t="n">
        <v>32</v>
      </c>
      <c r="B2825" s="62" t="inlineStr">
        <is>
          <t xml:space="preserve">    provider: str</t>
        </is>
      </c>
    </row>
    <row r="2826">
      <c r="A2826" s="61" t="n">
        <v>33</v>
      </c>
      <c r="B2826" s="62" t="inlineStr">
        <is>
          <t xml:space="preserve">    username: str | None</t>
        </is>
      </c>
    </row>
    <row r="2827">
      <c r="A2827" s="61" t="n">
        <v>34</v>
      </c>
      <c r="B2827" s="62" t="inlineStr">
        <is>
          <t xml:space="preserve">    state: str</t>
        </is>
      </c>
    </row>
    <row r="2828">
      <c r="A2828" s="61" t="n">
        <v>35</v>
      </c>
      <c r="B2828" s="62" t="inlineStr">
        <is>
          <t xml:space="preserve">    target_limit: int</t>
        </is>
      </c>
    </row>
    <row r="2829">
      <c r="A2829" s="61" t="n">
        <v>36</v>
      </c>
      <c r="B2829" s="62" t="inlineStr">
        <is>
          <t xml:space="preserve">    fetched: int</t>
        </is>
      </c>
    </row>
    <row r="2830">
      <c r="A2830" s="61" t="n">
        <v>37</v>
      </c>
      <c r="B2830" s="62" t="inlineStr">
        <is>
          <t xml:space="preserve">    eligible: int</t>
        </is>
      </c>
    </row>
    <row r="2831">
      <c r="A2831" s="61" t="n">
        <v>38</v>
      </c>
      <c r="B2831" s="62" t="inlineStr">
        <is>
          <t xml:space="preserve">    excluded: int</t>
        </is>
      </c>
    </row>
    <row r="2832">
      <c r="A2832" s="61" t="n">
        <v>39</v>
      </c>
      <c r="B2832" s="62" t="inlineStr">
        <is>
          <t xml:space="preserve">    analyzed: int</t>
        </is>
      </c>
    </row>
    <row r="2833">
      <c r="A2833" s="61" t="n">
        <v>40</v>
      </c>
      <c r="B2833" s="62" t="inlineStr">
        <is>
          <t xml:space="preserve">    error_code: str | None</t>
        </is>
      </c>
    </row>
    <row r="2834">
      <c r="A2834" s="61" t="n">
        <v>41</v>
      </c>
      <c r="B2834" s="62" t="inlineStr">
        <is>
          <t xml:space="preserve">    job_id: int | None</t>
        </is>
      </c>
    </row>
    <row r="2835">
      <c r="A2835" s="61" t="n">
        <v>42</v>
      </c>
      <c r="B2835" s="62" t="n"/>
    </row>
    <row r="2836">
      <c r="A2836" s="61" t="n">
        <v>43</v>
      </c>
      <c r="B2836" s="62" t="n"/>
    </row>
    <row r="2837">
      <c r="A2837" s="61" t="n">
        <v>44</v>
      </c>
      <c r="B2837" s="62" t="inlineStr">
        <is>
          <t>class PgnUploadOut(BaseModel):</t>
        </is>
      </c>
    </row>
    <row r="2838">
      <c r="A2838" s="61" t="n">
        <v>45</v>
      </c>
      <c r="B2838" s="62" t="inlineStr">
        <is>
          <t xml:space="preserve">    import_id: uuid.UUID</t>
        </is>
      </c>
    </row>
    <row r="2839">
      <c r="A2839" s="61" t="n">
        <v>46</v>
      </c>
      <c r="B2839" s="62" t="inlineStr">
        <is>
          <t xml:space="preserve">    accepted: int</t>
        </is>
      </c>
    </row>
    <row r="2840">
      <c r="A2840" s="61" t="n">
        <v>47</v>
      </c>
      <c r="B2840" s="62" t="inlineStr">
        <is>
          <t xml:space="preserve">    duplicates: int</t>
        </is>
      </c>
    </row>
    <row r="2841">
      <c r="A2841" s="61" t="n">
        <v>48</v>
      </c>
      <c r="B2841" s="62" t="inlineStr">
        <is>
          <t xml:space="preserve">    errors: list[dict]</t>
        </is>
      </c>
    </row>
    <row r="2842">
      <c r="A2842" s="61" t="n">
        <v>49</v>
      </c>
      <c r="B2842" s="62" t="n"/>
    </row>
    <row r="2843">
      <c r="A2843" s="61" t="n">
        <v>50</v>
      </c>
      <c r="B2843" s="62" t="n"/>
    </row>
    <row r="2844">
      <c r="A2844" s="61" t="n">
        <v>51</v>
      </c>
      <c r="B2844" s="62" t="inlineStr">
        <is>
          <t>def _out(db: Session, run: ImportRun) -&gt; ImportOut:</t>
        </is>
      </c>
    </row>
    <row r="2845">
      <c r="A2845" s="61" t="n">
        <v>52</v>
      </c>
      <c r="B2845" s="62" t="inlineStr">
        <is>
          <t xml:space="preserve">    analyzed = db.scalar(select(func.count()).select_from(AnalysisRun).join(Game, Game.id == AnalysisRun.game_id)</t>
        </is>
      </c>
    </row>
    <row r="2846">
      <c r="A2846" s="61" t="n">
        <v>53</v>
      </c>
      <c r="B2846" s="62" t="inlineStr">
        <is>
          <t xml:space="preserve">                         .where(Game.import_id == run.id, AnalysisRun.pipeline_version == PIPELINE_VERSION,</t>
        </is>
      </c>
    </row>
    <row r="2847">
      <c r="A2847" s="61" t="n">
        <v>54</v>
      </c>
      <c r="B2847" s="62" t="inlineStr">
        <is>
          <t xml:space="preserve">                                AnalysisRun.state.in_(("succeeded", "partial")))) or 0</t>
        </is>
      </c>
    </row>
    <row r="2848">
      <c r="A2848" s="61" t="n">
        <v>55</v>
      </c>
      <c r="B2848" s="62" t="inlineStr">
        <is>
          <t xml:space="preserve">    return ImportOut(id=run.id, provider=run.provider, username=run.username, state=run.state,</t>
        </is>
      </c>
    </row>
    <row r="2849">
      <c r="A2849" s="61" t="n">
        <v>56</v>
      </c>
      <c r="B2849" s="62" t="inlineStr">
        <is>
          <t xml:space="preserve">                     target_limit=run.target_limit, fetched=run.fetched, eligible=run.eligible,</t>
        </is>
      </c>
    </row>
    <row r="2850">
      <c r="A2850" s="61" t="n">
        <v>57</v>
      </c>
      <c r="B2850" s="62" t="inlineStr">
        <is>
          <t xml:space="preserve">                     excluded=run.excluded, analyzed=analyzed, error_code=run.error_code, job_id=run.job_id)</t>
        </is>
      </c>
    </row>
    <row r="2851">
      <c r="A2851" s="61" t="n">
        <v>58</v>
      </c>
      <c r="B2851" s="62" t="n"/>
    </row>
    <row r="2852">
      <c r="A2852" s="61" t="n">
        <v>59</v>
      </c>
      <c r="B2852" s="62" t="n"/>
    </row>
    <row r="2853">
      <c r="A2853" s="61" t="n">
        <v>60</v>
      </c>
      <c r="B2853" s="62" t="inlineStr">
        <is>
          <t>@router.post("", response_model=ImportOut, status_code=202)</t>
        </is>
      </c>
    </row>
    <row r="2854">
      <c r="A2854" s="61" t="n">
        <v>61</v>
      </c>
      <c r="B2854" s="62" t="inlineStr">
        <is>
          <t>def start_import(body: ImportIn, visitor: Visitor = Depends(current_visitor), db: Session = Depends(get_db)) -&gt; ImportOut:</t>
        </is>
      </c>
    </row>
    <row r="2855">
      <c r="A2855" s="61" t="n">
        <v>62</v>
      </c>
      <c r="B2855" s="62" t="inlineStr">
        <is>
          <t xml:space="preserve">    active = db.scalar(select(func.count()).select_from(ImportRun).where(</t>
        </is>
      </c>
    </row>
    <row r="2856">
      <c r="A2856" s="61" t="n">
        <v>63</v>
      </c>
      <c r="B2856" s="62" t="inlineStr">
        <is>
          <t xml:space="preserve">        ImportRun.owner_id == visitor.id, ImportRun.state.in_(("queued", "running"))))</t>
        </is>
      </c>
    </row>
    <row r="2857">
      <c r="A2857" s="61" t="n">
        <v>64</v>
      </c>
      <c r="B2857" s="62" t="inlineStr">
        <is>
          <t xml:space="preserve">    if active:</t>
        </is>
      </c>
    </row>
    <row r="2858">
      <c r="A2858" s="61" t="n">
        <v>65</v>
      </c>
      <c r="B2858" s="62" t="inlineStr">
        <is>
          <t xml:space="preserve">        raise ApiError(429, "IMPORT_RATE_LIMITED", "You already have an import in progress.")</t>
        </is>
      </c>
    </row>
    <row r="2859">
      <c r="A2859" s="61" t="n">
        <v>66</v>
      </c>
      <c r="B2859" s="62" t="inlineStr">
        <is>
          <t xml:space="preserve">    run = ImportRun(owner_id=visitor.id, provider=body.provider, username=body.username,</t>
        </is>
      </c>
    </row>
    <row r="2860">
      <c r="A2860" s="61" t="n">
        <v>67</v>
      </c>
      <c r="B2860" s="62" t="inlineStr">
        <is>
          <t xml:space="preserve">                    target_limit=min(body.max_games, get_settings().max_import_games))</t>
        </is>
      </c>
    </row>
    <row r="2861">
      <c r="A2861" s="61" t="n">
        <v>68</v>
      </c>
      <c r="B2861" s="62" t="inlineStr">
        <is>
          <t xml:space="preserve">    db.add(run)</t>
        </is>
      </c>
    </row>
    <row r="2862">
      <c r="A2862" s="61" t="n">
        <v>69</v>
      </c>
      <c r="B2862" s="62" t="inlineStr">
        <is>
          <t xml:space="preserve">    db.flush()  # assigns run.id without committing</t>
        </is>
      </c>
    </row>
    <row r="2863">
      <c r="A2863" s="61" t="n">
        <v>70</v>
      </c>
      <c r="B2863" s="62" t="inlineStr">
        <is>
          <t xml:space="preserve">    run.job_id = enqueue(db, kind=f"import_{body.provider}", payload={"import_id": str(run.id)},</t>
        </is>
      </c>
    </row>
    <row r="2864">
      <c r="A2864" s="61" t="n">
        <v>71</v>
      </c>
      <c r="B2864" s="62" t="inlineStr">
        <is>
          <t xml:space="preserve">                         owner_id=visitor.id, priority=0, max_attempts=4)</t>
        </is>
      </c>
    </row>
    <row r="2865">
      <c r="A2865" s="61" t="n">
        <v>72</v>
      </c>
      <c r="B2865" s="62" t="inlineStr">
        <is>
          <t xml:space="preserve">    db.commit()</t>
        </is>
      </c>
    </row>
    <row r="2866">
      <c r="A2866" s="61" t="n">
        <v>73</v>
      </c>
      <c r="B2866" s="62" t="inlineStr">
        <is>
          <t xml:space="preserve">    return _out(db, run)</t>
        </is>
      </c>
    </row>
    <row r="2867">
      <c r="A2867" s="61" t="n">
        <v>74</v>
      </c>
      <c r="B2867" s="62" t="n"/>
    </row>
    <row r="2868">
      <c r="A2868" s="61" t="n">
        <v>75</v>
      </c>
      <c r="B2868" s="62" t="n"/>
    </row>
    <row r="2869">
      <c r="A2869" s="61" t="n">
        <v>76</v>
      </c>
      <c r="B2869" s="62" t="inlineStr">
        <is>
          <t>@router.post("/pgn", response_model=PgnUploadOut, status_code=202)</t>
        </is>
      </c>
    </row>
    <row r="2870">
      <c r="A2870" s="61" t="n">
        <v>77</v>
      </c>
      <c r="B2870" s="62" t="inlineStr">
        <is>
          <t>async def upload_pgn(</t>
        </is>
      </c>
    </row>
    <row r="2871">
      <c r="A2871" s="61" t="n">
        <v>78</v>
      </c>
      <c r="B2871" s="62" t="inlineStr">
        <is>
          <t xml:space="preserve">    file: UploadFile,</t>
        </is>
      </c>
    </row>
    <row r="2872">
      <c r="A2872" s="61" t="n">
        <v>79</v>
      </c>
      <c r="B2872" s="62" t="inlineStr">
        <is>
          <t xml:space="preserve">    player_name: str | None = Form(default=None, max_length=40),</t>
        </is>
      </c>
    </row>
    <row r="2873">
      <c r="A2873" s="61" t="n">
        <v>80</v>
      </c>
      <c r="B2873" s="62" t="inlineStr">
        <is>
          <t xml:space="preserve">    player_color: Literal["white", "black", "auto"] = Form(default="auto"),</t>
        </is>
      </c>
    </row>
    <row r="2874">
      <c r="A2874" s="61" t="n">
        <v>81</v>
      </c>
      <c r="B2874" s="62" t="inlineStr">
        <is>
          <t xml:space="preserve">    visitor: Visitor = Depends(current_visitor),</t>
        </is>
      </c>
    </row>
    <row r="2875">
      <c r="A2875" s="61" t="n">
        <v>82</v>
      </c>
      <c r="B2875" s="62" t="inlineStr">
        <is>
          <t xml:space="preserve">    db: Session = Depends(get_db),</t>
        </is>
      </c>
    </row>
    <row r="2876">
      <c r="A2876" s="61" t="n">
        <v>83</v>
      </c>
      <c r="B2876" s="62" t="inlineStr">
        <is>
          <t>) -&gt; PgnUploadOut:</t>
        </is>
      </c>
    </row>
    <row r="2877">
      <c r="A2877" s="61" t="n">
        <v>84</v>
      </c>
      <c r="B2877" s="62" t="inlineStr">
        <is>
          <t xml:space="preserve">    settings = get_settings()</t>
        </is>
      </c>
    </row>
    <row r="2878">
      <c r="A2878" s="61" t="n">
        <v>85</v>
      </c>
      <c r="B2878" s="62" t="inlineStr">
        <is>
          <t xml:space="preserve">    raw = await file.read(settings.max_pgn_bytes + 1)</t>
        </is>
      </c>
    </row>
    <row r="2879">
      <c r="A2879" s="61" t="n">
        <v>86</v>
      </c>
      <c r="B2879" s="62" t="inlineStr">
        <is>
          <t xml:space="preserve">    if len(raw) &gt; settings.max_pgn_bytes:</t>
        </is>
      </c>
    </row>
    <row r="2880">
      <c r="A2880" s="61" t="n">
        <v>87</v>
      </c>
      <c r="B2880" s="62" t="inlineStr">
        <is>
          <t xml:space="preserve">        raise ApiError(413, "UPLOAD_TOO_LARGE", f"PGN files are limited to {settings.max_pgn_bytes // 1_000_000} MB.")</t>
        </is>
      </c>
    </row>
    <row r="2881">
      <c r="A2881" s="61" t="n">
        <v>88</v>
      </c>
      <c r="B2881" s="62" t="inlineStr">
        <is>
          <t xml:space="preserve">    text = raw.decode("utf-8", errors="replace")</t>
        </is>
      </c>
    </row>
    <row r="2882">
      <c r="A2882" s="61" t="n">
        <v>89</v>
      </c>
      <c r="B2882" s="62" t="inlineStr">
        <is>
          <t xml:space="preserve">    run = ImportRun(owner_id=visitor.id, provider="pgn", username=None, target_limit=settings.max_import_games, state="running")</t>
        </is>
      </c>
    </row>
    <row r="2883">
      <c r="A2883" s="61" t="n">
        <v>90</v>
      </c>
      <c r="B2883" s="62" t="inlineStr">
        <is>
          <t xml:space="preserve">    db.add(run)</t>
        </is>
      </c>
    </row>
    <row r="2884">
      <c r="A2884" s="61" t="n">
        <v>91</v>
      </c>
      <c r="B2884" s="62" t="inlineStr">
        <is>
          <t xml:space="preserve">    db.flush()</t>
        </is>
      </c>
    </row>
    <row r="2885">
      <c r="A2885" s="61" t="n">
        <v>92</v>
      </c>
      <c r="B2885" s="62" t="inlineStr">
        <is>
          <t xml:space="preserve">    accepted = duplicates = 0</t>
        </is>
      </c>
    </row>
    <row r="2886">
      <c r="A2886" s="61" t="n">
        <v>93</v>
      </c>
      <c r="B2886" s="62" t="inlineStr">
        <is>
          <t xml:space="preserve">    errors: list[dict] = []</t>
        </is>
      </c>
    </row>
    <row r="2887">
      <c r="A2887" s="61" t="n">
        <v>94</v>
      </c>
      <c r="B2887" s="62" t="inlineStr">
        <is>
          <t xml:space="preserve">    for index, parsed, error in iter_games(text, settings.max_import_games):</t>
        </is>
      </c>
    </row>
    <row r="2888">
      <c r="A2888" s="61" t="n">
        <v>95</v>
      </c>
      <c r="B2888" s="62" t="inlineStr">
        <is>
          <t xml:space="preserve">        if parsed is None:</t>
        </is>
      </c>
    </row>
    <row r="2889">
      <c r="A2889" s="61" t="n">
        <v>96</v>
      </c>
      <c r="B2889" s="62" t="inlineStr">
        <is>
          <t xml:space="preserve">            errors.append({"game": index + 1, "error": error})</t>
        </is>
      </c>
    </row>
    <row r="2890">
      <c r="A2890" s="61" t="n">
        <v>97</v>
      </c>
      <c r="B2890" s="62" t="inlineStr">
        <is>
          <t xml:space="preserve">            continue</t>
        </is>
      </c>
    </row>
    <row r="2891">
      <c r="A2891" s="61" t="n">
        <v>98</v>
      </c>
      <c r="B2891" s="62" t="inlineStr">
        <is>
          <t xml:space="preserve">        color = player_color_for(parsed, player_name) or (None if player_color == "auto" else player_color)</t>
        </is>
      </c>
    </row>
    <row r="2892">
      <c r="A2892" s="61" t="n">
        <v>99</v>
      </c>
      <c r="B2892" s="62" t="inlineStr">
        <is>
          <t xml:space="preserve">        if color is None:</t>
        </is>
      </c>
    </row>
    <row r="2893">
      <c r="A2893" s="61" t="n">
        <v>100</v>
      </c>
      <c r="B2893" s="62" t="inlineStr">
        <is>
          <t xml:space="preserve">            errors.append({"game": index + 1, "error": "Could not tell which side you played. Choose a colour."})</t>
        </is>
      </c>
    </row>
    <row r="2894">
      <c r="A2894" s="61" t="n">
        <v>101</v>
      </c>
      <c r="B2894" s="62" t="inlineStr">
        <is>
          <t xml:space="preserve">            continue</t>
        </is>
      </c>
    </row>
    <row r="2895">
      <c r="A2895" s="61" t="n">
        <v>102</v>
      </c>
      <c r="B2895" s="62" t="inlineStr">
        <is>
          <t xml:space="preserve">        game_id = db.scalar(pg_insert(Game).values(</t>
        </is>
      </c>
    </row>
    <row r="2896">
      <c r="A2896" s="61" t="n">
        <v>103</v>
      </c>
      <c r="B2896" s="62" t="inlineStr">
        <is>
          <t xml:space="preserve">            id=uuid.uuid4(), owner_id=visitor.id, import_id=run.id, source="pgn", source_game_id=parsed.fingerprint,</t>
        </is>
      </c>
    </row>
    <row r="2897">
      <c r="A2897" s="61" t="n">
        <v>104</v>
      </c>
      <c r="B2897" s="62" t="inlineStr">
        <is>
          <t xml:space="preserve">            player_color=color, white_name=parsed.white, black_name=parsed.black, result=parsed.result,</t>
        </is>
      </c>
    </row>
    <row r="2898">
      <c r="A2898" s="61" t="n">
        <v>105</v>
      </c>
      <c r="B2898" s="62" t="inlineStr">
        <is>
          <t xml:space="preserve">            pgn=parsed.pgn, initial_fen=parsed.initial_fen, ply_count=parsed.ply_count)</t>
        </is>
      </c>
    </row>
    <row r="2899">
      <c r="A2899" s="61" t="n">
        <v>106</v>
      </c>
      <c r="B2899" s="62" t="inlineStr">
        <is>
          <t xml:space="preserve">            .on_conflict_do_nothing(constraint="uq_game_source").returning(Game.id))</t>
        </is>
      </c>
    </row>
    <row r="2900">
      <c r="A2900" s="61" t="n">
        <v>107</v>
      </c>
      <c r="B2900" s="62" t="inlineStr">
        <is>
          <t xml:space="preserve">        if game_id is None:</t>
        </is>
      </c>
    </row>
    <row r="2901">
      <c r="A2901" s="61" t="n">
        <v>108</v>
      </c>
      <c r="B2901" s="62" t="inlineStr">
        <is>
          <t xml:space="preserve">            duplicates += 1</t>
        </is>
      </c>
    </row>
    <row r="2902">
      <c r="A2902" s="61" t="n">
        <v>109</v>
      </c>
      <c r="B2902" s="62" t="inlineStr">
        <is>
          <t xml:space="preserve">            continue</t>
        </is>
      </c>
    </row>
    <row r="2903">
      <c r="A2903" s="61" t="n">
        <v>110</v>
      </c>
      <c r="B2903" s="62" t="inlineStr">
        <is>
          <t xml:space="preserve">        accepted += 1</t>
        </is>
      </c>
    </row>
    <row r="2904">
      <c r="A2904" s="61" t="n">
        <v>111</v>
      </c>
      <c r="B2904" s="62" t="inlineStr">
        <is>
          <t xml:space="preserve">        enqueue_analysis(db, game_id, visitor.id, priority=0)</t>
        </is>
      </c>
    </row>
    <row r="2905">
      <c r="A2905" s="61" t="n">
        <v>112</v>
      </c>
      <c r="B2905" s="62" t="inlineStr">
        <is>
          <t xml:space="preserve">    run.fetched = accepted + duplicates + len(errors)</t>
        </is>
      </c>
    </row>
    <row r="2906">
      <c r="A2906" s="61" t="n">
        <v>113</v>
      </c>
      <c r="B2906" s="62" t="inlineStr">
        <is>
          <t xml:space="preserve">    run.eligible, run.excluded, run.state = accepted, len(errors), "succeeded"</t>
        </is>
      </c>
    </row>
    <row r="2907">
      <c r="A2907" s="61" t="n">
        <v>114</v>
      </c>
      <c r="B2907" s="62" t="inlineStr">
        <is>
          <t xml:space="preserve">    db.commit()</t>
        </is>
      </c>
    </row>
    <row r="2908">
      <c r="A2908" s="61" t="n">
        <v>115</v>
      </c>
      <c r="B2908" s="62" t="inlineStr">
        <is>
          <t xml:space="preserve">    return PgnUploadOut(import_id=run.id, accepted=accepted, duplicates=duplicates, errors=errors[:50])</t>
        </is>
      </c>
    </row>
    <row r="2909">
      <c r="A2909" s="61" t="n">
        <v>116</v>
      </c>
      <c r="B2909" s="62" t="n"/>
    </row>
    <row r="2910">
      <c r="A2910" s="61" t="n">
        <v>117</v>
      </c>
      <c r="B2910" s="62" t="n"/>
    </row>
    <row r="2911">
      <c r="A2911" s="61" t="n">
        <v>118</v>
      </c>
      <c r="B2911" s="62" t="inlineStr">
        <is>
          <t>@router.get("/{import_id}", response_model=ImportOut)</t>
        </is>
      </c>
    </row>
    <row r="2912">
      <c r="A2912" s="61" t="n">
        <v>119</v>
      </c>
      <c r="B2912" s="62" t="inlineStr">
        <is>
          <t>def read_import(import_id: uuid.UUID, visitor: Visitor = Depends(current_visitor), db: Session = Depends(get_db)) -&gt; ImportOut:</t>
        </is>
      </c>
    </row>
    <row r="2913">
      <c r="A2913" s="61" t="n">
        <v>120</v>
      </c>
      <c r="B2913" s="62" t="inlineStr">
        <is>
          <t xml:space="preserve">    run = db.get(ImportRun, import_id)</t>
        </is>
      </c>
    </row>
    <row r="2914">
      <c r="A2914" s="61" t="n">
        <v>121</v>
      </c>
      <c r="B2914" s="62" t="inlineStr">
        <is>
          <t xml:space="preserve">    if run is None or run.owner_id != visitor.id:</t>
        </is>
      </c>
    </row>
    <row r="2915">
      <c r="A2915" s="61" t="n">
        <v>122</v>
      </c>
      <c r="B2915" s="62" t="inlineStr">
        <is>
          <t xml:space="preserve">        raise ApiError(404, "IMPORT_NOT_FOUND", "Import not found.")</t>
        </is>
      </c>
    </row>
    <row r="2916">
      <c r="A2916" s="61" t="n">
        <v>123</v>
      </c>
      <c r="B2916" s="62" t="inlineStr">
        <is>
          <t xml:space="preserve">    return _out(db, run)</t>
        </is>
      </c>
    </row>
    <row r="2919">
      <c r="A2919" s="60" t="inlineStr">
        <is>
          <t>C47</t>
        </is>
      </c>
      <c r="B2919" s="60" t="inlineStr">
        <is>
          <t>apps/web/src/hooks/usePolling.ts   ·   Phase P7   ·   Polling with backoff, hidden-tab slowdown and terminal states.</t>
        </is>
      </c>
    </row>
    <row r="2920">
      <c r="B2920" s="55" t="inlineStr">
        <is>
          <t>↑ back to Code Index</t>
        </is>
      </c>
    </row>
    <row r="2921">
      <c r="A2921" s="61" t="n">
        <v>1</v>
      </c>
      <c r="B2921" s="62" t="inlineStr">
        <is>
          <t>import { useEffect, useRef, useState } from "react";</t>
        </is>
      </c>
    </row>
    <row r="2922">
      <c r="A2922" s="61" t="n">
        <v>2</v>
      </c>
      <c r="B2922" s="62" t="inlineStr">
        <is>
          <t>import { ApiError } from "../api/client";</t>
        </is>
      </c>
    </row>
    <row r="2923">
      <c r="A2923" s="61" t="n">
        <v>3</v>
      </c>
      <c r="B2923" s="62" t="n"/>
    </row>
    <row r="2924">
      <c r="A2924" s="61" t="n">
        <v>4</v>
      </c>
      <c r="B2924" s="62" t="inlineStr">
        <is>
          <t>/** Polls `fetcher` until `isDone(value)` is true. Backs off over time, slows down in hidden tabs,</t>
        </is>
      </c>
    </row>
    <row r="2925">
      <c r="A2925" s="61" t="n">
        <v>5</v>
      </c>
      <c r="B2925" s="62" t="inlineStr">
        <is>
          <t xml:space="preserve"> *  and stops on unmount. This is how the UI follows background jobs without WebSockets. */</t>
        </is>
      </c>
    </row>
    <row r="2926">
      <c r="A2926" s="61" t="n">
        <v>6</v>
      </c>
      <c r="B2926" s="62" t="inlineStr">
        <is>
          <t>export function usePolling&lt;T&gt;(fetcher: () =&gt; Promise&lt;T&gt;, isDone: (value: T) =&gt; boolean, key: string, baseMs = 1500) {</t>
        </is>
      </c>
    </row>
    <row r="2927">
      <c r="A2927" s="61" t="n">
        <v>7</v>
      </c>
      <c r="B2927" s="62" t="inlineStr">
        <is>
          <t xml:space="preserve">  const [data, setData] = useState&lt;T | null&gt;(null);</t>
        </is>
      </c>
    </row>
    <row r="2928">
      <c r="A2928" s="61" t="n">
        <v>8</v>
      </c>
      <c r="B2928" s="62" t="inlineStr">
        <is>
          <t xml:space="preserve">  const [error, setError] = useState&lt;ApiError | null&gt;(null);</t>
        </is>
      </c>
    </row>
    <row r="2929">
      <c r="A2929" s="61" t="n">
        <v>9</v>
      </c>
      <c r="B2929" s="62" t="inlineStr">
        <is>
          <t xml:space="preserve">  const fetchRef = useRef(fetcher);</t>
        </is>
      </c>
    </row>
    <row r="2930">
      <c r="A2930" s="61" t="n">
        <v>10</v>
      </c>
      <c r="B2930" s="62" t="inlineStr">
        <is>
          <t xml:space="preserve">  const doneRef = useRef(isDone);</t>
        </is>
      </c>
    </row>
    <row r="2931">
      <c r="A2931" s="61" t="n">
        <v>11</v>
      </c>
      <c r="B2931" s="62" t="inlineStr">
        <is>
          <t xml:space="preserve">  useEffect(() =&gt; {</t>
        </is>
      </c>
    </row>
    <row r="2932">
      <c r="A2932" s="61" t="n">
        <v>12</v>
      </c>
      <c r="B2932" s="62" t="inlineStr">
        <is>
          <t xml:space="preserve">    // "Latest ref" pattern: the polling loop always calls the newest callbacks without restarting.</t>
        </is>
      </c>
    </row>
    <row r="2933">
      <c r="A2933" s="61" t="n">
        <v>13</v>
      </c>
      <c r="B2933" s="62" t="inlineStr">
        <is>
          <t xml:space="preserve">    fetchRef.current = fetcher;</t>
        </is>
      </c>
    </row>
    <row r="2934">
      <c r="A2934" s="61" t="n">
        <v>14</v>
      </c>
      <c r="B2934" s="62" t="inlineStr">
        <is>
          <t xml:space="preserve">    doneRef.current = isDone;</t>
        </is>
      </c>
    </row>
    <row r="2935">
      <c r="A2935" s="61" t="n">
        <v>15</v>
      </c>
      <c r="B2935" s="62" t="inlineStr">
        <is>
          <t xml:space="preserve">  });</t>
        </is>
      </c>
    </row>
    <row r="2936">
      <c r="A2936" s="61" t="n">
        <v>16</v>
      </c>
      <c r="B2936" s="62" t="n"/>
    </row>
    <row r="2937">
      <c r="A2937" s="61" t="n">
        <v>17</v>
      </c>
      <c r="B2937" s="62" t="inlineStr">
        <is>
          <t xml:space="preserve">  useEffect(() =&gt; {</t>
        </is>
      </c>
    </row>
    <row r="2938">
      <c r="A2938" s="61" t="n">
        <v>18</v>
      </c>
      <c r="B2938" s="62" t="inlineStr">
        <is>
          <t xml:space="preserve">    let cancelled = false;</t>
        </is>
      </c>
    </row>
    <row r="2939">
      <c r="A2939" s="61" t="n">
        <v>19</v>
      </c>
      <c r="B2939" s="62" t="inlineStr">
        <is>
          <t xml:space="preserve">    let timer: number | undefined;</t>
        </is>
      </c>
    </row>
    <row r="2940">
      <c r="A2940" s="61" t="n">
        <v>20</v>
      </c>
      <c r="B2940" s="62" t="inlineStr">
        <is>
          <t xml:space="preserve">    let delay = baseMs;</t>
        </is>
      </c>
    </row>
    <row r="2941">
      <c r="A2941" s="61" t="n">
        <v>21</v>
      </c>
      <c r="B2941" s="62" t="inlineStr">
        <is>
          <t xml:space="preserve">    const tick = async () =&gt; {</t>
        </is>
      </c>
    </row>
    <row r="2942">
      <c r="A2942" s="61" t="n">
        <v>22</v>
      </c>
      <c r="B2942" s="62" t="inlineStr">
        <is>
          <t xml:space="preserve">      try {</t>
        </is>
      </c>
    </row>
    <row r="2943">
      <c r="A2943" s="61" t="n">
        <v>23</v>
      </c>
      <c r="B2943" s="62" t="inlineStr">
        <is>
          <t xml:space="preserve">        const value = await fetchRef.current();</t>
        </is>
      </c>
    </row>
    <row r="2944">
      <c r="A2944" s="61" t="n">
        <v>24</v>
      </c>
      <c r="B2944" s="62" t="inlineStr">
        <is>
          <t xml:space="preserve">        if (cancelled) return;</t>
        </is>
      </c>
    </row>
    <row r="2945">
      <c r="A2945" s="61" t="n">
        <v>25</v>
      </c>
      <c r="B2945" s="62" t="inlineStr">
        <is>
          <t xml:space="preserve">        setData(value);</t>
        </is>
      </c>
    </row>
    <row r="2946">
      <c r="A2946" s="61" t="n">
        <v>26</v>
      </c>
      <c r="B2946" s="62" t="inlineStr">
        <is>
          <t xml:space="preserve">        setError(null);</t>
        </is>
      </c>
    </row>
    <row r="2947">
      <c r="A2947" s="61" t="n">
        <v>27</v>
      </c>
      <c r="B2947" s="62" t="inlineStr">
        <is>
          <t xml:space="preserve">        if (doneRef.current(value)) return; // terminal state: stop polling</t>
        </is>
      </c>
    </row>
    <row r="2948">
      <c r="A2948" s="61" t="n">
        <v>28</v>
      </c>
      <c r="B2948" s="62" t="inlineStr">
        <is>
          <t xml:space="preserve">        delay = Math.min(delay * 1.3, 10_000);</t>
        </is>
      </c>
    </row>
    <row r="2949">
      <c r="A2949" s="61" t="n">
        <v>29</v>
      </c>
      <c r="B2949" s="62" t="inlineStr">
        <is>
          <t xml:space="preserve">      } catch (e) {</t>
        </is>
      </c>
    </row>
    <row r="2950">
      <c r="A2950" s="61" t="n">
        <v>30</v>
      </c>
      <c r="B2950" s="62" t="inlineStr">
        <is>
          <t xml:space="preserve">        if (cancelled) return;</t>
        </is>
      </c>
    </row>
    <row r="2951">
      <c r="A2951" s="61" t="n">
        <v>31</v>
      </c>
      <c r="B2951" s="62" t="inlineStr">
        <is>
          <t xml:space="preserve">        setError(e instanceof ApiError ? e : new ApiError(0, "UNKNOWN", String(e)));</t>
        </is>
      </c>
    </row>
    <row r="2952">
      <c r="A2952" s="61" t="n">
        <v>32</v>
      </c>
      <c r="B2952" s="62" t="inlineStr">
        <is>
          <t xml:space="preserve">        delay = Math.min(delay * 2, 15_000);</t>
        </is>
      </c>
    </row>
    <row r="2953">
      <c r="A2953" s="61" t="n">
        <v>33</v>
      </c>
      <c r="B2953" s="62" t="inlineStr">
        <is>
          <t xml:space="preserve">      }</t>
        </is>
      </c>
    </row>
    <row r="2954">
      <c r="A2954" s="61" t="n">
        <v>34</v>
      </c>
      <c r="B2954" s="62" t="inlineStr">
        <is>
          <t xml:space="preserve">      timer = window.setTimeout(tick, document.hidden ? delay * 4 : delay);</t>
        </is>
      </c>
    </row>
    <row r="2955">
      <c r="A2955" s="61" t="n">
        <v>35</v>
      </c>
      <c r="B2955" s="62" t="inlineStr">
        <is>
          <t xml:space="preserve">    };</t>
        </is>
      </c>
    </row>
    <row r="2956">
      <c r="A2956" s="61" t="n">
        <v>36</v>
      </c>
      <c r="B2956" s="62" t="inlineStr">
        <is>
          <t xml:space="preserve">    tick();</t>
        </is>
      </c>
    </row>
    <row r="2957">
      <c r="A2957" s="61" t="n">
        <v>37</v>
      </c>
      <c r="B2957" s="62" t="inlineStr">
        <is>
          <t xml:space="preserve">    return () =&gt; {</t>
        </is>
      </c>
    </row>
    <row r="2958">
      <c r="A2958" s="61" t="n">
        <v>38</v>
      </c>
      <c r="B2958" s="62" t="inlineStr">
        <is>
          <t xml:space="preserve">      cancelled = true;</t>
        </is>
      </c>
    </row>
    <row r="2959">
      <c r="A2959" s="61" t="n">
        <v>39</v>
      </c>
      <c r="B2959" s="62" t="inlineStr">
        <is>
          <t xml:space="preserve">      if (timer) window.clearTimeout(timer);</t>
        </is>
      </c>
    </row>
    <row r="2960">
      <c r="A2960" s="61" t="n">
        <v>40</v>
      </c>
      <c r="B2960" s="62" t="inlineStr">
        <is>
          <t xml:space="preserve">    };</t>
        </is>
      </c>
    </row>
    <row r="2961">
      <c r="A2961" s="61" t="n">
        <v>41</v>
      </c>
      <c r="B2961" s="62" t="inlineStr">
        <is>
          <t xml:space="preserve">  }, [key, baseMs]);</t>
        </is>
      </c>
    </row>
    <row r="2962">
      <c r="A2962" s="61" t="n">
        <v>42</v>
      </c>
      <c r="B2962" s="62" t="n"/>
    </row>
    <row r="2963">
      <c r="A2963" s="61" t="n">
        <v>43</v>
      </c>
      <c r="B2963" s="62" t="inlineStr">
        <is>
          <t xml:space="preserve">  return { data, error };</t>
        </is>
      </c>
    </row>
    <row r="2964">
      <c r="A2964" s="61" t="n">
        <v>44</v>
      </c>
      <c r="B2964" s="62" t="inlineStr">
        <is>
          <t>}</t>
        </is>
      </c>
    </row>
    <row r="2967">
      <c r="A2967" s="60" t="inlineStr">
        <is>
          <t>C48</t>
        </is>
      </c>
      <c r="B2967" s="60" t="inlineStr">
        <is>
          <t>apps/web/src/pages/ImportPage.tsx   ·   Phase P7   ·   Lichess import with progress/cancel and PGN upload.</t>
        </is>
      </c>
    </row>
    <row r="2968">
      <c r="B2968" s="55" t="inlineStr">
        <is>
          <t>↑ back to Code Index</t>
        </is>
      </c>
    </row>
    <row r="2969">
      <c r="A2969" s="61" t="n">
        <v>1</v>
      </c>
      <c r="B2969" s="62" t="inlineStr">
        <is>
          <t>import { type FormEvent, useState } from "react";</t>
        </is>
      </c>
    </row>
    <row r="2970">
      <c r="A2970" s="61" t="n">
        <v>2</v>
      </c>
      <c r="B2970" s="62" t="inlineStr">
        <is>
          <t>import { Link } from "react-router-dom";</t>
        </is>
      </c>
    </row>
    <row r="2971">
      <c r="A2971" s="61" t="n">
        <v>3</v>
      </c>
      <c r="B2971" s="62" t="inlineStr">
        <is>
          <t>import { ApiError, api, post } from "../api/client";</t>
        </is>
      </c>
    </row>
    <row r="2972">
      <c r="A2972" s="61" t="n">
        <v>4</v>
      </c>
      <c r="B2972" s="62" t="inlineStr">
        <is>
          <t>import type { ImportRun } from "../api/types";</t>
        </is>
      </c>
    </row>
    <row r="2973">
      <c r="A2973" s="61" t="n">
        <v>5</v>
      </c>
      <c r="B2973" s="62" t="inlineStr">
        <is>
          <t>import { usePolling } from "../hooks/usePolling";</t>
        </is>
      </c>
    </row>
    <row r="2974">
      <c r="A2974" s="61" t="n">
        <v>6</v>
      </c>
      <c r="B2974" s="62" t="n"/>
    </row>
    <row r="2975">
      <c r="A2975" s="61" t="n">
        <v>7</v>
      </c>
      <c r="B2975" s="62" t="inlineStr">
        <is>
          <t>const DONE = ["succeeded", "failed", "cancelled"];</t>
        </is>
      </c>
    </row>
    <row r="2976">
      <c r="A2976" s="61" t="n">
        <v>8</v>
      </c>
      <c r="B2976" s="62" t="n"/>
    </row>
    <row r="2977">
      <c r="A2977" s="61" t="n">
        <v>9</v>
      </c>
      <c r="B2977" s="62" t="inlineStr">
        <is>
          <t>export function ImportPage() {</t>
        </is>
      </c>
    </row>
    <row r="2978">
      <c r="A2978" s="61" t="n">
        <v>10</v>
      </c>
      <c r="B2978" s="62" t="inlineStr">
        <is>
          <t xml:space="preserve">  const [username, setUsername] = useState("");</t>
        </is>
      </c>
    </row>
    <row r="2979">
      <c r="A2979" s="61" t="n">
        <v>11</v>
      </c>
      <c r="B2979" s="62" t="inlineStr">
        <is>
          <t xml:space="preserve">  const [maxGames, setMaxGames] = useState(50);</t>
        </is>
      </c>
    </row>
    <row r="2980">
      <c r="A2980" s="61" t="n">
        <v>12</v>
      </c>
      <c r="B2980" s="62" t="inlineStr">
        <is>
          <t xml:space="preserve">  const [importId, setImportId] = useState&lt;string | null&gt;(null);</t>
        </is>
      </c>
    </row>
    <row r="2981">
      <c r="A2981" s="61" t="n">
        <v>13</v>
      </c>
      <c r="B2981" s="62" t="inlineStr">
        <is>
          <t xml:space="preserve">  const [error, setError] = useState&lt;string | null&gt;(null);</t>
        </is>
      </c>
    </row>
    <row r="2982">
      <c r="A2982" s="61" t="n">
        <v>14</v>
      </c>
      <c r="B2982" s="62" t="inlineStr">
        <is>
          <t xml:space="preserve">  const [upload, setUpload] = useState&lt;string | null&gt;(null);</t>
        </is>
      </c>
    </row>
    <row r="2983">
      <c r="A2983" s="61" t="n">
        <v>15</v>
      </c>
      <c r="B2983" s="62" t="n"/>
    </row>
    <row r="2984">
      <c r="A2984" s="61" t="n">
        <v>16</v>
      </c>
      <c r="B2984" s="62" t="inlineStr">
        <is>
          <t xml:space="preserve">  async function start(e: FormEvent) {</t>
        </is>
      </c>
    </row>
    <row r="2985">
      <c r="A2985" s="61" t="n">
        <v>17</v>
      </c>
      <c r="B2985" s="62" t="inlineStr">
        <is>
          <t xml:space="preserve">    e.preventDefault();</t>
        </is>
      </c>
    </row>
    <row r="2986">
      <c r="A2986" s="61" t="n">
        <v>18</v>
      </c>
      <c r="B2986" s="62" t="inlineStr">
        <is>
          <t xml:space="preserve">    setError(null);</t>
        </is>
      </c>
    </row>
    <row r="2987">
      <c r="A2987" s="61" t="n">
        <v>19</v>
      </c>
      <c r="B2987" s="62" t="inlineStr">
        <is>
          <t xml:space="preserve">    try {</t>
        </is>
      </c>
    </row>
    <row r="2988">
      <c r="A2988" s="61" t="n">
        <v>20</v>
      </c>
      <c r="B2988" s="62" t="inlineStr">
        <is>
          <t xml:space="preserve">      const run = await post&lt;ImportRun&gt;("/v1/imports", { provider: "lichess", username, max_games: maxGames });</t>
        </is>
      </c>
    </row>
    <row r="2989">
      <c r="A2989" s="61" t="n">
        <v>21</v>
      </c>
      <c r="B2989" s="62" t="inlineStr">
        <is>
          <t xml:space="preserve">      setImportId(run.id);</t>
        </is>
      </c>
    </row>
    <row r="2990">
      <c r="A2990" s="61" t="n">
        <v>22</v>
      </c>
      <c r="B2990" s="62" t="inlineStr">
        <is>
          <t xml:space="preserve">    } catch (err) {</t>
        </is>
      </c>
    </row>
    <row r="2991">
      <c r="A2991" s="61" t="n">
        <v>23</v>
      </c>
      <c r="B2991" s="62" t="inlineStr">
        <is>
          <t xml:space="preserve">      setError(err instanceof ApiError ? err.message : "Could not start the import.");</t>
        </is>
      </c>
    </row>
    <row r="2992">
      <c r="A2992" s="61" t="n">
        <v>24</v>
      </c>
      <c r="B2992" s="62" t="inlineStr">
        <is>
          <t xml:space="preserve">    }</t>
        </is>
      </c>
    </row>
    <row r="2993">
      <c r="A2993" s="61" t="n">
        <v>25</v>
      </c>
      <c r="B2993" s="62" t="inlineStr">
        <is>
          <t xml:space="preserve">  }</t>
        </is>
      </c>
    </row>
    <row r="2994">
      <c r="A2994" s="61" t="n">
        <v>26</v>
      </c>
      <c r="B2994" s="62" t="n"/>
    </row>
    <row r="2995">
      <c r="A2995" s="61" t="n">
        <v>27</v>
      </c>
      <c r="B2995" s="62" t="inlineStr">
        <is>
          <t xml:space="preserve">  async function uploadPgn(e: FormEvent&lt;HTMLFormElement&gt;) {</t>
        </is>
      </c>
    </row>
    <row r="2996">
      <c r="A2996" s="61" t="n">
        <v>28</v>
      </c>
      <c r="B2996" s="62" t="inlineStr">
        <is>
          <t xml:space="preserve">    e.preventDefault();</t>
        </is>
      </c>
    </row>
    <row r="2997">
      <c r="A2997" s="61" t="n">
        <v>29</v>
      </c>
      <c r="B2997" s="62" t="inlineStr">
        <is>
          <t xml:space="preserve">    const form = new FormData(e.currentTarget);</t>
        </is>
      </c>
    </row>
    <row r="2998">
      <c r="A2998" s="61" t="n">
        <v>30</v>
      </c>
      <c r="B2998" s="62" t="inlineStr">
        <is>
          <t xml:space="preserve">    try {</t>
        </is>
      </c>
    </row>
    <row r="2999">
      <c r="A2999" s="61" t="n">
        <v>31</v>
      </c>
      <c r="B2999" s="62" t="inlineStr">
        <is>
          <t xml:space="preserve">      const r = await api&lt;{ accepted: number; duplicates: number; errors: { game: number; error: string }[] }&gt;(</t>
        </is>
      </c>
    </row>
    <row r="3000">
      <c r="A3000" s="61" t="n">
        <v>32</v>
      </c>
      <c r="B3000" s="62" t="inlineStr">
        <is>
          <t xml:space="preserve">        "/v1/imports/pgn", { method: "POST", body: form });</t>
        </is>
      </c>
    </row>
    <row r="3001">
      <c r="A3001" s="61" t="n">
        <v>33</v>
      </c>
      <c r="B3001" s="62" t="inlineStr">
        <is>
          <t xml:space="preserve">      setUpload(`${r.accepted} games accepted, ${r.duplicates} duplicates, ${r.errors.length} rejected.` +</t>
        </is>
      </c>
    </row>
    <row r="3002">
      <c r="A3002" s="61" t="n">
        <v>34</v>
      </c>
      <c r="B3002" s="62" t="inlineStr">
        <is>
          <t xml:space="preserve">        (r.errors.length ? ` First problem: game ${r.errors[0].game}: ${r.errors[0].error}` : ""));</t>
        </is>
      </c>
    </row>
    <row r="3003">
      <c r="A3003" s="61" t="n">
        <v>35</v>
      </c>
      <c r="B3003" s="62" t="inlineStr">
        <is>
          <t xml:space="preserve">    } catch (err) {</t>
        </is>
      </c>
    </row>
    <row r="3004">
      <c r="A3004" s="61" t="n">
        <v>36</v>
      </c>
      <c r="B3004" s="62" t="inlineStr">
        <is>
          <t xml:space="preserve">      setUpload(err instanceof ApiError ? err.message : "Upload failed.");</t>
        </is>
      </c>
    </row>
    <row r="3005">
      <c r="A3005" s="61" t="n">
        <v>37</v>
      </c>
      <c r="B3005" s="62" t="inlineStr">
        <is>
          <t xml:space="preserve">    }</t>
        </is>
      </c>
    </row>
    <row r="3006">
      <c r="A3006" s="61" t="n">
        <v>38</v>
      </c>
      <c r="B3006" s="62" t="inlineStr">
        <is>
          <t xml:space="preserve">  }</t>
        </is>
      </c>
    </row>
    <row r="3007">
      <c r="A3007" s="61" t="n">
        <v>39</v>
      </c>
      <c r="B3007" s="62" t="n"/>
    </row>
    <row r="3008">
      <c r="A3008" s="61" t="n">
        <v>40</v>
      </c>
      <c r="B3008" s="62" t="inlineStr">
        <is>
          <t xml:space="preserve">  return (</t>
        </is>
      </c>
    </row>
    <row r="3009">
      <c r="A3009" s="61" t="n">
        <v>41</v>
      </c>
      <c r="B3009" s="62" t="inlineStr">
        <is>
          <t xml:space="preserve">    &lt;section className="import"&gt;</t>
        </is>
      </c>
    </row>
    <row r="3010">
      <c r="A3010" s="61" t="n">
        <v>42</v>
      </c>
      <c r="B3010" s="62" t="inlineStr">
        <is>
          <t xml:space="preserve">      &lt;h1&gt;Analyse your games&lt;/h1&gt;</t>
        </is>
      </c>
    </row>
    <row r="3011">
      <c r="A3011" s="61" t="n">
        <v>43</v>
      </c>
      <c r="B3011" s="62" t="inlineStr">
        <is>
          <t xml:space="preserve">      &lt;form onSubmit={start}&gt;</t>
        </is>
      </c>
    </row>
    <row r="3012">
      <c r="A3012" s="61" t="n">
        <v>44</v>
      </c>
      <c r="B3012" s="62" t="inlineStr">
        <is>
          <t xml:space="preserve">        &lt;label&gt;Lichess username &lt;input value={username} onChange={(e) =&gt; setUsername(e.target.value)}</t>
        </is>
      </c>
    </row>
    <row r="3013">
      <c r="A3013" s="61" t="n">
        <v>45</v>
      </c>
      <c r="B3013" s="62" t="inlineStr">
        <is>
          <t xml:space="preserve">          pattern="[A-Za-z0-9_\-]{2,30}" required /&gt;&lt;/label&gt;</t>
        </is>
      </c>
    </row>
    <row r="3014">
      <c r="A3014" s="61" t="n">
        <v>46</v>
      </c>
      <c r="B3014" s="62" t="inlineStr">
        <is>
          <t xml:space="preserve">        &lt;label&gt;How many recent games &lt;input type="number" min={1} max={200} value={maxGames}</t>
        </is>
      </c>
    </row>
    <row r="3015">
      <c r="A3015" s="61" t="n">
        <v>47</v>
      </c>
      <c r="B3015" s="62" t="inlineStr">
        <is>
          <t xml:space="preserve">          onChange={(e) =&gt; setMaxGames(Number(e.target.value))} /&gt;&lt;/label&gt;</t>
        </is>
      </c>
    </row>
    <row r="3016">
      <c r="A3016" s="61" t="n">
        <v>48</v>
      </c>
      <c r="B3016" s="62" t="inlineStr">
        <is>
          <t xml:space="preserve">        &lt;button className="primary" disabled={!!importId}&gt;Import&lt;/button&gt;</t>
        </is>
      </c>
    </row>
    <row r="3017">
      <c r="A3017" s="61" t="n">
        <v>49</v>
      </c>
      <c r="B3017" s="62" t="inlineStr">
        <is>
          <t xml:space="preserve">        &lt;p className="muted"&gt;We read public games only. Entering a username does not prove you own the account.&lt;/p&gt;</t>
        </is>
      </c>
    </row>
    <row r="3018">
      <c r="A3018" s="61" t="n">
        <v>50</v>
      </c>
      <c r="B3018" s="62" t="inlineStr">
        <is>
          <t xml:space="preserve">      &lt;/form&gt;</t>
        </is>
      </c>
    </row>
    <row r="3019">
      <c r="A3019" s="61" t="n">
        <v>51</v>
      </c>
      <c r="B3019" s="62" t="inlineStr">
        <is>
          <t xml:space="preserve">      {error &amp;&amp; &lt;p className="error" role="alert"&gt;{error}&lt;/p&gt;}</t>
        </is>
      </c>
    </row>
    <row r="3020">
      <c r="A3020" s="61" t="n">
        <v>52</v>
      </c>
      <c r="B3020" s="62" t="inlineStr">
        <is>
          <t xml:space="preserve">      {importId &amp;&amp; &lt;ImportProgress id={importId} /&gt;}</t>
        </is>
      </c>
    </row>
    <row r="3021">
      <c r="A3021" s="61" t="n">
        <v>53</v>
      </c>
      <c r="B3021" s="62" t="n"/>
    </row>
    <row r="3022">
      <c r="A3022" s="61" t="n">
        <v>54</v>
      </c>
      <c r="B3022" s="62" t="inlineStr">
        <is>
          <t xml:space="preserve">      &lt;h2&gt;Or upload a PGN file&lt;/h2&gt;</t>
        </is>
      </c>
    </row>
    <row r="3023">
      <c r="A3023" s="61" t="n">
        <v>55</v>
      </c>
      <c r="B3023" s="62" t="inlineStr">
        <is>
          <t xml:space="preserve">      &lt;form onSubmit={uploadPgn}&gt;</t>
        </is>
      </c>
    </row>
    <row r="3024">
      <c r="A3024" s="61" t="n">
        <v>56</v>
      </c>
      <c r="B3024" s="62" t="inlineStr">
        <is>
          <t xml:space="preserve">        &lt;input type="file" name="file" accept=".pgn,text/plain" required /&gt;</t>
        </is>
      </c>
    </row>
    <row r="3025">
      <c r="A3025" s="61" t="n">
        <v>57</v>
      </c>
      <c r="B3025" s="62" t="inlineStr">
        <is>
          <t xml:space="preserve">        &lt;label&gt;Your name in the PGN (optional) &lt;input name="player_name" maxLength={40} /&gt;&lt;/label&gt;</t>
        </is>
      </c>
    </row>
    <row r="3026">
      <c r="A3026" s="61" t="n">
        <v>58</v>
      </c>
      <c r="B3026" s="62" t="inlineStr">
        <is>
          <t xml:space="preserve">        &lt;label&gt;Or your colour</t>
        </is>
      </c>
    </row>
    <row r="3027">
      <c r="A3027" s="61" t="n">
        <v>59</v>
      </c>
      <c r="B3027" s="62" t="inlineStr">
        <is>
          <t xml:space="preserve">          &lt;select name="player_color" defaultValue="auto"&gt;</t>
        </is>
      </c>
    </row>
    <row r="3028">
      <c r="A3028" s="61" t="n">
        <v>60</v>
      </c>
      <c r="B3028" s="62" t="inlineStr">
        <is>
          <t xml:space="preserve">            &lt;option value="auto"&gt;Detect from name&lt;/option&gt;&lt;option value="white"&gt;White&lt;/option&gt;&lt;option value="black"&gt;Black&lt;/option&gt;</t>
        </is>
      </c>
    </row>
    <row r="3029">
      <c r="A3029" s="61" t="n">
        <v>61</v>
      </c>
      <c r="B3029" s="62" t="inlineStr">
        <is>
          <t xml:space="preserve">          &lt;/select&gt;</t>
        </is>
      </c>
    </row>
    <row r="3030">
      <c r="A3030" s="61" t="n">
        <v>62</v>
      </c>
      <c r="B3030" s="62" t="inlineStr">
        <is>
          <t xml:space="preserve">        &lt;/label&gt;</t>
        </is>
      </c>
    </row>
    <row r="3031">
      <c r="A3031" s="61" t="n">
        <v>63</v>
      </c>
      <c r="B3031" s="62" t="inlineStr">
        <is>
          <t xml:space="preserve">        &lt;button&gt;Upload&lt;/button&gt;</t>
        </is>
      </c>
    </row>
    <row r="3032">
      <c r="A3032" s="61" t="n">
        <v>64</v>
      </c>
      <c r="B3032" s="62" t="inlineStr">
        <is>
          <t xml:space="preserve">      &lt;/form&gt;</t>
        </is>
      </c>
    </row>
    <row r="3033">
      <c r="A3033" s="61" t="n">
        <v>65</v>
      </c>
      <c r="B3033" s="62" t="inlineStr">
        <is>
          <t xml:space="preserve">      {upload &amp;&amp; &lt;p aria-live="polite"&gt;{upload}&lt;/p&gt;}</t>
        </is>
      </c>
    </row>
    <row r="3034">
      <c r="A3034" s="61" t="n">
        <v>66</v>
      </c>
      <c r="B3034" s="62" t="inlineStr">
        <is>
          <t xml:space="preserve">    &lt;/section&gt;</t>
        </is>
      </c>
    </row>
    <row r="3035">
      <c r="A3035" s="61" t="n">
        <v>67</v>
      </c>
      <c r="B3035" s="62" t="inlineStr">
        <is>
          <t xml:space="preserve">  );</t>
        </is>
      </c>
    </row>
    <row r="3036">
      <c r="A3036" s="61" t="n">
        <v>68</v>
      </c>
      <c r="B3036" s="62" t="inlineStr">
        <is>
          <t>}</t>
        </is>
      </c>
    </row>
    <row r="3037">
      <c r="A3037" s="61" t="n">
        <v>69</v>
      </c>
      <c r="B3037" s="62" t="n"/>
    </row>
    <row r="3038">
      <c r="A3038" s="61" t="n">
        <v>70</v>
      </c>
      <c r="B3038" s="62" t="inlineStr">
        <is>
          <t>function ImportProgress({ id }: { id: string }) {</t>
        </is>
      </c>
    </row>
    <row r="3039">
      <c r="A3039" s="61" t="n">
        <v>71</v>
      </c>
      <c r="B3039" s="62" t="inlineStr">
        <is>
          <t xml:space="preserve">  const { data } = usePolling(() =&gt; api&lt;ImportRun&gt;(`/v1/imports/${id}`),</t>
        </is>
      </c>
    </row>
    <row r="3040">
      <c r="A3040" s="61" t="n">
        <v>72</v>
      </c>
      <c r="B3040" s="62" t="inlineStr">
        <is>
          <t xml:space="preserve">    (r) =&gt; DONE.includes(r.state) &amp;&amp; r.analyzed &gt;= r.eligible, id, 2000);</t>
        </is>
      </c>
    </row>
    <row r="3041">
      <c r="A3041" s="61" t="n">
        <v>73</v>
      </c>
      <c r="B3041" s="62" t="inlineStr">
        <is>
          <t xml:space="preserve">  if (!data) return &lt;p&gt;Starting…&lt;/p&gt;;</t>
        </is>
      </c>
    </row>
    <row r="3042">
      <c r="A3042" s="61" t="n">
        <v>74</v>
      </c>
      <c r="B3042" s="62" t="inlineStr">
        <is>
          <t xml:space="preserve">  const cancel = () =&gt; data.job_id &amp;&amp; post(`/v1/jobs/${data.job_id}/cancel`);</t>
        </is>
      </c>
    </row>
    <row r="3043">
      <c r="A3043" s="61" t="n">
        <v>75</v>
      </c>
      <c r="B3043" s="62" t="inlineStr">
        <is>
          <t xml:space="preserve">  return (</t>
        </is>
      </c>
    </row>
    <row r="3044">
      <c r="A3044" s="61" t="n">
        <v>76</v>
      </c>
      <c r="B3044" s="62" t="inlineStr">
        <is>
          <t xml:space="preserve">    &lt;div className="progress-box" aria-live="polite"&gt;</t>
        </is>
      </c>
    </row>
    <row r="3045">
      <c r="A3045" s="61" t="n">
        <v>77</v>
      </c>
      <c r="B3045" s="62" t="inlineStr">
        <is>
          <t xml:space="preserve">      &lt;p&gt;Status: {data.state}{data.error_code ? ` (${data.error_code})` : ""}&lt;/p&gt;</t>
        </is>
      </c>
    </row>
    <row r="3046">
      <c r="A3046" s="61" t="n">
        <v>78</v>
      </c>
      <c r="B3046" s="62" t="inlineStr">
        <is>
          <t xml:space="preserve">      &lt;ul&gt;</t>
        </is>
      </c>
    </row>
    <row r="3047">
      <c r="A3047" s="61" t="n">
        <v>79</v>
      </c>
      <c r="B3047" s="62" t="inlineStr">
        <is>
          <t xml:space="preserve">        &lt;li&gt;Fetched: {data.fetched}&lt;/li&gt;</t>
        </is>
      </c>
    </row>
    <row r="3048">
      <c r="A3048" s="61" t="n">
        <v>80</v>
      </c>
      <c r="B3048" s="62" t="inlineStr">
        <is>
          <t xml:space="preserve">        &lt;li&gt;Eligible: {data.eligible} · Excluded: {data.excluded}&lt;/li&gt;</t>
        </is>
      </c>
    </row>
    <row r="3049">
      <c r="A3049" s="61" t="n">
        <v>81</v>
      </c>
      <c r="B3049" s="62" t="inlineStr">
        <is>
          <t xml:space="preserve">        &lt;li&gt;Analysed: {data.analyzed} of {data.eligible}&lt;/li&gt;</t>
        </is>
      </c>
    </row>
    <row r="3050">
      <c r="A3050" s="61" t="n">
        <v>82</v>
      </c>
      <c r="B3050" s="62" t="inlineStr">
        <is>
          <t xml:space="preserve">      &lt;/ul&gt;</t>
        </is>
      </c>
    </row>
    <row r="3051">
      <c r="A3051" s="61" t="n">
        <v>83</v>
      </c>
      <c r="B3051" s="62" t="inlineStr">
        <is>
          <t xml:space="preserve">      {data.state === "running" &amp;&amp; &lt;button onClick={cancel}&gt;Cancel import&lt;/button&gt;}</t>
        </is>
      </c>
    </row>
    <row r="3052">
      <c r="A3052" s="61" t="n">
        <v>84</v>
      </c>
      <c r="B3052" s="62" t="inlineStr">
        <is>
          <t xml:space="preserve">      {data.analyzed &gt; 0 &amp;&amp; &lt;Link to="/games"&gt;See analysed games →&lt;/Link&gt;}</t>
        </is>
      </c>
    </row>
    <row r="3053">
      <c r="A3053" s="61" t="n">
        <v>85</v>
      </c>
      <c r="B3053" s="62" t="inlineStr">
        <is>
          <t xml:space="preserve">    &lt;/div&gt;</t>
        </is>
      </c>
    </row>
    <row r="3054">
      <c r="A3054" s="61" t="n">
        <v>86</v>
      </c>
      <c r="B3054" s="62" t="inlineStr">
        <is>
          <t xml:space="preserve">  );</t>
        </is>
      </c>
    </row>
    <row r="3055">
      <c r="A3055" s="61" t="n">
        <v>87</v>
      </c>
      <c r="B3055" s="62" t="inlineStr">
        <is>
          <t>}</t>
        </is>
      </c>
    </row>
    <row r="3058">
      <c r="A3058" s="60" t="inlineStr">
        <is>
          <t>C49</t>
        </is>
      </c>
      <c r="B3058" s="60" t="inlineStr">
        <is>
          <t>apps/web/src/pages/GamesPage.tsx   ·   Phase P7   ·   List of the guest's games with analysis state.</t>
        </is>
      </c>
    </row>
    <row r="3059">
      <c r="B3059" s="55" t="inlineStr">
        <is>
          <t>↑ back to Code Index</t>
        </is>
      </c>
    </row>
    <row r="3060">
      <c r="A3060" s="61" t="n">
        <v>1</v>
      </c>
      <c r="B3060" s="62" t="inlineStr">
        <is>
          <t>import { useEffect, useState } from "react";</t>
        </is>
      </c>
    </row>
    <row r="3061">
      <c r="A3061" s="61" t="n">
        <v>2</v>
      </c>
      <c r="B3061" s="62" t="inlineStr">
        <is>
          <t>import { Link } from "react-router-dom";</t>
        </is>
      </c>
    </row>
    <row r="3062">
      <c r="A3062" s="61" t="n">
        <v>3</v>
      </c>
      <c r="B3062" s="62" t="inlineStr">
        <is>
          <t>import { ApiError, api } from "../api/client";</t>
        </is>
      </c>
    </row>
    <row r="3063">
      <c r="A3063" s="61" t="n">
        <v>4</v>
      </c>
      <c r="B3063" s="62" t="inlineStr">
        <is>
          <t>import type { GameSummary } from "../api/types";</t>
        </is>
      </c>
    </row>
    <row r="3064">
      <c r="A3064" s="61" t="n">
        <v>5</v>
      </c>
      <c r="B3064" s="62" t="n"/>
    </row>
    <row r="3065">
      <c r="A3065" s="61" t="n">
        <v>6</v>
      </c>
      <c r="B3065" s="62" t="inlineStr">
        <is>
          <t>export function GamesPage() {</t>
        </is>
      </c>
    </row>
    <row r="3066">
      <c r="A3066" s="61" t="n">
        <v>7</v>
      </c>
      <c r="B3066" s="62" t="inlineStr">
        <is>
          <t xml:space="preserve">  const [games, setGames] = useState&lt;GameSummary[] | null&gt;(null);</t>
        </is>
      </c>
    </row>
    <row r="3067">
      <c r="A3067" s="61" t="n">
        <v>8</v>
      </c>
      <c r="B3067" s="62" t="inlineStr">
        <is>
          <t xml:space="preserve">  const [error, setError] = useState&lt;string | null&gt;(null);</t>
        </is>
      </c>
    </row>
    <row r="3068">
      <c r="A3068" s="61" t="n">
        <v>9</v>
      </c>
      <c r="B3068" s="62" t="inlineStr">
        <is>
          <t xml:space="preserve">  useEffect(() =&gt; {</t>
        </is>
      </c>
    </row>
    <row r="3069">
      <c r="A3069" s="61" t="n">
        <v>10</v>
      </c>
      <c r="B3069" s="62" t="inlineStr">
        <is>
          <t xml:space="preserve">    api&lt;GameSummary[]&gt;("/v1/games").then(setGames)</t>
        </is>
      </c>
    </row>
    <row r="3070">
      <c r="A3070" s="61" t="n">
        <v>11</v>
      </c>
      <c r="B3070" s="62" t="inlineStr">
        <is>
          <t xml:space="preserve">      .catch((e) =&gt; setError(e instanceof ApiError ? e.message : "Could not load games."));</t>
        </is>
      </c>
    </row>
    <row r="3071">
      <c r="A3071" s="61" t="n">
        <v>12</v>
      </c>
      <c r="B3071" s="62" t="inlineStr">
        <is>
          <t xml:space="preserve">  }, []);</t>
        </is>
      </c>
    </row>
    <row r="3072">
      <c r="A3072" s="61" t="n">
        <v>13</v>
      </c>
      <c r="B3072" s="62" t="inlineStr">
        <is>
          <t xml:space="preserve">  if (error) return &lt;p className="error" role="alert"&gt;{error}&lt;/p&gt;;</t>
        </is>
      </c>
    </row>
    <row r="3073">
      <c r="A3073" s="61" t="n">
        <v>14</v>
      </c>
      <c r="B3073" s="62" t="inlineStr">
        <is>
          <t xml:space="preserve">  if (!games) return &lt;p&gt;Loading…&lt;/p&gt;;</t>
        </is>
      </c>
    </row>
    <row r="3074">
      <c r="A3074" s="61" t="n">
        <v>15</v>
      </c>
      <c r="B3074" s="62" t="inlineStr">
        <is>
          <t xml:space="preserve">  if (games.length === 0) return &lt;p&gt;No games yet. &lt;Link to="/play"&gt;Play one&lt;/Link&gt; or &lt;Link to="/import"&gt;import your history&lt;/Link&gt;.&lt;/p&gt;;</t>
        </is>
      </c>
    </row>
    <row r="3075">
      <c r="A3075" s="61" t="n">
        <v>16</v>
      </c>
      <c r="B3075" s="62" t="inlineStr">
        <is>
          <t xml:space="preserve">  return (</t>
        </is>
      </c>
    </row>
    <row r="3076">
      <c r="A3076" s="61" t="n">
        <v>17</v>
      </c>
      <c r="B3076" s="62" t="inlineStr">
        <is>
          <t xml:space="preserve">    &lt;section&gt;</t>
        </is>
      </c>
    </row>
    <row r="3077">
      <c r="A3077" s="61" t="n">
        <v>18</v>
      </c>
      <c r="B3077" s="62" t="inlineStr">
        <is>
          <t xml:space="preserve">      &lt;h1&gt;Your games&lt;/h1&gt;</t>
        </is>
      </c>
    </row>
    <row r="3078">
      <c r="A3078" s="61" t="n">
        <v>19</v>
      </c>
      <c r="B3078" s="62" t="inlineStr">
        <is>
          <t xml:space="preserve">      &lt;table className="games"&gt;</t>
        </is>
      </c>
    </row>
    <row r="3079">
      <c r="A3079" s="61" t="n">
        <v>20</v>
      </c>
      <c r="B3079" s="62" t="inlineStr">
        <is>
          <t xml:space="preserve">        &lt;thead&gt;&lt;tr&gt;&lt;th&gt;Source&lt;/th&gt;&lt;th&gt;White&lt;/th&gt;&lt;th&gt;Black&lt;/th&gt;&lt;th&gt;Result&lt;/th&gt;&lt;th&gt;Analysis&lt;/th&gt;&lt;th /&gt;&lt;/tr&gt;&lt;/thead&gt;</t>
        </is>
      </c>
    </row>
    <row r="3080">
      <c r="A3080" s="61" t="n">
        <v>21</v>
      </c>
      <c r="B3080" s="62" t="inlineStr">
        <is>
          <t xml:space="preserve">        &lt;tbody&gt;</t>
        </is>
      </c>
    </row>
    <row r="3081">
      <c r="A3081" s="61" t="n">
        <v>22</v>
      </c>
      <c r="B3081" s="62" t="inlineStr">
        <is>
          <t xml:space="preserve">          {games.map((g) =&gt; (</t>
        </is>
      </c>
    </row>
    <row r="3082">
      <c r="A3082" s="61" t="n">
        <v>23</v>
      </c>
      <c r="B3082" s="62" t="inlineStr">
        <is>
          <t xml:space="preserve">            &lt;tr key={g.id}&gt;</t>
        </is>
      </c>
    </row>
    <row r="3083">
      <c r="A3083" s="61" t="n">
        <v>24</v>
      </c>
      <c r="B3083" s="62" t="inlineStr">
        <is>
          <t xml:space="preserve">              &lt;td&gt;{g.source}&lt;/td&gt;&lt;td&gt;{g.white_name}&lt;/td&gt;&lt;td&gt;{g.black_name}&lt;/td&gt;&lt;td&gt;{g.result}&lt;/td&gt;</t>
        </is>
      </c>
    </row>
    <row r="3084">
      <c r="A3084" s="61" t="n">
        <v>25</v>
      </c>
      <c r="B3084" s="62" t="inlineStr">
        <is>
          <t xml:space="preserve">              &lt;td&gt;{g.analysis_state ?? "queued"}&lt;/td&gt;</t>
        </is>
      </c>
    </row>
    <row r="3085">
      <c r="A3085" s="61" t="n">
        <v>26</v>
      </c>
      <c r="B3085" s="62" t="inlineStr">
        <is>
          <t xml:space="preserve">              &lt;td&gt;&lt;Link to={`/review/${g.id}`}&gt;Review&lt;/Link&gt;&lt;/td&gt;</t>
        </is>
      </c>
    </row>
    <row r="3086">
      <c r="A3086" s="61" t="n">
        <v>27</v>
      </c>
      <c r="B3086" s="62" t="inlineStr">
        <is>
          <t xml:space="preserve">            &lt;/tr&gt;</t>
        </is>
      </c>
    </row>
    <row r="3087">
      <c r="A3087" s="61" t="n">
        <v>28</v>
      </c>
      <c r="B3087" s="62" t="inlineStr">
        <is>
          <t xml:space="preserve">          ))}</t>
        </is>
      </c>
    </row>
    <row r="3088">
      <c r="A3088" s="61" t="n">
        <v>29</v>
      </c>
      <c r="B3088" s="62" t="inlineStr">
        <is>
          <t xml:space="preserve">        &lt;/tbody&gt;</t>
        </is>
      </c>
    </row>
    <row r="3089">
      <c r="A3089" s="61" t="n">
        <v>30</v>
      </c>
      <c r="B3089" s="62" t="inlineStr">
        <is>
          <t xml:space="preserve">      &lt;/table&gt;</t>
        </is>
      </c>
    </row>
    <row r="3090">
      <c r="A3090" s="61" t="n">
        <v>31</v>
      </c>
      <c r="B3090" s="62" t="inlineStr">
        <is>
          <t xml:space="preserve">    &lt;/section&gt;</t>
        </is>
      </c>
    </row>
    <row r="3091">
      <c r="A3091" s="61" t="n">
        <v>32</v>
      </c>
      <c r="B3091" s="62" t="inlineStr">
        <is>
          <t xml:space="preserve">  );</t>
        </is>
      </c>
    </row>
    <row r="3092">
      <c r="A3092" s="61" t="n">
        <v>33</v>
      </c>
      <c r="B3092" s="62" t="inlineStr">
        <is>
          <t>}</t>
        </is>
      </c>
    </row>
    <row r="3095">
      <c r="A3095" s="60" t="inlineStr">
        <is>
          <t>C50</t>
        </is>
      </c>
      <c r="B3095" s="60" t="inlineStr">
        <is>
          <t>services/backend/app/analysis/material.py   ·   Phase P8   ·   Material values and balance.</t>
        </is>
      </c>
    </row>
    <row r="3096">
      <c r="B3096" s="55" t="inlineStr">
        <is>
          <t>↑ back to Code Index</t>
        </is>
      </c>
    </row>
    <row r="3097">
      <c r="A3097" s="61" t="n">
        <v>1</v>
      </c>
      <c r="B3097" s="62" t="inlineStr">
        <is>
          <t>"""Material counting in pawn units. Material is NOT the same thing as an engine's centipawn score."""</t>
        </is>
      </c>
    </row>
    <row r="3098">
      <c r="A3098" s="61" t="n">
        <v>2</v>
      </c>
      <c r="B3098" s="62" t="inlineStr">
        <is>
          <t>import chess</t>
        </is>
      </c>
    </row>
    <row r="3099">
      <c r="A3099" s="61" t="n">
        <v>3</v>
      </c>
      <c r="B3099" s="62" t="n"/>
    </row>
    <row r="3100">
      <c r="A3100" s="61" t="n">
        <v>4</v>
      </c>
      <c r="B3100" s="62" t="inlineStr">
        <is>
          <t>VALUES = {</t>
        </is>
      </c>
    </row>
    <row r="3101">
      <c r="A3101" s="61" t="n">
        <v>5</v>
      </c>
      <c r="B3101" s="62" t="inlineStr">
        <is>
          <t xml:space="preserve">    chess.PAWN: 1,</t>
        </is>
      </c>
    </row>
    <row r="3102">
      <c r="A3102" s="61" t="n">
        <v>6</v>
      </c>
      <c r="B3102" s="62" t="inlineStr">
        <is>
          <t xml:space="preserve">    chess.KNIGHT: 3,</t>
        </is>
      </c>
    </row>
    <row r="3103">
      <c r="A3103" s="61" t="n">
        <v>7</v>
      </c>
      <c r="B3103" s="62" t="inlineStr">
        <is>
          <t xml:space="preserve">    chess.BISHOP: 3,</t>
        </is>
      </c>
    </row>
    <row r="3104">
      <c r="A3104" s="61" t="n">
        <v>8</v>
      </c>
      <c r="B3104" s="62" t="inlineStr">
        <is>
          <t xml:space="preserve">    chess.ROOK: 5,</t>
        </is>
      </c>
    </row>
    <row r="3105">
      <c r="A3105" s="61" t="n">
        <v>9</v>
      </c>
      <c r="B3105" s="62" t="inlineStr">
        <is>
          <t xml:space="preserve">    chess.QUEEN: 9,</t>
        </is>
      </c>
    </row>
    <row r="3106">
      <c r="A3106" s="61" t="n">
        <v>10</v>
      </c>
      <c r="B3106" s="62" t="inlineStr">
        <is>
          <t xml:space="preserve">    chess.KING: 0,</t>
        </is>
      </c>
    </row>
    <row r="3107">
      <c r="A3107" s="61" t="n">
        <v>11</v>
      </c>
      <c r="B3107" s="62" t="inlineStr">
        <is>
          <t>}</t>
        </is>
      </c>
    </row>
    <row r="3108">
      <c r="A3108" s="61" t="n">
        <v>12</v>
      </c>
      <c r="B3108" s="62" t="n"/>
    </row>
    <row r="3109">
      <c r="A3109" s="61" t="n">
        <v>13</v>
      </c>
      <c r="B3109" s="62" t="n"/>
    </row>
    <row r="3110">
      <c r="A3110" s="61" t="n">
        <v>14</v>
      </c>
      <c r="B3110" s="62" t="inlineStr">
        <is>
          <t>def material(board: chess.Board, color: chess.Color) -&gt; int:</t>
        </is>
      </c>
    </row>
    <row r="3111">
      <c r="A3111" s="61" t="n">
        <v>15</v>
      </c>
      <c r="B3111" s="62" t="inlineStr">
        <is>
          <t xml:space="preserve">    return sum(len(board.pieces(piece_type, color)) * value for piece_type, value in VALUES.items())</t>
        </is>
      </c>
    </row>
    <row r="3112">
      <c r="A3112" s="61" t="n">
        <v>16</v>
      </c>
      <c r="B3112" s="62" t="n"/>
    </row>
    <row r="3113">
      <c r="A3113" s="61" t="n">
        <v>17</v>
      </c>
      <c r="B3113" s="62" t="n"/>
    </row>
    <row r="3114">
      <c r="A3114" s="61" t="n">
        <v>18</v>
      </c>
      <c r="B3114" s="62" t="inlineStr">
        <is>
          <t>def balance(board: chess.Board, color: chess.Color) -&gt; int:</t>
        </is>
      </c>
    </row>
    <row r="3115">
      <c r="A3115" s="61" t="n">
        <v>19</v>
      </c>
      <c r="B3115" s="62" t="inlineStr">
        <is>
          <t xml:space="preserve">    """Positive = `color` has more material."""</t>
        </is>
      </c>
    </row>
    <row r="3116">
      <c r="A3116" s="61" t="n">
        <v>20</v>
      </c>
      <c r="B3116" s="62" t="inlineStr">
        <is>
          <t xml:space="preserve">    return material(board, color) - material(board, not color)</t>
        </is>
      </c>
    </row>
    <row r="3119">
      <c r="A3119" s="60" t="inlineStr">
        <is>
          <t>C51</t>
        </is>
      </c>
      <c r="B3119" s="60" t="inlineStr">
        <is>
          <t>services/backend/app/analysis/forks.py   ·   Phase P8   ·   Stage 1: knight-fork candidate generation.</t>
        </is>
      </c>
    </row>
    <row r="3120">
      <c r="B3120" s="55" t="inlineStr">
        <is>
          <t>↑ back to Code Index</t>
        </is>
      </c>
    </row>
    <row r="3121">
      <c r="A3121" s="61" t="n">
        <v>1</v>
      </c>
      <c r="B3121" s="62" t="inlineStr">
        <is>
          <t>"""Step 1 of diagnosis: cheap CANDIDATE generation for knight forks.</t>
        </is>
      </c>
    </row>
    <row r="3122">
      <c r="A3122" s="61" t="n">
        <v>2</v>
      </c>
      <c r="B3122" s="62" t="n"/>
    </row>
    <row r="3123">
      <c r="A3123" s="61" t="n">
        <v>3</v>
      </c>
      <c r="B3123" s="62" t="inlineStr">
        <is>
          <t>A candidate is only geometry: "this knight move attacks two or more worthwhile targets".</t>
        </is>
      </c>
    </row>
    <row r="3124">
      <c r="A3124" s="61" t="n">
        <v>4</v>
      </c>
      <c r="B3124" s="62" t="inlineStr">
        <is>
          <t>It is deliberately generous. Whether the fork actually WORKS is decided later, in verify.py,</t>
        </is>
      </c>
    </row>
    <row r="3125">
      <c r="A3125" s="61" t="n">
        <v>5</v>
      </c>
      <c r="B3125" s="62" t="inlineStr">
        <is>
          <t>because geometry cannot see a capturable knight, a counter-check, or a defended target.</t>
        </is>
      </c>
    </row>
    <row r="3126">
      <c r="A3126" s="61" t="n">
        <v>6</v>
      </c>
      <c r="B3126" s="62" t="inlineStr">
        <is>
          <t>"""</t>
        </is>
      </c>
    </row>
    <row r="3127">
      <c r="A3127" s="61" t="n">
        <v>7</v>
      </c>
      <c r="B3127" s="62" t="inlineStr">
        <is>
          <t>from dataclasses import dataclass</t>
        </is>
      </c>
    </row>
    <row r="3128">
      <c r="A3128" s="61" t="n">
        <v>8</v>
      </c>
      <c r="B3128" s="62" t="n"/>
    </row>
    <row r="3129">
      <c r="A3129" s="61" t="n">
        <v>9</v>
      </c>
      <c r="B3129" s="62" t="inlineStr">
        <is>
          <t>import chess</t>
        </is>
      </c>
    </row>
    <row r="3130">
      <c r="A3130" s="61" t="n">
        <v>10</v>
      </c>
      <c r="B3130" s="62" t="n"/>
    </row>
    <row r="3131">
      <c r="A3131" s="61" t="n">
        <v>11</v>
      </c>
      <c r="B3131" s="62" t="inlineStr">
        <is>
          <t>from app.analysis.material import VALUES</t>
        </is>
      </c>
    </row>
    <row r="3132">
      <c r="A3132" s="61" t="n">
        <v>12</v>
      </c>
      <c r="B3132" s="62" t="n"/>
    </row>
    <row r="3133">
      <c r="A3133" s="61" t="n">
        <v>13</v>
      </c>
      <c r="B3133" s="62" t="n"/>
    </row>
    <row r="3134">
      <c r="A3134" s="61" t="n">
        <v>14</v>
      </c>
      <c r="B3134" s="62" t="inlineStr">
        <is>
          <t>@dataclass(frozen=True)</t>
        </is>
      </c>
    </row>
    <row r="3135">
      <c r="A3135" s="61" t="n">
        <v>15</v>
      </c>
      <c r="B3135" s="62" t="inlineStr">
        <is>
          <t>class Target:</t>
        </is>
      </c>
    </row>
    <row r="3136">
      <c r="A3136" s="61" t="n">
        <v>16</v>
      </c>
      <c r="B3136" s="62" t="inlineStr">
        <is>
          <t xml:space="preserve">    square: chess.Square</t>
        </is>
      </c>
    </row>
    <row r="3137">
      <c r="A3137" s="61" t="n">
        <v>17</v>
      </c>
      <c r="B3137" s="62" t="inlineStr">
        <is>
          <t xml:space="preserve">    piece_type: chess.PieceType</t>
        </is>
      </c>
    </row>
    <row r="3138">
      <c r="A3138" s="61" t="n">
        <v>18</v>
      </c>
      <c r="B3138" s="62" t="n"/>
    </row>
    <row r="3139">
      <c r="A3139" s="61" t="n">
        <v>19</v>
      </c>
      <c r="B3139" s="62" t="inlineStr">
        <is>
          <t xml:space="preserve">    def to_json(self) -&gt; dict:</t>
        </is>
      </c>
    </row>
    <row r="3140">
      <c r="A3140" s="61" t="n">
        <v>20</v>
      </c>
      <c r="B3140" s="62" t="inlineStr">
        <is>
          <t xml:space="preserve">        return {"square": chess.square_name(self.square), "piece": chess.piece_name(self.piece_type)}</t>
        </is>
      </c>
    </row>
    <row r="3141">
      <c r="A3141" s="61" t="n">
        <v>21</v>
      </c>
      <c r="B3141" s="62" t="n"/>
    </row>
    <row r="3142">
      <c r="A3142" s="61" t="n">
        <v>22</v>
      </c>
      <c r="B3142" s="62" t="n"/>
    </row>
    <row r="3143">
      <c r="A3143" s="61" t="n">
        <v>23</v>
      </c>
      <c r="B3143" s="62" t="inlineStr">
        <is>
          <t>@dataclass(frozen=True)</t>
        </is>
      </c>
    </row>
    <row r="3144">
      <c r="A3144" s="61" t="n">
        <v>24</v>
      </c>
      <c r="B3144" s="62" t="inlineStr">
        <is>
          <t>class ForkCandidate:</t>
        </is>
      </c>
    </row>
    <row r="3145">
      <c r="A3145" s="61" t="n">
        <v>25</v>
      </c>
      <c r="B3145" s="62" t="inlineStr">
        <is>
          <t xml:space="preserve">    move: chess.Move</t>
        </is>
      </c>
    </row>
    <row r="3146">
      <c r="A3146" s="61" t="n">
        <v>26</v>
      </c>
      <c r="B3146" s="62" t="inlineStr">
        <is>
          <t xml:space="preserve">    targets: tuple[Target, ...]</t>
        </is>
      </c>
    </row>
    <row r="3147">
      <c r="A3147" s="61" t="n">
        <v>27</v>
      </c>
      <c r="B3147" s="62" t="n"/>
    </row>
    <row r="3148">
      <c r="A3148" s="61" t="n">
        <v>28</v>
      </c>
      <c r="B3148" s="62" t="n"/>
    </row>
    <row r="3149">
      <c r="A3149" s="61" t="n">
        <v>29</v>
      </c>
      <c r="B3149" s="62" t="inlineStr">
        <is>
          <t>def is_worthwhile_target(board_after: chess.Board, square: chess.Square, piece: chess.Piece) -&gt; bool:</t>
        </is>
      </c>
    </row>
    <row r="3150">
      <c r="A3150" s="61" t="n">
        <v>30</v>
      </c>
      <c r="B3150" s="62" t="inlineStr">
        <is>
          <t xml:space="preserve">    """King, anything worth more than a knight, or an undefended minor piece. Pawns never count."""</t>
        </is>
      </c>
    </row>
    <row r="3151">
      <c r="A3151" s="61" t="n">
        <v>31</v>
      </c>
      <c r="B3151" s="62" t="inlineStr">
        <is>
          <t xml:space="preserve">    if piece.piece_type == chess.PAWN:</t>
        </is>
      </c>
    </row>
    <row r="3152">
      <c r="A3152" s="61" t="n">
        <v>32</v>
      </c>
      <c r="B3152" s="62" t="inlineStr">
        <is>
          <t xml:space="preserve">        return False</t>
        </is>
      </c>
    </row>
    <row r="3153">
      <c r="A3153" s="61" t="n">
        <v>33</v>
      </c>
      <c r="B3153" s="62" t="inlineStr">
        <is>
          <t xml:space="preserve">    if piece.piece_type == chess.KING:</t>
        </is>
      </c>
    </row>
    <row r="3154">
      <c r="A3154" s="61" t="n">
        <v>34</v>
      </c>
      <c r="B3154" s="62" t="inlineStr">
        <is>
          <t xml:space="preserve">        return True</t>
        </is>
      </c>
    </row>
    <row r="3155">
      <c r="A3155" s="61" t="n">
        <v>35</v>
      </c>
      <c r="B3155" s="62" t="inlineStr">
        <is>
          <t xml:space="preserve">    if VALUES[piece.piece_type] &gt; VALUES[chess.KNIGHT]:</t>
        </is>
      </c>
    </row>
    <row r="3156">
      <c r="A3156" s="61" t="n">
        <v>36</v>
      </c>
      <c r="B3156" s="62" t="inlineStr">
        <is>
          <t xml:space="preserve">        return True</t>
        </is>
      </c>
    </row>
    <row r="3157">
      <c r="A3157" s="61" t="n">
        <v>37</v>
      </c>
      <c r="B3157" s="62" t="inlineStr">
        <is>
          <t xml:space="preserve">    defenders = board_after.attackers(piece.color, square)</t>
        </is>
      </c>
    </row>
    <row r="3158">
      <c r="A3158" s="61" t="n">
        <v>38</v>
      </c>
      <c r="B3158" s="62" t="inlineStr">
        <is>
          <t xml:space="preserve">    return len(defenders) == 0</t>
        </is>
      </c>
    </row>
    <row r="3159">
      <c r="A3159" s="61" t="n">
        <v>39</v>
      </c>
      <c r="B3159" s="62" t="n"/>
    </row>
    <row r="3160">
      <c r="A3160" s="61" t="n">
        <v>40</v>
      </c>
      <c r="B3160" s="62" t="n"/>
    </row>
    <row r="3161">
      <c r="A3161" s="61" t="n">
        <v>41</v>
      </c>
      <c r="B3161" s="62" t="inlineStr">
        <is>
          <t>def knight_fork_candidates(board: chess.Board) -&gt; list[ForkCandidate]:</t>
        </is>
      </c>
    </row>
    <row r="3162">
      <c r="A3162" s="61" t="n">
        <v>42</v>
      </c>
      <c r="B3162" s="62" t="inlineStr">
        <is>
          <t xml:space="preserve">    """All legal knight moves for the side to move that attack &gt;= 2 worthwhile targets."""</t>
        </is>
      </c>
    </row>
    <row r="3163">
      <c r="A3163" s="61" t="n">
        <v>43</v>
      </c>
      <c r="B3163" s="62" t="inlineStr">
        <is>
          <t xml:space="preserve">    us = board.turn</t>
        </is>
      </c>
    </row>
    <row r="3164">
      <c r="A3164" s="61" t="n">
        <v>44</v>
      </c>
      <c r="B3164" s="62" t="inlineStr">
        <is>
          <t xml:space="preserve">    candidates: list[ForkCandidate] = []</t>
        </is>
      </c>
    </row>
    <row r="3165">
      <c r="A3165" s="61" t="n">
        <v>45</v>
      </c>
      <c r="B3165" s="62" t="inlineStr">
        <is>
          <t xml:space="preserve">    for move in board.legal_moves:  # legal_moves already excludes pinned knights</t>
        </is>
      </c>
    </row>
    <row r="3166">
      <c r="A3166" s="61" t="n">
        <v>46</v>
      </c>
      <c r="B3166" s="62" t="inlineStr">
        <is>
          <t xml:space="preserve">        if board.piece_type_at(move.from_square) != chess.KNIGHT:</t>
        </is>
      </c>
    </row>
    <row r="3167">
      <c r="A3167" s="61" t="n">
        <v>47</v>
      </c>
      <c r="B3167" s="62" t="inlineStr">
        <is>
          <t xml:space="preserve">            continue</t>
        </is>
      </c>
    </row>
    <row r="3168">
      <c r="A3168" s="61" t="n">
        <v>48</v>
      </c>
      <c r="B3168" s="62" t="inlineStr">
        <is>
          <t xml:space="preserve">        after = board.copy(stack=False)</t>
        </is>
      </c>
    </row>
    <row r="3169">
      <c r="A3169" s="61" t="n">
        <v>49</v>
      </c>
      <c r="B3169" s="62" t="inlineStr">
        <is>
          <t xml:space="preserve">        after.push(move)</t>
        </is>
      </c>
    </row>
    <row r="3170">
      <c r="A3170" s="61" t="n">
        <v>50</v>
      </c>
      <c r="B3170" s="62" t="inlineStr">
        <is>
          <t xml:space="preserve">        targets = []</t>
        </is>
      </c>
    </row>
    <row r="3171">
      <c r="A3171" s="61" t="n">
        <v>51</v>
      </c>
      <c r="B3171" s="62" t="inlineStr">
        <is>
          <t xml:space="preserve">        for square in after.attacks(move.to_square):</t>
        </is>
      </c>
    </row>
    <row r="3172">
      <c r="A3172" s="61" t="n">
        <v>52</v>
      </c>
      <c r="B3172" s="62" t="inlineStr">
        <is>
          <t xml:space="preserve">            piece = after.piece_at(square)</t>
        </is>
      </c>
    </row>
    <row r="3173">
      <c r="A3173" s="61" t="n">
        <v>53</v>
      </c>
      <c r="B3173" s="62" t="inlineStr">
        <is>
          <t xml:space="preserve">            if piece is None or piece.color == us:</t>
        </is>
      </c>
    </row>
    <row r="3174">
      <c r="A3174" s="61" t="n">
        <v>54</v>
      </c>
      <c r="B3174" s="62" t="inlineStr">
        <is>
          <t xml:space="preserve">                continue</t>
        </is>
      </c>
    </row>
    <row r="3175">
      <c r="A3175" s="61" t="n">
        <v>55</v>
      </c>
      <c r="B3175" s="62" t="inlineStr">
        <is>
          <t xml:space="preserve">            if is_worthwhile_target(after, square, piece):</t>
        </is>
      </c>
    </row>
    <row r="3176">
      <c r="A3176" s="61" t="n">
        <v>56</v>
      </c>
      <c r="B3176" s="62" t="inlineStr">
        <is>
          <t xml:space="preserve">                targets.append(Target(square, piece.piece_type))</t>
        </is>
      </c>
    </row>
    <row r="3177">
      <c r="A3177" s="61" t="n">
        <v>57</v>
      </c>
      <c r="B3177" s="62" t="inlineStr">
        <is>
          <t xml:space="preserve">        if len(targets) &gt;= 2:</t>
        </is>
      </c>
    </row>
    <row r="3178">
      <c r="A3178" s="61" t="n">
        <v>58</v>
      </c>
      <c r="B3178" s="62" t="inlineStr">
        <is>
          <t xml:space="preserve">            candidates.append(ForkCandidate(move, tuple(targets)))</t>
        </is>
      </c>
    </row>
    <row r="3179">
      <c r="A3179" s="61" t="n">
        <v>59</v>
      </c>
      <c r="B3179" s="62" t="inlineStr">
        <is>
          <t xml:space="preserve">    # Most valuable target sets first, so a budget cap keeps the most promising ideas.</t>
        </is>
      </c>
    </row>
    <row r="3180">
      <c r="A3180" s="61" t="n">
        <v>60</v>
      </c>
      <c r="B3180" s="62" t="inlineStr">
        <is>
          <t xml:space="preserve">    candidates.sort(key=lambda c: -sum(VALUES[t.piece_type] or 100 for t in c.targets))</t>
        </is>
      </c>
    </row>
    <row r="3181">
      <c r="A3181" s="61" t="n">
        <v>61</v>
      </c>
      <c r="B3181" s="62" t="inlineStr">
        <is>
          <t xml:space="preserve">    return candidates</t>
        </is>
      </c>
    </row>
    <row r="3184">
      <c r="A3184" s="60" t="inlineStr">
        <is>
          <t>C52</t>
        </is>
      </c>
      <c r="B3184" s="60" t="inlineStr">
        <is>
          <t>services/backend/app/analysis/verify.py   ·   Phase P8   ·   Stage 2: engine-verified benefit and missed-opportunity check.</t>
        </is>
      </c>
    </row>
    <row r="3185">
      <c r="B3185" s="55" t="inlineStr">
        <is>
          <t>↑ back to Code Index</t>
        </is>
      </c>
    </row>
    <row r="3186">
      <c r="A3186" s="61" t="n">
        <v>1</v>
      </c>
      <c r="B3186" s="62" t="inlineStr">
        <is>
          <t>"""Step 2 of diagnosis: VERIFY that a fork candidate was a real, missed opportunity.</t>
        </is>
      </c>
    </row>
    <row r="3187">
      <c r="A3187" s="61" t="n">
        <v>2</v>
      </c>
      <c r="B3187" s="62" t="n"/>
    </row>
    <row r="3188">
      <c r="A3188" s="61" t="n">
        <v>3</v>
      </c>
      <c r="B3188" s="62" t="inlineStr">
        <is>
          <t>All three must hold:</t>
        </is>
      </c>
    </row>
    <row r="3189">
      <c r="A3189" s="61" t="n">
        <v>4</v>
      </c>
      <c r="B3189" s="62" t="inlineStr">
        <is>
          <t xml:space="preserve">  1. Benefit: in the engine's best line, we actually capture one of the forked (non-king) targets</t>
        </is>
      </c>
    </row>
    <row r="3190">
      <c r="A3190" s="61" t="n">
        <v>5</v>
      </c>
      <c r="B3190" s="62" t="inlineStr">
        <is>
          <t xml:space="preserve">     and end up with &gt;= MIN_MATERIAL_GAIN more material, or the line forces mate.</t>
        </is>
      </c>
    </row>
    <row r="3191">
      <c r="A3191" s="61" t="n">
        <v>6</v>
      </c>
      <c r="B3191" s="62" t="inlineStr">
        <is>
          <t xml:space="preserve">  2. Legality: every move of the line is legal when replayed (guards against bad data).</t>
        </is>
      </c>
    </row>
    <row r="3192">
      <c r="A3192" s="61" t="n">
        <v>7</v>
      </c>
      <c r="B3192" s="62" t="inlineStr">
        <is>
          <t xml:space="preserve">  3. Missed: the candidate scores &gt;= MISS_THRESHOLD_CP better than the move actually played,</t>
        </is>
      </c>
    </row>
    <row r="3193">
      <c r="A3193" s="61" t="n">
        <v>8</v>
      </c>
      <c r="B3193" s="62" t="inlineStr">
        <is>
          <t xml:space="preserve">     both measured from the same side's point of view with the same search limits.</t>
        </is>
      </c>
    </row>
    <row r="3194">
      <c r="A3194" s="61" t="n">
        <v>9</v>
      </c>
      <c r="B3194" s="62" t="inlineStr">
        <is>
          <t>"""</t>
        </is>
      </c>
    </row>
    <row r="3195">
      <c r="A3195" s="61" t="n">
        <v>10</v>
      </c>
      <c r="B3195" s="62" t="inlineStr">
        <is>
          <t>from dataclasses import dataclass</t>
        </is>
      </c>
    </row>
    <row r="3196">
      <c r="A3196" s="61" t="n">
        <v>11</v>
      </c>
      <c r="B3196" s="62" t="n"/>
    </row>
    <row r="3197">
      <c r="A3197" s="61" t="n">
        <v>12</v>
      </c>
      <c r="B3197" s="62" t="inlineStr">
        <is>
          <t>import chess</t>
        </is>
      </c>
    </row>
    <row r="3198">
      <c r="A3198" s="61" t="n">
        <v>13</v>
      </c>
      <c r="B3198" s="62" t="n"/>
    </row>
    <row r="3199">
      <c r="A3199" s="61" t="n">
        <v>14</v>
      </c>
      <c r="B3199" s="62" t="inlineStr">
        <is>
          <t>from app.analysis.engine import Evaluator, MoveEval</t>
        </is>
      </c>
    </row>
    <row r="3200">
      <c r="A3200" s="61" t="n">
        <v>15</v>
      </c>
      <c r="B3200" s="62" t="inlineStr">
        <is>
          <t>from app.analysis.forks import ForkCandidate</t>
        </is>
      </c>
    </row>
    <row r="3201">
      <c r="A3201" s="61" t="n">
        <v>16</v>
      </c>
      <c r="B3201" s="62" t="inlineStr">
        <is>
          <t>from app.analysis.material import VALUES, balance</t>
        </is>
      </c>
    </row>
    <row r="3202">
      <c r="A3202" s="61" t="n">
        <v>17</v>
      </c>
      <c r="B3202" s="62" t="n"/>
    </row>
    <row r="3203">
      <c r="A3203" s="61" t="n">
        <v>18</v>
      </c>
      <c r="B3203" s="62" t="inlineStr">
        <is>
          <t>MISS_THRESHOLD_CP = 150</t>
        </is>
      </c>
    </row>
    <row r="3204">
      <c r="A3204" s="61" t="n">
        <v>19</v>
      </c>
      <c r="B3204" s="62" t="inlineStr">
        <is>
          <t>MIN_MATERIAL_GAIN = 2</t>
        </is>
      </c>
    </row>
    <row r="3205">
      <c r="A3205" s="61" t="n">
        <v>20</v>
      </c>
      <c r="B3205" s="62" t="inlineStr">
        <is>
          <t>LINE_PLIES = 10</t>
        </is>
      </c>
    </row>
    <row r="3206">
      <c r="A3206" s="61" t="n">
        <v>21</v>
      </c>
      <c r="B3206" s="62" t="n"/>
    </row>
    <row r="3207">
      <c r="A3207" s="61" t="n">
        <v>22</v>
      </c>
      <c r="B3207" s="62" t="n"/>
    </row>
    <row r="3208">
      <c r="A3208" s="61" t="n">
        <v>23</v>
      </c>
      <c r="B3208" s="62" t="inlineStr">
        <is>
          <t>@dataclass</t>
        </is>
      </c>
    </row>
    <row r="3209">
      <c r="A3209" s="61" t="n">
        <v>24</v>
      </c>
      <c r="B3209" s="62" t="inlineStr">
        <is>
          <t>class VerifiedFork:</t>
        </is>
      </c>
    </row>
    <row r="3210">
      <c r="A3210" s="61" t="n">
        <v>25</v>
      </c>
      <c r="B3210" s="62" t="inlineStr">
        <is>
          <t xml:space="preserve">    candidate: ForkCandidate</t>
        </is>
      </c>
    </row>
    <row r="3211">
      <c r="A3211" s="61" t="n">
        <v>26</v>
      </c>
      <c r="B3211" s="62" t="inlineStr">
        <is>
          <t xml:space="preserve">    cand_eval: MoveEval</t>
        </is>
      </c>
    </row>
    <row r="3212">
      <c r="A3212" s="61" t="n">
        <v>27</v>
      </c>
      <c r="B3212" s="62" t="inlineStr">
        <is>
          <t xml:space="preserve">    actual_eval: MoveEval</t>
        </is>
      </c>
    </row>
    <row r="3213">
      <c r="A3213" s="61" t="n">
        <v>28</v>
      </c>
      <c r="B3213" s="62" t="inlineStr">
        <is>
          <t xml:space="preserve">    line: list[chess.Move]</t>
        </is>
      </c>
    </row>
    <row r="3214">
      <c r="A3214" s="61" t="n">
        <v>29</v>
      </c>
      <c r="B3214" s="62" t="inlineStr">
        <is>
          <t xml:space="preserve">    material_gain: int</t>
        </is>
      </c>
    </row>
    <row r="3215">
      <c r="A3215" s="61" t="n">
        <v>30</v>
      </c>
      <c r="B3215" s="62" t="n"/>
    </row>
    <row r="3216">
      <c r="A3216" s="61" t="n">
        <v>31</v>
      </c>
      <c r="B3216" s="62" t="inlineStr">
        <is>
          <t xml:space="preserve">    @property</t>
        </is>
      </c>
    </row>
    <row r="3217">
      <c r="A3217" s="61" t="n">
        <v>32</v>
      </c>
      <c r="B3217" s="62" t="inlineStr">
        <is>
          <t xml:space="preserve">    def gap(self) -&gt; int:</t>
        </is>
      </c>
    </row>
    <row r="3218">
      <c r="A3218" s="61" t="n">
        <v>33</v>
      </c>
      <c r="B3218" s="62" t="inlineStr">
        <is>
          <t xml:space="preserve">        return self.cand_eval.cp - self.actual_eval.cp</t>
        </is>
      </c>
    </row>
    <row r="3219">
      <c r="A3219" s="61" t="n">
        <v>34</v>
      </c>
      <c r="B3219" s="62" t="n"/>
    </row>
    <row r="3220">
      <c r="A3220" s="61" t="n">
        <v>35</v>
      </c>
      <c r="B3220" s="62" t="n"/>
    </row>
    <row r="3221">
      <c r="A3221" s="61" t="n">
        <v>36</v>
      </c>
      <c r="B3221" s="62" t="inlineStr">
        <is>
          <t>def line_benefit(board: chess.Board, candidate: ForkCandidate, line: list[chess.Move]) -&gt; tuple[bool, int] | None:</t>
        </is>
      </c>
    </row>
    <row r="3222">
      <c r="A3222" s="61" t="n">
        <v>37</v>
      </c>
      <c r="B3222" s="62" t="inlineStr">
        <is>
          <t xml:space="preserve">    """Replays the line. Returns (captured_a_target, material_gain) or None if the line is illegal."""</t>
        </is>
      </c>
    </row>
    <row r="3223">
      <c r="A3223" s="61" t="n">
        <v>38</v>
      </c>
      <c r="B3223" s="62" t="inlineStr">
        <is>
          <t xml:space="preserve">    us = board.turn</t>
        </is>
      </c>
    </row>
    <row r="3224">
      <c r="A3224" s="61" t="n">
        <v>39</v>
      </c>
      <c r="B3224" s="62" t="inlineStr">
        <is>
          <t xml:space="preserve">    replay = board.copy()</t>
        </is>
      </c>
    </row>
    <row r="3225">
      <c r="A3225" s="61" t="n">
        <v>40</v>
      </c>
      <c r="B3225" s="62" t="inlineStr">
        <is>
          <t xml:space="preserve">    start = balance(replay, us)</t>
        </is>
      </c>
    </row>
    <row r="3226">
      <c r="A3226" s="61" t="n">
        <v>41</v>
      </c>
      <c r="B3226" s="62" t="inlineStr">
        <is>
          <t xml:space="preserve">    target_squares = {t.square for t in candidate.targets if t.piece_type != chess.KING}</t>
        </is>
      </c>
    </row>
    <row r="3227">
      <c r="A3227" s="61" t="n">
        <v>42</v>
      </c>
      <c r="B3227" s="62" t="inlineStr">
        <is>
          <t xml:space="preserve">    captured_target = False</t>
        </is>
      </c>
    </row>
    <row r="3228">
      <c r="A3228" s="61" t="n">
        <v>43</v>
      </c>
      <c r="B3228" s="62" t="inlineStr">
        <is>
          <t xml:space="preserve">    for move in line:</t>
        </is>
      </c>
    </row>
    <row r="3229">
      <c r="A3229" s="61" t="n">
        <v>44</v>
      </c>
      <c r="B3229" s="62" t="inlineStr">
        <is>
          <t xml:space="preserve">        if move not in replay.legal_moves:</t>
        </is>
      </c>
    </row>
    <row r="3230">
      <c r="A3230" s="61" t="n">
        <v>45</v>
      </c>
      <c r="B3230" s="62" t="inlineStr">
        <is>
          <t xml:space="preserve">            return None</t>
        </is>
      </c>
    </row>
    <row r="3231">
      <c r="A3231" s="61" t="n">
        <v>46</v>
      </c>
      <c r="B3231" s="62" t="inlineStr">
        <is>
          <t xml:space="preserve">        if replay.turn == us and move.to_square in target_squares and replay.is_capture(move):</t>
        </is>
      </c>
    </row>
    <row r="3232">
      <c r="A3232" s="61" t="n">
        <v>47</v>
      </c>
      <c r="B3232" s="62" t="inlineStr">
        <is>
          <t xml:space="preserve">            captured_target = True</t>
        </is>
      </c>
    </row>
    <row r="3233">
      <c r="A3233" s="61" t="n">
        <v>48</v>
      </c>
      <c r="B3233" s="62" t="inlineStr">
        <is>
          <t xml:space="preserve">        replay.push(move)</t>
        </is>
      </c>
    </row>
    <row r="3234">
      <c r="A3234" s="61" t="n">
        <v>49</v>
      </c>
      <c r="B3234" s="62" t="inlineStr">
        <is>
          <t xml:space="preserve">    gain = balance(replay, us) - start</t>
        </is>
      </c>
    </row>
    <row r="3235">
      <c r="A3235" s="61" t="n">
        <v>50</v>
      </c>
      <c r="B3235" s="62" t="inlineStr">
        <is>
          <t xml:space="preserve">    # If the line stops right after OUR capture and the opponent can recapture, assume they will.</t>
        </is>
      </c>
    </row>
    <row r="3236">
      <c r="A3236" s="61" t="n">
        <v>51</v>
      </c>
      <c r="B3236" s="62" t="inlineStr">
        <is>
          <t xml:space="preserve">    if line and replay.turn != us:</t>
        </is>
      </c>
    </row>
    <row r="3237">
      <c r="A3237" s="61" t="n">
        <v>52</v>
      </c>
      <c r="B3237" s="62" t="inlineStr">
        <is>
          <t xml:space="preserve">        last = line[-1]</t>
        </is>
      </c>
    </row>
    <row r="3238">
      <c r="A3238" s="61" t="n">
        <v>53</v>
      </c>
      <c r="B3238" s="62" t="inlineStr">
        <is>
          <t xml:space="preserve">        if replay.attackers(not us, last.to_square):</t>
        </is>
      </c>
    </row>
    <row r="3239">
      <c r="A3239" s="61" t="n">
        <v>54</v>
      </c>
      <c r="B3239" s="62" t="inlineStr">
        <is>
          <t xml:space="preserve">            piece = replay.piece_at(last.to_square)</t>
        </is>
      </c>
    </row>
    <row r="3240">
      <c r="A3240" s="61" t="n">
        <v>55</v>
      </c>
      <c r="B3240" s="62" t="inlineStr">
        <is>
          <t xml:space="preserve">            if piece is not None:</t>
        </is>
      </c>
    </row>
    <row r="3241">
      <c r="A3241" s="61" t="n">
        <v>56</v>
      </c>
      <c r="B3241" s="62" t="inlineStr">
        <is>
          <t xml:space="preserve">                gain -= VALUES[piece.piece_type]</t>
        </is>
      </c>
    </row>
    <row r="3242">
      <c r="A3242" s="61" t="n">
        <v>57</v>
      </c>
      <c r="B3242" s="62" t="inlineStr">
        <is>
          <t xml:space="preserve">    return captured_target, gain</t>
        </is>
      </c>
    </row>
    <row r="3243">
      <c r="A3243" s="61" t="n">
        <v>58</v>
      </c>
      <c r="B3243" s="62" t="n"/>
    </row>
    <row r="3244">
      <c r="A3244" s="61" t="n">
        <v>59</v>
      </c>
      <c r="B3244" s="62" t="n"/>
    </row>
    <row r="3245">
      <c r="A3245" s="61" t="n">
        <v>60</v>
      </c>
      <c r="B3245" s="62" t="inlineStr">
        <is>
          <t>def verify_fork(</t>
        </is>
      </c>
    </row>
    <row r="3246">
      <c r="A3246" s="61" t="n">
        <v>61</v>
      </c>
      <c r="B3246" s="62" t="inlineStr">
        <is>
          <t xml:space="preserve">    board: chess.Board,</t>
        </is>
      </c>
    </row>
    <row r="3247">
      <c r="A3247" s="61" t="n">
        <v>62</v>
      </c>
      <c r="B3247" s="62" t="inlineStr">
        <is>
          <t xml:space="preserve">    candidate: ForkCandidate,</t>
        </is>
      </c>
    </row>
    <row r="3248">
      <c r="A3248" s="61" t="n">
        <v>63</v>
      </c>
      <c r="B3248" s="62" t="inlineStr">
        <is>
          <t xml:space="preserve">    actual_eval: MoveEval,</t>
        </is>
      </c>
    </row>
    <row r="3249">
      <c r="A3249" s="61" t="n">
        <v>64</v>
      </c>
      <c r="B3249" s="62" t="inlineStr">
        <is>
          <t xml:space="preserve">    evaluator: Evaluator,</t>
        </is>
      </c>
    </row>
    <row r="3250">
      <c r="A3250" s="61" t="n">
        <v>65</v>
      </c>
      <c r="B3250" s="62" t="inlineStr">
        <is>
          <t>) -&gt; VerifiedFork | None:</t>
        </is>
      </c>
    </row>
    <row r="3251">
      <c r="A3251" s="61" t="n">
        <v>66</v>
      </c>
      <c r="B3251" s="62" t="inlineStr">
        <is>
          <t xml:space="preserve">    cand_eval = evaluator.eval_move(board, candidate.move)</t>
        </is>
      </c>
    </row>
    <row r="3252">
      <c r="A3252" s="61" t="n">
        <v>67</v>
      </c>
      <c r="B3252" s="62" t="inlineStr">
        <is>
          <t xml:space="preserve">    line = cand_eval.pv[:LINE_PLIES]</t>
        </is>
      </c>
    </row>
    <row r="3253">
      <c r="A3253" s="61" t="n">
        <v>68</v>
      </c>
      <c r="B3253" s="62" t="inlineStr">
        <is>
          <t xml:space="preserve">    if not line or line[0] != candidate.move:</t>
        </is>
      </c>
    </row>
    <row r="3254">
      <c r="A3254" s="61" t="n">
        <v>69</v>
      </c>
      <c r="B3254" s="62" t="inlineStr">
        <is>
          <t xml:space="preserve">        return None</t>
        </is>
      </c>
    </row>
    <row r="3255">
      <c r="A3255" s="61" t="n">
        <v>70</v>
      </c>
      <c r="B3255" s="62" t="inlineStr">
        <is>
          <t xml:space="preserve">    benefit = line_benefit(board, candidate, line)</t>
        </is>
      </c>
    </row>
    <row r="3256">
      <c r="A3256" s="61" t="n">
        <v>71</v>
      </c>
      <c r="B3256" s="62" t="inlineStr">
        <is>
          <t xml:space="preserve">    if benefit is None:</t>
        </is>
      </c>
    </row>
    <row r="3257">
      <c r="A3257" s="61" t="n">
        <v>72</v>
      </c>
      <c r="B3257" s="62" t="inlineStr">
        <is>
          <t xml:space="preserve">        return None</t>
        </is>
      </c>
    </row>
    <row r="3258">
      <c r="A3258" s="61" t="n">
        <v>73</v>
      </c>
      <c r="B3258" s="62" t="inlineStr">
        <is>
          <t xml:space="preserve">    captured_target, gain = benefit</t>
        </is>
      </c>
    </row>
    <row r="3259">
      <c r="A3259" s="61" t="n">
        <v>74</v>
      </c>
      <c r="B3259" s="62" t="inlineStr">
        <is>
          <t xml:space="preserve">    forced_mate = cand_eval.mate is not None and cand_eval.mate &gt; 0</t>
        </is>
      </c>
    </row>
    <row r="3260">
      <c r="A3260" s="61" t="n">
        <v>75</v>
      </c>
      <c r="B3260" s="62" t="inlineStr">
        <is>
          <t xml:space="preserve">    if not forced_mate and not (captured_target and gain &gt;= MIN_MATERIAL_GAIN):</t>
        </is>
      </c>
    </row>
    <row r="3261">
      <c r="A3261" s="61" t="n">
        <v>76</v>
      </c>
      <c r="B3261" s="62" t="inlineStr">
        <is>
          <t xml:space="preserve">        return None</t>
        </is>
      </c>
    </row>
    <row r="3262">
      <c r="A3262" s="61" t="n">
        <v>77</v>
      </c>
      <c r="B3262" s="62" t="inlineStr">
        <is>
          <t xml:space="preserve">    verified = VerifiedFork(candidate, cand_eval, actual_eval, line, gain)</t>
        </is>
      </c>
    </row>
    <row r="3263">
      <c r="A3263" s="61" t="n">
        <v>78</v>
      </c>
      <c r="B3263" s="62" t="inlineStr">
        <is>
          <t xml:space="preserve">    if verified.gap &lt; MISS_THRESHOLD_CP:</t>
        </is>
      </c>
    </row>
    <row r="3264">
      <c r="A3264" s="61" t="n">
        <v>79</v>
      </c>
      <c r="B3264" s="62" t="inlineStr">
        <is>
          <t xml:space="preserve">        return None  # the move played was about as good: not a mistake</t>
        </is>
      </c>
    </row>
    <row r="3265">
      <c r="A3265" s="61" t="n">
        <v>80</v>
      </c>
      <c r="B3265" s="62" t="inlineStr">
        <is>
          <t xml:space="preserve">    return verified</t>
        </is>
      </c>
    </row>
    <row r="3268">
      <c r="A3268" s="60" t="inlineStr">
        <is>
          <t>C53</t>
        </is>
      </c>
      <c r="B3268" s="60" t="inlineStr">
        <is>
          <t>services/backend/app/analysis/pipeline.py   ·   Phase P8   ·   Walks a game, verifies candidates, dedupes, builds evidence records.</t>
        </is>
      </c>
    </row>
    <row r="3269">
      <c r="B3269" s="55" t="inlineStr">
        <is>
          <t>↑ back to Code Index</t>
        </is>
      </c>
    </row>
    <row r="3270">
      <c r="A3270" s="61" t="n">
        <v>1</v>
      </c>
      <c r="B3270" s="62" t="inlineStr">
        <is>
          <t>"""Walks one game and produces evidence records for missed knight forks.</t>
        </is>
      </c>
    </row>
    <row r="3271">
      <c r="A3271" s="61" t="n">
        <v>2</v>
      </c>
      <c r="B3271" s="62" t="n"/>
    </row>
    <row r="3272">
      <c r="A3272" s="61" t="n">
        <v>3</v>
      </c>
      <c r="B3272" s="62" t="inlineStr">
        <is>
          <t>Pure logic: no database, no HTTP. The worker handler feeds it a game and an evaluator and saves the output.</t>
        </is>
      </c>
    </row>
    <row r="3273">
      <c r="A3273" s="61" t="n">
        <v>4</v>
      </c>
      <c r="B3273" s="62" t="inlineStr">
        <is>
          <t>"""</t>
        </is>
      </c>
    </row>
    <row r="3274">
      <c r="A3274" s="61" t="n">
        <v>5</v>
      </c>
      <c r="B3274" s="62" t="inlineStr">
        <is>
          <t>from collections.abc import Callable</t>
        </is>
      </c>
    </row>
    <row r="3275">
      <c r="A3275" s="61" t="n">
        <v>6</v>
      </c>
      <c r="B3275" s="62" t="inlineStr">
        <is>
          <t>from dataclasses import dataclass, field</t>
        </is>
      </c>
    </row>
    <row r="3276">
      <c r="A3276" s="61" t="n">
        <v>7</v>
      </c>
      <c r="B3276" s="62" t="n"/>
    </row>
    <row r="3277">
      <c r="A3277" s="61" t="n">
        <v>8</v>
      </c>
      <c r="B3277" s="62" t="inlineStr">
        <is>
          <t>import chess</t>
        </is>
      </c>
    </row>
    <row r="3278">
      <c r="A3278" s="61" t="n">
        <v>9</v>
      </c>
      <c r="B3278" s="62" t="n"/>
    </row>
    <row r="3279">
      <c r="A3279" s="61" t="n">
        <v>10</v>
      </c>
      <c r="B3279" s="62" t="inlineStr">
        <is>
          <t>from app.analysis.engine import Evaluator</t>
        </is>
      </c>
    </row>
    <row r="3280">
      <c r="A3280" s="61" t="n">
        <v>11</v>
      </c>
      <c r="B3280" s="62" t="inlineStr">
        <is>
          <t>from app.analysis.forks import knight_fork_candidates</t>
        </is>
      </c>
    </row>
    <row r="3281">
      <c r="A3281" s="61" t="n">
        <v>12</v>
      </c>
      <c r="B3281" s="62" t="inlineStr">
        <is>
          <t>from app.analysis.verify import VerifiedFork, verify_fork</t>
        </is>
      </c>
    </row>
    <row r="3282">
      <c r="A3282" s="61" t="n">
        <v>13</v>
      </c>
      <c r="B3282" s="62" t="inlineStr">
        <is>
          <t>from app.explain.templates import EXPLANATION_VERSION, explain_fork</t>
        </is>
      </c>
    </row>
    <row r="3283">
      <c r="A3283" s="61" t="n">
        <v>14</v>
      </c>
      <c r="B3283" s="62" t="n"/>
    </row>
    <row r="3284">
      <c r="A3284" s="61" t="n">
        <v>15</v>
      </c>
      <c r="B3284" s="62" t="inlineStr">
        <is>
          <t>PIPELINE_VERSION = "forks-v1"</t>
        </is>
      </c>
    </row>
    <row r="3285">
      <c r="A3285" s="61" t="n">
        <v>16</v>
      </c>
      <c r="B3285" s="62" t="n"/>
    </row>
    <row r="3286">
      <c r="A3286" s="61" t="n">
        <v>17</v>
      </c>
      <c r="B3286" s="62" t="n"/>
    </row>
    <row r="3287">
      <c r="A3287" s="61" t="n">
        <v>18</v>
      </c>
      <c r="B3287" s="62" t="inlineStr">
        <is>
          <t>@dataclass</t>
        </is>
      </c>
    </row>
    <row r="3288">
      <c r="A3288" s="61" t="n">
        <v>19</v>
      </c>
      <c r="B3288" s="62" t="inlineStr">
        <is>
          <t>class AnalysisResult:</t>
        </is>
      </c>
    </row>
    <row r="3289">
      <c r="A3289" s="61" t="n">
        <v>20</v>
      </c>
      <c r="B3289" s="62" t="inlineStr">
        <is>
          <t xml:space="preserve">    findings: list[dict] = field(default_factory=list)</t>
        </is>
      </c>
    </row>
    <row r="3290">
      <c r="A3290" s="61" t="n">
        <v>21</v>
      </c>
      <c r="B3290" s="62" t="inlineStr">
        <is>
          <t xml:space="preserve">    positions_total: int = 0</t>
        </is>
      </c>
    </row>
    <row r="3291">
      <c r="A3291" s="61" t="n">
        <v>22</v>
      </c>
      <c r="B3291" s="62" t="inlineStr">
        <is>
          <t xml:space="preserve">    positions_analyzed: int = 0</t>
        </is>
      </c>
    </row>
    <row r="3292">
      <c r="A3292" s="61" t="n">
        <v>23</v>
      </c>
      <c r="B3292" s="62" t="inlineStr">
        <is>
          <t xml:space="preserve">    complete: bool = True</t>
        </is>
      </c>
    </row>
    <row r="3293">
      <c r="A3293" s="61" t="n">
        <v>24</v>
      </c>
      <c r="B3293" s="62" t="n"/>
    </row>
    <row r="3294">
      <c r="A3294" s="61" t="n">
        <v>25</v>
      </c>
      <c r="B3294" s="62" t="n"/>
    </row>
    <row r="3295">
      <c r="A3295" s="61" t="n">
        <v>26</v>
      </c>
      <c r="B3295" s="62" t="inlineStr">
        <is>
          <t>def san_line(board: chess.Board, line: list[chess.Move]) -&gt; list[str]:</t>
        </is>
      </c>
    </row>
    <row r="3296">
      <c r="A3296" s="61" t="n">
        <v>27</v>
      </c>
      <c r="B3296" s="62" t="inlineStr">
        <is>
          <t xml:space="preserve">    replay = board.copy()</t>
        </is>
      </c>
    </row>
    <row r="3297">
      <c r="A3297" s="61" t="n">
        <v>28</v>
      </c>
      <c r="B3297" s="62" t="inlineStr">
        <is>
          <t xml:space="preserve">    out = []</t>
        </is>
      </c>
    </row>
    <row r="3298">
      <c r="A3298" s="61" t="n">
        <v>29</v>
      </c>
      <c r="B3298" s="62" t="inlineStr">
        <is>
          <t xml:space="preserve">    for move in line:</t>
        </is>
      </c>
    </row>
    <row r="3299">
      <c r="A3299" s="61" t="n">
        <v>30</v>
      </c>
      <c r="B3299" s="62" t="inlineStr">
        <is>
          <t xml:space="preserve">        out.append(replay.san(move))</t>
        </is>
      </c>
    </row>
    <row r="3300">
      <c r="A3300" s="61" t="n">
        <v>31</v>
      </c>
      <c r="B3300" s="62" t="inlineStr">
        <is>
          <t xml:space="preserve">        replay.push(move)</t>
        </is>
      </c>
    </row>
    <row r="3301">
      <c r="A3301" s="61" t="n">
        <v>32</v>
      </c>
      <c r="B3301" s="62" t="inlineStr">
        <is>
          <t xml:space="preserve">    return out</t>
        </is>
      </c>
    </row>
    <row r="3302">
      <c r="A3302" s="61" t="n">
        <v>33</v>
      </c>
      <c r="B3302" s="62" t="n"/>
    </row>
    <row r="3303">
      <c r="A3303" s="61" t="n">
        <v>34</v>
      </c>
      <c r="B3303" s="62" t="n"/>
    </row>
    <row r="3304">
      <c r="A3304" s="61" t="n">
        <v>35</v>
      </c>
      <c r="B3304" s="62" t="inlineStr">
        <is>
          <t>def to_record(board: chess.Board, ply: int, actual: chess.Move, found: VerifiedFork, evaluator: Evaluator) -&gt; dict:</t>
        </is>
      </c>
    </row>
    <row r="3305">
      <c r="A3305" s="61" t="n">
        <v>36</v>
      </c>
      <c r="B3305" s="62" t="inlineStr">
        <is>
          <t xml:space="preserve">    line_san = san_line(board, found.line)</t>
        </is>
      </c>
    </row>
    <row r="3306">
      <c r="A3306" s="61" t="n">
        <v>37</v>
      </c>
      <c r="B3306" s="62" t="inlineStr">
        <is>
          <t xml:space="preserve">    targets = [t.to_json() for t in found.candidate.targets]</t>
        </is>
      </c>
    </row>
    <row r="3307">
      <c r="A3307" s="61" t="n">
        <v>38</v>
      </c>
      <c r="B3307" s="62" t="inlineStr">
        <is>
          <t xml:space="preserve">    actual_san = board.san(actual)</t>
        </is>
      </c>
    </row>
    <row r="3308">
      <c r="A3308" s="61" t="n">
        <v>39</v>
      </c>
      <c r="B3308" s="62" t="inlineStr">
        <is>
          <t xml:space="preserve">    record = {</t>
        </is>
      </c>
    </row>
    <row r="3309">
      <c r="A3309" s="61" t="n">
        <v>40</v>
      </c>
      <c r="B3309" s="62" t="inlineStr">
        <is>
          <t xml:space="preserve">        "ply": ply,</t>
        </is>
      </c>
    </row>
    <row r="3310">
      <c r="A3310" s="61" t="n">
        <v>41</v>
      </c>
      <c r="B3310" s="62" t="inlineStr">
        <is>
          <t xml:space="preserve">        "concept": "knight_fork",</t>
        </is>
      </c>
    </row>
    <row r="3311">
      <c r="A3311" s="61" t="n">
        <v>42</v>
      </c>
      <c r="B3311" s="62" t="inlineStr">
        <is>
          <t xml:space="preserve">        "kind": "missed_opportunity",</t>
        </is>
      </c>
    </row>
    <row r="3312">
      <c r="A3312" s="61" t="n">
        <v>43</v>
      </c>
      <c r="B3312" s="62" t="inlineStr">
        <is>
          <t xml:space="preserve">        "fen_before": board.fen(),</t>
        </is>
      </c>
    </row>
    <row r="3313">
      <c r="A3313" s="61" t="n">
        <v>44</v>
      </c>
      <c r="B3313" s="62" t="inlineStr">
        <is>
          <t xml:space="preserve">        "actual_uci": actual.uci(),</t>
        </is>
      </c>
    </row>
    <row r="3314">
      <c r="A3314" s="61" t="n">
        <v>45</v>
      </c>
      <c r="B3314" s="62" t="inlineStr">
        <is>
          <t xml:space="preserve">        "actual_san": actual_san,</t>
        </is>
      </c>
    </row>
    <row r="3315">
      <c r="A3315" s="61" t="n">
        <v>46</v>
      </c>
      <c r="B3315" s="62" t="inlineStr">
        <is>
          <t xml:space="preserve">        "candidate_uci": found.candidate.move.uci(),</t>
        </is>
      </c>
    </row>
    <row r="3316">
      <c r="A3316" s="61" t="n">
        <v>47</v>
      </c>
      <c r="B3316" s="62" t="inlineStr">
        <is>
          <t xml:space="preserve">        "candidate_san": line_san[0],</t>
        </is>
      </c>
    </row>
    <row r="3317">
      <c r="A3317" s="61" t="n">
        <v>48</v>
      </c>
      <c r="B3317" s="62" t="inlineStr">
        <is>
          <t xml:space="preserve">        "targets": targets,</t>
        </is>
      </c>
    </row>
    <row r="3318">
      <c r="A3318" s="61" t="n">
        <v>49</v>
      </c>
      <c r="B3318" s="62" t="inlineStr">
        <is>
          <t xml:space="preserve">        "line_uci": [m.uci() for m in found.line],</t>
        </is>
      </c>
    </row>
    <row r="3319">
      <c r="A3319" s="61" t="n">
        <v>50</v>
      </c>
      <c r="B3319" s="62" t="inlineStr">
        <is>
          <t xml:space="preserve">        "line_san": line_san,</t>
        </is>
      </c>
    </row>
    <row r="3320">
      <c r="A3320" s="61" t="n">
        <v>51</v>
      </c>
      <c r="B3320" s="62" t="inlineStr">
        <is>
          <t xml:space="preserve">        "cp_actual": found.actual_eval.cp,</t>
        </is>
      </c>
    </row>
    <row r="3321">
      <c r="A3321" s="61" t="n">
        <v>52</v>
      </c>
      <c r="B3321" s="62" t="inlineStr">
        <is>
          <t xml:space="preserve">        "cp_candidate": found.cand_eval.cp,</t>
        </is>
      </c>
    </row>
    <row r="3322">
      <c r="A3322" s="61" t="n">
        <v>53</v>
      </c>
      <c r="B3322" s="62" t="inlineStr">
        <is>
          <t xml:space="preserve">        "mate_candidate": found.cand_eval.mate,</t>
        </is>
      </c>
    </row>
    <row r="3323">
      <c r="A3323" s="61" t="n">
        <v>54</v>
      </c>
      <c r="B3323" s="62" t="inlineStr">
        <is>
          <t xml:space="preserve">        "material_gain": found.material_gain,</t>
        </is>
      </c>
    </row>
    <row r="3324">
      <c r="A3324" s="61" t="n">
        <v>55</v>
      </c>
      <c r="B3324" s="62" t="inlineStr">
        <is>
          <t xml:space="preserve">        "engine_limits": evaluator.limits,</t>
        </is>
      </c>
    </row>
    <row r="3325">
      <c r="A3325" s="61" t="n">
        <v>56</v>
      </c>
      <c r="B3325" s="62" t="inlineStr">
        <is>
          <t xml:space="preserve">        "explanation_version": EXPLANATION_VERSION,</t>
        </is>
      </c>
    </row>
    <row r="3326">
      <c r="A3326" s="61" t="n">
        <v>57</v>
      </c>
      <c r="B3326" s="62" t="inlineStr">
        <is>
          <t xml:space="preserve">    }</t>
        </is>
      </c>
    </row>
    <row r="3327">
      <c r="A3327" s="61" t="n">
        <v>58</v>
      </c>
      <c r="B3327" s="62" t="inlineStr">
        <is>
          <t xml:space="preserve">    record["explanation"] = explain_fork(</t>
        </is>
      </c>
    </row>
    <row r="3328">
      <c r="A3328" s="61" t="n">
        <v>59</v>
      </c>
      <c r="B3328" s="62" t="inlineStr">
        <is>
          <t xml:space="preserve">        ply=ply,</t>
        </is>
      </c>
    </row>
    <row r="3329">
      <c r="A3329" s="61" t="n">
        <v>60</v>
      </c>
      <c r="B3329" s="62" t="inlineStr">
        <is>
          <t xml:space="preserve">        candidate_san=record["candidate_san"],</t>
        </is>
      </c>
    </row>
    <row r="3330">
      <c r="A3330" s="61" t="n">
        <v>61</v>
      </c>
      <c r="B3330" s="62" t="inlineStr">
        <is>
          <t xml:space="preserve">        actual_san=actual_san,</t>
        </is>
      </c>
    </row>
    <row r="3331">
      <c r="A3331" s="61" t="n">
        <v>62</v>
      </c>
      <c r="B3331" s="62" t="inlineStr">
        <is>
          <t xml:space="preserve">        targets=targets,</t>
        </is>
      </c>
    </row>
    <row r="3332">
      <c r="A3332" s="61" t="n">
        <v>63</v>
      </c>
      <c r="B3332" s="62" t="inlineStr">
        <is>
          <t xml:space="preserve">        line_san=line_san,</t>
        </is>
      </c>
    </row>
    <row r="3333">
      <c r="A3333" s="61" t="n">
        <v>64</v>
      </c>
      <c r="B3333" s="62" t="inlineStr">
        <is>
          <t xml:space="preserve">        material_gain=found.material_gain,</t>
        </is>
      </c>
    </row>
    <row r="3334">
      <c r="A3334" s="61" t="n">
        <v>65</v>
      </c>
      <c r="B3334" s="62" t="inlineStr">
        <is>
          <t xml:space="preserve">        mate=found.cand_eval.mate,</t>
        </is>
      </c>
    </row>
    <row r="3335">
      <c r="A3335" s="61" t="n">
        <v>66</v>
      </c>
      <c r="B3335" s="62" t="inlineStr">
        <is>
          <t xml:space="preserve">        depth=evaluator.limits.get("depth", 0),</t>
        </is>
      </c>
    </row>
    <row r="3336">
      <c r="A3336" s="61" t="n">
        <v>67</v>
      </c>
      <c r="B3336" s="62" t="inlineStr">
        <is>
          <t xml:space="preserve">    )</t>
        </is>
      </c>
    </row>
    <row r="3337">
      <c r="A3337" s="61" t="n">
        <v>68</v>
      </c>
      <c r="B3337" s="62" t="inlineStr">
        <is>
          <t xml:space="preserve">    return record</t>
        </is>
      </c>
    </row>
    <row r="3338">
      <c r="A3338" s="61" t="n">
        <v>69</v>
      </c>
      <c r="B3338" s="62" t="n"/>
    </row>
    <row r="3339">
      <c r="A3339" s="61" t="n">
        <v>70</v>
      </c>
      <c r="B3339" s="62" t="n"/>
    </row>
    <row r="3340">
      <c r="A3340" s="61" t="n">
        <v>71</v>
      </c>
      <c r="B3340" s="62" t="inlineStr">
        <is>
          <t>def analyze_game(</t>
        </is>
      </c>
    </row>
    <row r="3341">
      <c r="A3341" s="61" t="n">
        <v>72</v>
      </c>
      <c r="B3341" s="62" t="inlineStr">
        <is>
          <t xml:space="preserve">    initial_fen: str,</t>
        </is>
      </c>
    </row>
    <row r="3342">
      <c r="A3342" s="61" t="n">
        <v>73</v>
      </c>
      <c r="B3342" s="62" t="inlineStr">
        <is>
          <t xml:space="preserve">    moves_uci: list[str],</t>
        </is>
      </c>
    </row>
    <row r="3343">
      <c r="A3343" s="61" t="n">
        <v>74</v>
      </c>
      <c r="B3343" s="62" t="inlineStr">
        <is>
          <t xml:space="preserve">    player_color: str,</t>
        </is>
      </c>
    </row>
    <row r="3344">
      <c r="A3344" s="61" t="n">
        <v>75</v>
      </c>
      <c r="B3344" s="62" t="inlineStr">
        <is>
          <t xml:space="preserve">    evaluator: Evaluator,</t>
        </is>
      </c>
    </row>
    <row r="3345">
      <c r="A3345" s="61" t="n">
        <v>76</v>
      </c>
      <c r="B3345" s="62" t="inlineStr">
        <is>
          <t xml:space="preserve">    should_continue: Callable[[int, int], bool] = lambda done, total: True,</t>
        </is>
      </c>
    </row>
    <row r="3346">
      <c r="A3346" s="61" t="n">
        <v>77</v>
      </c>
      <c r="B3346" s="62" t="inlineStr">
        <is>
          <t xml:space="preserve">    max_candidates: int = 3,</t>
        </is>
      </c>
    </row>
    <row r="3347">
      <c r="A3347" s="61" t="n">
        <v>78</v>
      </c>
      <c r="B3347" s="62" t="inlineStr">
        <is>
          <t>) -&gt; AnalysisResult:</t>
        </is>
      </c>
    </row>
    <row r="3348">
      <c r="A3348" s="61" t="n">
        <v>79</v>
      </c>
      <c r="B3348" s="62" t="inlineStr">
        <is>
          <t xml:space="preserve">    us = chess.WHITE if player_color == "white" else chess.BLACK</t>
        </is>
      </c>
    </row>
    <row r="3349">
      <c r="A3349" s="61" t="n">
        <v>80</v>
      </c>
      <c r="B3349" s="62" t="inlineStr">
        <is>
          <t xml:space="preserve">    board = chess.Board(initial_fen)</t>
        </is>
      </c>
    </row>
    <row r="3350">
      <c r="A3350" s="61" t="n">
        <v>81</v>
      </c>
      <c r="B3350" s="62" t="inlineStr">
        <is>
          <t xml:space="preserve">    result = AnalysisResult()</t>
        </is>
      </c>
    </row>
    <row r="3351">
      <c r="A3351" s="61" t="n">
        <v>82</v>
      </c>
      <c r="B3351" s="62" t="inlineStr">
        <is>
          <t xml:space="preserve">    result.positions_total = sum(1 for i in range(len(moves_uci)) if (i % 2 == 0) == (board.turn == us))</t>
        </is>
      </c>
    </row>
    <row r="3352">
      <c r="A3352" s="61" t="n">
        <v>83</v>
      </c>
      <c r="B3352" s="62" t="inlineStr">
        <is>
          <t xml:space="preserve">    previous_key = None</t>
        </is>
      </c>
    </row>
    <row r="3353">
      <c r="A3353" s="61" t="n">
        <v>84</v>
      </c>
      <c r="B3353" s="62" t="inlineStr">
        <is>
          <t xml:space="preserve">    for ply, uci in enumerate(moves_uci):</t>
        </is>
      </c>
    </row>
    <row r="3354">
      <c r="A3354" s="61" t="n">
        <v>85</v>
      </c>
      <c r="B3354" s="62" t="inlineStr">
        <is>
          <t xml:space="preserve">        move = chess.Move.from_uci(uci)</t>
        </is>
      </c>
    </row>
    <row r="3355">
      <c r="A3355" s="61" t="n">
        <v>86</v>
      </c>
      <c r="B3355" s="62" t="inlineStr">
        <is>
          <t xml:space="preserve">        if board.turn == us:</t>
        </is>
      </c>
    </row>
    <row r="3356">
      <c r="A3356" s="61" t="n">
        <v>87</v>
      </c>
      <c r="B3356" s="62" t="inlineStr">
        <is>
          <t xml:space="preserve">            if not should_continue(result.positions_analyzed, result.positions_total):</t>
        </is>
      </c>
    </row>
    <row r="3357">
      <c r="A3357" s="61" t="n">
        <v>88</v>
      </c>
      <c r="B3357" s="62" t="inlineStr">
        <is>
          <t xml:space="preserve">                result.complete = False</t>
        </is>
      </c>
    </row>
    <row r="3358">
      <c r="A3358" s="61" t="n">
        <v>89</v>
      </c>
      <c r="B3358" s="62" t="inlineStr">
        <is>
          <t xml:space="preserve">                break</t>
        </is>
      </c>
    </row>
    <row r="3359">
      <c r="A3359" s="61" t="n">
        <v>90</v>
      </c>
      <c r="B3359" s="62" t="inlineStr">
        <is>
          <t xml:space="preserve">            candidates = [c for c in knight_fork_candidates(board) if c.move != move][:max_candidates]</t>
        </is>
      </c>
    </row>
    <row r="3360">
      <c r="A3360" s="61" t="n">
        <v>91</v>
      </c>
      <c r="B3360" s="62" t="inlineStr">
        <is>
          <t xml:space="preserve">            best: VerifiedFork | None = None</t>
        </is>
      </c>
    </row>
    <row r="3361">
      <c r="A3361" s="61" t="n">
        <v>92</v>
      </c>
      <c r="B3361" s="62" t="inlineStr">
        <is>
          <t xml:space="preserve">            if candidates:</t>
        </is>
      </c>
    </row>
    <row r="3362">
      <c r="A3362" s="61" t="n">
        <v>93</v>
      </c>
      <c r="B3362" s="62" t="inlineStr">
        <is>
          <t xml:space="preserve">                actual_eval = evaluator.eval_move(board, move)</t>
        </is>
      </c>
    </row>
    <row r="3363">
      <c r="A3363" s="61" t="n">
        <v>94</v>
      </c>
      <c r="B3363" s="62" t="inlineStr">
        <is>
          <t xml:space="preserve">                for candidate in candidates:</t>
        </is>
      </c>
    </row>
    <row r="3364">
      <c r="A3364" s="61" t="n">
        <v>95</v>
      </c>
      <c r="B3364" s="62" t="inlineStr">
        <is>
          <t xml:space="preserve">                    found = verify_fork(board, candidate, actual_eval, evaluator)</t>
        </is>
      </c>
    </row>
    <row r="3365">
      <c r="A3365" s="61" t="n">
        <v>96</v>
      </c>
      <c r="B3365" s="62" t="inlineStr">
        <is>
          <t xml:space="preserve">                    if found and (best is None or found.gap &gt; best.gap):</t>
        </is>
      </c>
    </row>
    <row r="3366">
      <c r="A3366" s="61" t="n">
        <v>97</v>
      </c>
      <c r="B3366" s="62" t="inlineStr">
        <is>
          <t xml:space="preserve">                        best = found</t>
        </is>
      </c>
    </row>
    <row r="3367">
      <c r="A3367" s="61" t="n">
        <v>98</v>
      </c>
      <c r="B3367" s="62" t="inlineStr">
        <is>
          <t xml:space="preserve">            if best is not None:</t>
        </is>
      </c>
    </row>
    <row r="3368">
      <c r="A3368" s="61" t="n">
        <v>99</v>
      </c>
      <c r="B3368" s="62" t="inlineStr">
        <is>
          <t xml:space="preserve">                key = (best.candidate.move.uci(), frozenset(t.square for t in best.candidate.targets))</t>
        </is>
      </c>
    </row>
    <row r="3369">
      <c r="A3369" s="61" t="n">
        <v>100</v>
      </c>
      <c r="B3369" s="62" t="inlineStr">
        <is>
          <t xml:space="preserve">                # The same unresolved fork on consecutive turns is ONE missed idea, not several.</t>
        </is>
      </c>
    </row>
    <row r="3370">
      <c r="A3370" s="61" t="n">
        <v>101</v>
      </c>
      <c r="B3370" s="62" t="inlineStr">
        <is>
          <t xml:space="preserve">                if key != previous_key:</t>
        </is>
      </c>
    </row>
    <row r="3371">
      <c r="A3371" s="61" t="n">
        <v>102</v>
      </c>
      <c r="B3371" s="62" t="inlineStr">
        <is>
          <t xml:space="preserve">                    result.findings.append(to_record(board, ply, move, best, evaluator))</t>
        </is>
      </c>
    </row>
    <row r="3372">
      <c r="A3372" s="61" t="n">
        <v>103</v>
      </c>
      <c r="B3372" s="62" t="inlineStr">
        <is>
          <t xml:space="preserve">                previous_key = key</t>
        </is>
      </c>
    </row>
    <row r="3373">
      <c r="A3373" s="61" t="n">
        <v>104</v>
      </c>
      <c r="B3373" s="62" t="inlineStr">
        <is>
          <t xml:space="preserve">            else:</t>
        </is>
      </c>
    </row>
    <row r="3374">
      <c r="A3374" s="61" t="n">
        <v>105</v>
      </c>
      <c r="B3374" s="62" t="inlineStr">
        <is>
          <t xml:space="preserve">                previous_key = None</t>
        </is>
      </c>
    </row>
    <row r="3375">
      <c r="A3375" s="61" t="n">
        <v>106</v>
      </c>
      <c r="B3375" s="62" t="inlineStr">
        <is>
          <t xml:space="preserve">            result.positions_analyzed += 1</t>
        </is>
      </c>
    </row>
    <row r="3376">
      <c r="A3376" s="61" t="n">
        <v>107</v>
      </c>
      <c r="B3376" s="62" t="inlineStr">
        <is>
          <t xml:space="preserve">        board.push(move)</t>
        </is>
      </c>
    </row>
    <row r="3377">
      <c r="A3377" s="61" t="n">
        <v>108</v>
      </c>
      <c r="B3377" s="62" t="inlineStr">
        <is>
          <t xml:space="preserve">    return result</t>
        </is>
      </c>
    </row>
    <row r="3380">
      <c r="A3380" s="60" t="inlineStr">
        <is>
          <t>C54</t>
        </is>
      </c>
      <c r="B3380" s="60" t="inlineStr">
        <is>
          <t>services/backend/tests/test_forks.py   ·   Phase P8   ·   Positive and negative detector tests with a fake evaluator.</t>
        </is>
      </c>
    </row>
    <row r="3381">
      <c r="B3381" s="55" t="inlineStr">
        <is>
          <t>↑ back to Code Index</t>
        </is>
      </c>
    </row>
    <row r="3382">
      <c r="A3382" s="61" t="n">
        <v>1</v>
      </c>
      <c r="B3382" s="62" t="inlineStr">
        <is>
          <t>"""Positive AND negative examples, written before trusting the detector."""</t>
        </is>
      </c>
    </row>
    <row r="3383">
      <c r="A3383" s="61" t="n">
        <v>2</v>
      </c>
      <c r="B3383" s="62" t="inlineStr">
        <is>
          <t>import chess</t>
        </is>
      </c>
    </row>
    <row r="3384">
      <c r="A3384" s="61" t="n">
        <v>3</v>
      </c>
      <c r="B3384" s="62" t="n"/>
    </row>
    <row r="3385">
      <c r="A3385" s="61" t="n">
        <v>4</v>
      </c>
      <c r="B3385" s="62" t="inlineStr">
        <is>
          <t>from app.analysis.engine import MoveEval</t>
        </is>
      </c>
    </row>
    <row r="3386">
      <c r="A3386" s="61" t="n">
        <v>5</v>
      </c>
      <c r="B3386" s="62" t="inlineStr">
        <is>
          <t>from app.analysis.forks import knight_fork_candidates</t>
        </is>
      </c>
    </row>
    <row r="3387">
      <c r="A3387" s="61" t="n">
        <v>6</v>
      </c>
      <c r="B3387" s="62" t="inlineStr">
        <is>
          <t>from app.analysis.pipeline import analyze_game</t>
        </is>
      </c>
    </row>
    <row r="3388">
      <c r="A3388" s="61" t="n">
        <v>7</v>
      </c>
      <c r="B3388" s="62" t="inlineStr">
        <is>
          <t>from app.analysis.verify import verify_fork</t>
        </is>
      </c>
    </row>
    <row r="3389">
      <c r="A3389" s="61" t="n">
        <v>8</v>
      </c>
      <c r="B3389" s="62" t="n"/>
    </row>
    <row r="3390">
      <c r="A3390" s="61" t="n">
        <v>9</v>
      </c>
      <c r="B3390" s="62" t="n"/>
    </row>
    <row r="3391">
      <c r="A3391" s="61" t="n">
        <v>10</v>
      </c>
      <c r="B3391" s="62" t="inlineStr">
        <is>
          <t>class FakeEvaluator:</t>
        </is>
      </c>
    </row>
    <row r="3392">
      <c r="A3392" s="61" t="n">
        <v>11</v>
      </c>
      <c r="B3392" s="62" t="inlineStr">
        <is>
          <t xml:space="preserve">    """Returns scripted evaluations: {(fen, uci): MoveEval}. Unknown moves score 0 with a 1-move PV."""</t>
        </is>
      </c>
    </row>
    <row r="3393">
      <c r="A3393" s="61" t="n">
        <v>12</v>
      </c>
      <c r="B3393" s="62" t="n"/>
    </row>
    <row r="3394">
      <c r="A3394" s="61" t="n">
        <v>13</v>
      </c>
      <c r="B3394" s="62" t="inlineStr">
        <is>
          <t xml:space="preserve">    name = "fake"</t>
        </is>
      </c>
    </row>
    <row r="3395">
      <c r="A3395" s="61" t="n">
        <v>14</v>
      </c>
      <c r="B3395" s="62" t="inlineStr">
        <is>
          <t xml:space="preserve">    limits = {"depth": 12}</t>
        </is>
      </c>
    </row>
    <row r="3396">
      <c r="A3396" s="61" t="n">
        <v>15</v>
      </c>
      <c r="B3396" s="62" t="n"/>
    </row>
    <row r="3397">
      <c r="A3397" s="61" t="n">
        <v>16</v>
      </c>
      <c r="B3397" s="62" t="inlineStr">
        <is>
          <t xml:space="preserve">    def __init__(self, scripted: dict):</t>
        </is>
      </c>
    </row>
    <row r="3398">
      <c r="A3398" s="61" t="n">
        <v>17</v>
      </c>
      <c r="B3398" s="62" t="inlineStr">
        <is>
          <t xml:space="preserve">        self.scripted = scripted</t>
        </is>
      </c>
    </row>
    <row r="3399">
      <c r="A3399" s="61" t="n">
        <v>18</v>
      </c>
      <c r="B3399" s="62" t="n"/>
    </row>
    <row r="3400">
      <c r="A3400" s="61" t="n">
        <v>19</v>
      </c>
      <c r="B3400" s="62" t="inlineStr">
        <is>
          <t xml:space="preserve">    def eval_move(self, board: chess.Board, move: chess.Move) -&gt; MoveEval:</t>
        </is>
      </c>
    </row>
    <row r="3401">
      <c r="A3401" s="61" t="n">
        <v>20</v>
      </c>
      <c r="B3401" s="62" t="inlineStr">
        <is>
          <t xml:space="preserve">        return self.scripted.get((board.fen(), move.uci()), MoveEval(cp=0, mate=None, pv=[move]))</t>
        </is>
      </c>
    </row>
    <row r="3402">
      <c r="A3402" s="61" t="n">
        <v>21</v>
      </c>
      <c r="B3402" s="62" t="n"/>
    </row>
    <row r="3403">
      <c r="A3403" s="61" t="n">
        <v>22</v>
      </c>
      <c r="B3403" s="62" t="n"/>
    </row>
    <row r="3404">
      <c r="A3404" s="61" t="n">
        <v>23</v>
      </c>
      <c r="B3404" s="62" t="inlineStr">
        <is>
          <t>def moves(*ucis: str) -&gt; list[chess.Move]:</t>
        </is>
      </c>
    </row>
    <row r="3405">
      <c r="A3405" s="61" t="n">
        <v>24</v>
      </c>
      <c r="B3405" s="62" t="inlineStr">
        <is>
          <t xml:space="preserve">    return [chess.Move.from_uci(u) for u in ucis]</t>
        </is>
      </c>
    </row>
    <row r="3406">
      <c r="A3406" s="61" t="n">
        <v>25</v>
      </c>
      <c r="B3406" s="62" t="n"/>
    </row>
    <row r="3407">
      <c r="A3407" s="61" t="n">
        <v>26</v>
      </c>
      <c r="B3407" s="62" t="n"/>
    </row>
    <row r="3408">
      <c r="A3408" s="61" t="n">
        <v>27</v>
      </c>
      <c r="B3408" s="62" t="inlineStr">
        <is>
          <t>FORK_KING_ROOK = "r3k3/8/8/3N4/8/8/8/4K3 w - - 0 1"  # Nc7+ forks Ke8 and Ra8</t>
        </is>
      </c>
    </row>
    <row r="3409">
      <c r="A3409" s="61" t="n">
        <v>28</v>
      </c>
      <c r="B3409" s="62" t="n"/>
    </row>
    <row r="3410">
      <c r="A3410" s="61" t="n">
        <v>29</v>
      </c>
      <c r="B3410" s="62" t="n"/>
    </row>
    <row r="3411">
      <c r="A3411" s="61" t="n">
        <v>30</v>
      </c>
      <c r="B3411" s="62" t="inlineStr">
        <is>
          <t>def test_finds_royal_fork_candidate():</t>
        </is>
      </c>
    </row>
    <row r="3412">
      <c r="A3412" s="61" t="n">
        <v>31</v>
      </c>
      <c r="B3412" s="62" t="inlineStr">
        <is>
          <t xml:space="preserve">    found = {c.move.uci(): c for c in knight_fork_candidates(chess.Board(FORK_KING_ROOK))}</t>
        </is>
      </c>
    </row>
    <row r="3413">
      <c r="A3413" s="61" t="n">
        <v>32</v>
      </c>
      <c r="B3413" s="62" t="inlineStr">
        <is>
          <t xml:space="preserve">    assert "d5c7" in found</t>
        </is>
      </c>
    </row>
    <row r="3414">
      <c r="A3414" s="61" t="n">
        <v>33</v>
      </c>
      <c r="B3414" s="62" t="inlineStr">
        <is>
          <t xml:space="preserve">    pieces = sorted(t.piece_type for t in found["d5c7"].targets)</t>
        </is>
      </c>
    </row>
    <row r="3415">
      <c r="A3415" s="61" t="n">
        <v>34</v>
      </c>
      <c r="B3415" s="62" t="inlineStr">
        <is>
          <t xml:space="preserve">    assert pieces == [chess.ROOK, chess.KING]</t>
        </is>
      </c>
    </row>
    <row r="3416">
      <c r="A3416" s="61" t="n">
        <v>35</v>
      </c>
      <c r="B3416" s="62" t="n"/>
    </row>
    <row r="3417">
      <c r="A3417" s="61" t="n">
        <v>36</v>
      </c>
      <c r="B3417" s="62" t="n"/>
    </row>
    <row r="3418">
      <c r="A3418" s="61" t="n">
        <v>37</v>
      </c>
      <c r="B3418" s="62" t="inlineStr">
        <is>
          <t>def test_single_target_is_not_a_fork():</t>
        </is>
      </c>
    </row>
    <row r="3419">
      <c r="A3419" s="61" t="n">
        <v>38</v>
      </c>
      <c r="B3419" s="62" t="inlineStr">
        <is>
          <t xml:space="preserve">    found = {c.move.uci() for c in knight_fork_candidates(chess.Board(FORK_KING_ROOK))}</t>
        </is>
      </c>
    </row>
    <row r="3420">
      <c r="A3420" s="61" t="n">
        <v>39</v>
      </c>
      <c r="B3420" s="62" t="inlineStr">
        <is>
          <t xml:space="preserve">    assert "d5f6" not in found  # check, but only the king is attacked</t>
        </is>
      </c>
    </row>
    <row r="3421">
      <c r="A3421" s="61" t="n">
        <v>40</v>
      </c>
      <c r="B3421" s="62" t="n"/>
    </row>
    <row r="3422">
      <c r="A3422" s="61" t="n">
        <v>41</v>
      </c>
      <c r="B3422" s="62" t="n"/>
    </row>
    <row r="3423">
      <c r="A3423" s="61" t="n">
        <v>42</v>
      </c>
      <c r="B3423" s="62" t="inlineStr">
        <is>
          <t>def test_defended_minor_pieces_are_not_targets():</t>
        </is>
      </c>
    </row>
    <row r="3424">
      <c r="A3424" s="61" t="n">
        <v>43</v>
      </c>
      <c r="B3424" s="62" t="inlineStr">
        <is>
          <t xml:space="preserve">    board = chess.Board("8/3k4/2b1b3/8/8/1N6/8/4K3 w - - 0 1")  # Nd4 hits two bishops the king defends</t>
        </is>
      </c>
    </row>
    <row r="3425">
      <c r="A3425" s="61" t="n">
        <v>44</v>
      </c>
      <c r="B3425" s="62" t="inlineStr">
        <is>
          <t xml:space="preserve">    assert knight_fork_candidates(board) == []</t>
        </is>
      </c>
    </row>
    <row r="3426">
      <c r="A3426" s="61" t="n">
        <v>45</v>
      </c>
      <c r="B3426" s="62" t="n"/>
    </row>
    <row r="3427">
      <c r="A3427" s="61" t="n">
        <v>46</v>
      </c>
      <c r="B3427" s="62" t="n"/>
    </row>
    <row r="3428">
      <c r="A3428" s="61" t="n">
        <v>47</v>
      </c>
      <c r="B3428" s="62" t="inlineStr">
        <is>
          <t>def test_undefended_minor_pieces_are_targets():</t>
        </is>
      </c>
    </row>
    <row r="3429">
      <c r="A3429" s="61" t="n">
        <v>48</v>
      </c>
      <c r="B3429" s="62" t="inlineStr">
        <is>
          <t xml:space="preserve">    board = chess.Board("7k/8/2b1b3/8/8/1N6/8/4K3 w - - 0 1")</t>
        </is>
      </c>
    </row>
    <row r="3430">
      <c r="A3430" s="61" t="n">
        <v>49</v>
      </c>
      <c r="B3430" s="62" t="inlineStr">
        <is>
          <t xml:space="preserve">    assert "b3d4" in {c.move.uci() for c in knight_fork_candidates(board)}</t>
        </is>
      </c>
    </row>
    <row r="3431">
      <c r="A3431" s="61" t="n">
        <v>50</v>
      </c>
      <c r="B3431" s="62" t="n"/>
    </row>
    <row r="3432">
      <c r="A3432" s="61" t="n">
        <v>51</v>
      </c>
      <c r="B3432" s="62" t="n"/>
    </row>
    <row r="3433">
      <c r="A3433" s="61" t="n">
        <v>52</v>
      </c>
      <c r="B3433" s="62" t="inlineStr">
        <is>
          <t>def test_pinned_knight_cannot_fork():</t>
        </is>
      </c>
    </row>
    <row r="3434">
      <c r="A3434" s="61" t="n">
        <v>53</v>
      </c>
      <c r="B3434" s="62" t="inlineStr">
        <is>
          <t xml:space="preserve">    board = chess.Board("4r1k1/8/8/1q6/r7/8/4N3/4K3 w - - 0 1")  # Ne2 pinned by Re8</t>
        </is>
      </c>
    </row>
    <row r="3435">
      <c r="A3435" s="61" t="n">
        <v>54</v>
      </c>
      <c r="B3435" s="62" t="inlineStr">
        <is>
          <t xml:space="preserve">    assert knight_fork_candidates(board) == []</t>
        </is>
      </c>
    </row>
    <row r="3436">
      <c r="A3436" s="61" t="n">
        <v>55</v>
      </c>
      <c r="B3436" s="62" t="n"/>
    </row>
    <row r="3437">
      <c r="A3437" s="61" t="n">
        <v>56</v>
      </c>
      <c r="B3437" s="62" t="n"/>
    </row>
    <row r="3438">
      <c r="A3438" s="61" t="n">
        <v>57</v>
      </c>
      <c r="B3438" s="62" t="inlineStr">
        <is>
          <t>def test_same_position_without_pin_forks():</t>
        </is>
      </c>
    </row>
    <row r="3439">
      <c r="A3439" s="61" t="n">
        <v>58</v>
      </c>
      <c r="B3439" s="62" t="inlineStr">
        <is>
          <t xml:space="preserve">    board = chess.Board("6kr/8/8/1q6/r7/8/4N3/4K3 w - - 0 1")</t>
        </is>
      </c>
    </row>
    <row r="3440">
      <c r="A3440" s="61" t="n">
        <v>59</v>
      </c>
      <c r="B3440" s="62" t="inlineStr">
        <is>
          <t xml:space="preserve">    assert "e2c3" in {c.move.uci() for c in knight_fork_candidates(board)}</t>
        </is>
      </c>
    </row>
    <row r="3441">
      <c r="A3441" s="61" t="n">
        <v>60</v>
      </c>
      <c r="B3441" s="62" t="n"/>
    </row>
    <row r="3442">
      <c r="A3442" s="61" t="n">
        <v>61</v>
      </c>
      <c r="B3442" s="62" t="n"/>
    </row>
    <row r="3443">
      <c r="A3443" s="61" t="n">
        <v>62</v>
      </c>
      <c r="B3443" s="62" t="inlineStr">
        <is>
          <t>def test_verified_fork_wins_the_rook():</t>
        </is>
      </c>
    </row>
    <row r="3444">
      <c r="A3444" s="61" t="n">
        <v>63</v>
      </c>
      <c r="B3444" s="62" t="inlineStr">
        <is>
          <t xml:space="preserve">    board = chess.Board(FORK_KING_ROOK)</t>
        </is>
      </c>
    </row>
    <row r="3445">
      <c r="A3445" s="61" t="n">
        <v>64</v>
      </c>
      <c r="B3445" s="62" t="inlineStr">
        <is>
          <t xml:space="preserve">    candidate = next(c for c in knight_fork_candidates(board) if c.move.uci() == "d5c7")</t>
        </is>
      </c>
    </row>
    <row r="3446">
      <c r="A3446" s="61" t="n">
        <v>65</v>
      </c>
      <c r="B3446" s="62" t="inlineStr">
        <is>
          <t xml:space="preserve">    evaluator = FakeEvaluator({(board.fen(), "d5c7"): MoveEval(cp=500, mate=None, pv=moves("d5c7", "e8d7", "c7a8"))})</t>
        </is>
      </c>
    </row>
    <row r="3447">
      <c r="A3447" s="61" t="n">
        <v>66</v>
      </c>
      <c r="B3447" s="62" t="inlineStr">
        <is>
          <t xml:space="preserve">    actual = MoveEval(cp=0, mate=None, pv=moves("e1e2"))</t>
        </is>
      </c>
    </row>
    <row r="3448">
      <c r="A3448" s="61" t="n">
        <v>67</v>
      </c>
      <c r="B3448" s="62" t="inlineStr">
        <is>
          <t xml:space="preserve">    found = verify_fork(board, candidate, actual, evaluator)</t>
        </is>
      </c>
    </row>
    <row r="3449">
      <c r="A3449" s="61" t="n">
        <v>68</v>
      </c>
      <c r="B3449" s="62" t="inlineStr">
        <is>
          <t xml:space="preserve">    assert found is not None</t>
        </is>
      </c>
    </row>
    <row r="3450">
      <c r="A3450" s="61" t="n">
        <v>69</v>
      </c>
      <c r="B3450" s="62" t="inlineStr">
        <is>
          <t xml:space="preserve">    assert found.material_gain == 5</t>
        </is>
      </c>
    </row>
    <row r="3451">
      <c r="A3451" s="61" t="n">
        <v>70</v>
      </c>
      <c r="B3451" s="62" t="inlineStr">
        <is>
          <t xml:space="preserve">    assert found.gap == 500</t>
        </is>
      </c>
    </row>
    <row r="3452">
      <c r="A3452" s="61" t="n">
        <v>71</v>
      </c>
      <c r="B3452" s="62" t="n"/>
    </row>
    <row r="3453">
      <c r="A3453" s="61" t="n">
        <v>72</v>
      </c>
      <c r="B3453" s="62" t="n"/>
    </row>
    <row r="3454">
      <c r="A3454" s="61" t="n">
        <v>73</v>
      </c>
      <c r="B3454" s="62" t="inlineStr">
        <is>
          <t>def test_capturable_forking_knight_is_rejected():</t>
        </is>
      </c>
    </row>
    <row r="3455">
      <c r="A3455" s="61" t="n">
        <v>74</v>
      </c>
      <c r="B3455" s="62" t="inlineStr">
        <is>
          <t xml:space="preserve">    board = chess.Board("rb2k3/8/8/3N4/8/8/8/4K3 w - - 0 1")  # Bb8 can take on c7</t>
        </is>
      </c>
    </row>
    <row r="3456">
      <c r="A3456" s="61" t="n">
        <v>75</v>
      </c>
      <c r="B3456" s="62" t="inlineStr">
        <is>
          <t xml:space="preserve">    candidate = next(c for c in knight_fork_candidates(board) if c.move.uci() == "d5c7")</t>
        </is>
      </c>
    </row>
    <row r="3457">
      <c r="A3457" s="61" t="n">
        <v>76</v>
      </c>
      <c r="B3457" s="62" t="inlineStr">
        <is>
          <t xml:space="preserve">    evaluator = FakeEvaluator({(board.fen(), "d5c7"): MoveEval(cp=-300, mate=None, pv=moves("d5c7", "b8c7"))})</t>
        </is>
      </c>
    </row>
    <row r="3458">
      <c r="A3458" s="61" t="n">
        <v>77</v>
      </c>
      <c r="B3458" s="62" t="inlineStr">
        <is>
          <t xml:space="preserve">    assert verify_fork(board, candidate, MoveEval(0, None, []), evaluator) is None</t>
        </is>
      </c>
    </row>
    <row r="3459">
      <c r="A3459" s="61" t="n">
        <v>78</v>
      </c>
      <c r="B3459" s="62" t="n"/>
    </row>
    <row r="3460">
      <c r="A3460" s="61" t="n">
        <v>79</v>
      </c>
      <c r="B3460" s="62" t="n"/>
    </row>
    <row r="3461">
      <c r="A3461" s="61" t="n">
        <v>80</v>
      </c>
      <c r="B3461" s="62" t="inlineStr">
        <is>
          <t>def test_equally_good_actual_move_is_not_a_mistake():</t>
        </is>
      </c>
    </row>
    <row r="3462">
      <c r="A3462" s="61" t="n">
        <v>81</v>
      </c>
      <c r="B3462" s="62" t="inlineStr">
        <is>
          <t xml:space="preserve">    board = chess.Board(FORK_KING_ROOK)</t>
        </is>
      </c>
    </row>
    <row r="3463">
      <c r="A3463" s="61" t="n">
        <v>82</v>
      </c>
      <c r="B3463" s="62" t="inlineStr">
        <is>
          <t xml:space="preserve">    candidate = next(c for c in knight_fork_candidates(board) if c.move.uci() == "d5c7")</t>
        </is>
      </c>
    </row>
    <row r="3464">
      <c r="A3464" s="61" t="n">
        <v>83</v>
      </c>
      <c r="B3464" s="62" t="inlineStr">
        <is>
          <t xml:space="preserve">    evaluator = FakeEvaluator({(board.fen(), "d5c7"): MoveEval(cp=500, mate=None, pv=moves("d5c7", "e8d7", "c7a8"))})</t>
        </is>
      </c>
    </row>
    <row r="3465">
      <c r="A3465" s="61" t="n">
        <v>84</v>
      </c>
      <c r="B3465" s="62" t="inlineStr">
        <is>
          <t xml:space="preserve">    assert verify_fork(board, candidate, MoveEval(cp=450, mate=None, pv=[]), evaluator) is None</t>
        </is>
      </c>
    </row>
    <row r="3466">
      <c r="A3466" s="61" t="n">
        <v>85</v>
      </c>
      <c r="B3466" s="62" t="n"/>
    </row>
    <row r="3467">
      <c r="A3467" s="61" t="n">
        <v>86</v>
      </c>
      <c r="B3467" s="62" t="n"/>
    </row>
    <row r="3468">
      <c r="A3468" s="61" t="n">
        <v>87</v>
      </c>
      <c r="B3468" s="62" t="inlineStr">
        <is>
          <t>def test_illegal_engine_line_is_rejected():</t>
        </is>
      </c>
    </row>
    <row r="3469">
      <c r="A3469" s="61" t="n">
        <v>88</v>
      </c>
      <c r="B3469" s="62" t="inlineStr">
        <is>
          <t xml:space="preserve">    board = chess.Board(FORK_KING_ROOK)</t>
        </is>
      </c>
    </row>
    <row r="3470">
      <c r="A3470" s="61" t="n">
        <v>89</v>
      </c>
      <c r="B3470" s="62" t="inlineStr">
        <is>
          <t xml:space="preserve">    candidate = next(c for c in knight_fork_candidates(board) if c.move.uci() == "d5c7")</t>
        </is>
      </c>
    </row>
    <row r="3471">
      <c r="A3471" s="61" t="n">
        <v>90</v>
      </c>
      <c r="B3471" s="62" t="inlineStr">
        <is>
          <t xml:space="preserve">    evaluator = FakeEvaluator({(board.fen(), "d5c7"): MoveEval(cp=500, mate=None, pv=moves("d5c7", "e8e7", "c7a8"))})</t>
        </is>
      </c>
    </row>
    <row r="3472">
      <c r="A3472" s="61" t="n">
        <v>91</v>
      </c>
      <c r="B3472" s="62" t="inlineStr">
        <is>
          <t xml:space="preserve">    # e8e7 is fine, but pretend the engine sent garbage: the rook move a8a1 is not legal for White</t>
        </is>
      </c>
    </row>
    <row r="3473">
      <c r="A3473" s="61" t="n">
        <v>92</v>
      </c>
      <c r="B3473" s="62" t="inlineStr">
        <is>
          <t xml:space="preserve">    evaluator.scripted[(board.fen(), "d5c7")].pv = moves("d5c7", "a8a1")</t>
        </is>
      </c>
    </row>
    <row r="3474">
      <c r="A3474" s="61" t="n">
        <v>93</v>
      </c>
      <c r="B3474" s="62" t="inlineStr">
        <is>
          <t xml:space="preserve">    assert verify_fork(board, candidate, MoveEval(0, None, []), evaluator) is None</t>
        </is>
      </c>
    </row>
    <row r="3475">
      <c r="A3475" s="61" t="n">
        <v>94</v>
      </c>
      <c r="B3475" s="62" t="n"/>
    </row>
    <row r="3476">
      <c r="A3476" s="61" t="n">
        <v>95</v>
      </c>
      <c r="B3476" s="62" t="n"/>
    </row>
    <row r="3477">
      <c r="A3477" s="61" t="n">
        <v>96</v>
      </c>
      <c r="B3477" s="62" t="inlineStr">
        <is>
          <t>def test_pipeline_records_one_finding_with_explanation():</t>
        </is>
      </c>
    </row>
    <row r="3478">
      <c r="A3478" s="61" t="n">
        <v>97</v>
      </c>
      <c r="B3478" s="62" t="inlineStr">
        <is>
          <t xml:space="preserve">    board = chess.Board(FORK_KING_ROOK)</t>
        </is>
      </c>
    </row>
    <row r="3479">
      <c r="A3479" s="61" t="n">
        <v>98</v>
      </c>
      <c r="B3479" s="62" t="inlineStr">
        <is>
          <t xml:space="preserve">    evaluator = FakeEvaluator({(board.fen(), "d5c7"): MoveEval(cp=500, mate=None, pv=moves("d5c7", "e8d7", "c7a8"))})</t>
        </is>
      </c>
    </row>
    <row r="3480">
      <c r="A3480" s="61" t="n">
        <v>99</v>
      </c>
      <c r="B3480" s="62" t="inlineStr">
        <is>
          <t xml:space="preserve">    result = analyze_game(FORK_KING_ROOK, ["e1e2", "e8d8"], "white", evaluator)</t>
        </is>
      </c>
    </row>
    <row r="3481">
      <c r="A3481" s="61" t="n">
        <v>100</v>
      </c>
      <c r="B3481" s="62" t="inlineStr">
        <is>
          <t xml:space="preserve">    assert result.complete and result.positions_analyzed == 1</t>
        </is>
      </c>
    </row>
    <row r="3482">
      <c r="A3482" s="61" t="n">
        <v>101</v>
      </c>
      <c r="B3482" s="62" t="inlineStr">
        <is>
          <t xml:space="preserve">    assert len(result.findings) == 1</t>
        </is>
      </c>
    </row>
    <row r="3483">
      <c r="A3483" s="61" t="n">
        <v>102</v>
      </c>
      <c r="B3483" s="62" t="inlineStr">
        <is>
          <t xml:space="preserve">    finding = result.findings[0]</t>
        </is>
      </c>
    </row>
    <row r="3484">
      <c r="A3484" s="61" t="n">
        <v>103</v>
      </c>
      <c r="B3484" s="62" t="inlineStr">
        <is>
          <t xml:space="preserve">    assert finding["candidate_san"] == "Nc7+"</t>
        </is>
      </c>
    </row>
    <row r="3485">
      <c r="A3485" s="61" t="n">
        <v>104</v>
      </c>
      <c r="B3485" s="62" t="inlineStr">
        <is>
          <t xml:space="preserve">    assert finding["actual_san"] == "Ke2"</t>
        </is>
      </c>
    </row>
    <row r="3486">
      <c r="A3486" s="61" t="n">
        <v>105</v>
      </c>
      <c r="B3486" s="62" t="inlineStr">
        <is>
          <t xml:space="preserve">    assert "Nc7+" in finding["explanation"] and "rook on a8" in finding["explanation"]</t>
        </is>
      </c>
    </row>
    <row r="3487">
      <c r="A3487" s="61" t="n">
        <v>106</v>
      </c>
      <c r="B3487" s="62" t="n"/>
    </row>
    <row r="3488">
      <c r="A3488" s="61" t="n">
        <v>107</v>
      </c>
      <c r="B3488" s="62" t="n"/>
    </row>
    <row r="3489">
      <c r="A3489" s="61" t="n">
        <v>108</v>
      </c>
      <c r="B3489" s="62" t="inlineStr">
        <is>
          <t>def test_pipeline_stops_when_cancelled():</t>
        </is>
      </c>
    </row>
    <row r="3490">
      <c r="A3490" s="61" t="n">
        <v>109</v>
      </c>
      <c r="B3490" s="62" t="inlineStr">
        <is>
          <t xml:space="preserve">    result = analyze_game(FORK_KING_ROOK, ["e1e2", "e8d8"], "white", FakeEvaluator({}), should_continue=lambda d, t: False)</t>
        </is>
      </c>
    </row>
    <row r="3491">
      <c r="A3491" s="61" t="n">
        <v>110</v>
      </c>
      <c r="B3491" s="62" t="inlineStr">
        <is>
          <t xml:space="preserve">    assert result.complete is False</t>
        </is>
      </c>
    </row>
    <row r="3494">
      <c r="A3494" s="60" t="inlineStr">
        <is>
          <t>C55</t>
        </is>
      </c>
      <c r="B3494" s="60" t="inlineStr">
        <is>
          <t>services/backend/app/explain/templates.py   ·   Phase P9   ·   Deterministic explanation templates.</t>
        </is>
      </c>
    </row>
    <row r="3495">
      <c r="B3495" s="55" t="inlineStr">
        <is>
          <t>↑ back to Code Index</t>
        </is>
      </c>
    </row>
    <row r="3496">
      <c r="A3496" s="61" t="n">
        <v>1</v>
      </c>
      <c r="B3496" s="62" t="inlineStr">
        <is>
          <t>"""Deterministic explanations: every word is filled from verified evidence fields. No free text, no guessing."""</t>
        </is>
      </c>
    </row>
    <row r="3497">
      <c r="A3497" s="61" t="n">
        <v>2</v>
      </c>
      <c r="B3497" s="62" t="inlineStr">
        <is>
          <t>EXPLANATION_VERSION = "fork-template-v1"</t>
        </is>
      </c>
    </row>
    <row r="3498">
      <c r="A3498" s="61" t="n">
        <v>3</v>
      </c>
      <c r="B3498" s="62" t="n"/>
    </row>
    <row r="3499">
      <c r="A3499" s="61" t="n">
        <v>4</v>
      </c>
      <c r="B3499" s="62" t="n"/>
    </row>
    <row r="3500">
      <c r="A3500" s="61" t="n">
        <v>5</v>
      </c>
      <c r="B3500" s="62" t="inlineStr">
        <is>
          <t>def move_label(ply: int) -&gt; str:</t>
        </is>
      </c>
    </row>
    <row r="3501">
      <c r="A3501" s="61" t="n">
        <v>6</v>
      </c>
      <c r="B3501" s="62" t="inlineStr">
        <is>
          <t xml:space="preserve">    """ply 0 -&gt; '1.', ply 1 -&gt; '1...', ply 2 -&gt; '2.'"""</t>
        </is>
      </c>
    </row>
    <row r="3502">
      <c r="A3502" s="61" t="n">
        <v>7</v>
      </c>
      <c r="B3502" s="62" t="inlineStr">
        <is>
          <t xml:space="preserve">    number = ply // 2 + 1</t>
        </is>
      </c>
    </row>
    <row r="3503">
      <c r="A3503" s="61" t="n">
        <v>8</v>
      </c>
      <c r="B3503" s="62" t="inlineStr">
        <is>
          <t xml:space="preserve">    return f"{number}." if ply % 2 == 0 else f"{number}..."</t>
        </is>
      </c>
    </row>
    <row r="3504">
      <c r="A3504" s="61" t="n">
        <v>9</v>
      </c>
      <c r="B3504" s="62" t="n"/>
    </row>
    <row r="3505">
      <c r="A3505" s="61" t="n">
        <v>10</v>
      </c>
      <c r="B3505" s="62" t="n"/>
    </row>
    <row r="3506">
      <c r="A3506" s="61" t="n">
        <v>11</v>
      </c>
      <c r="B3506" s="62" t="inlineStr">
        <is>
          <t>def move_phrase(ply: int) -&gt; str:</t>
        </is>
      </c>
    </row>
    <row r="3507">
      <c r="A3507" s="61" t="n">
        <v>12</v>
      </c>
      <c r="B3507" s="62" t="inlineStr">
        <is>
          <t xml:space="preserve">    """ply 0 -&gt; 'move 1 (White)', ply 1 -&gt; 'move 1 (Black)'"""</t>
        </is>
      </c>
    </row>
    <row r="3508">
      <c r="A3508" s="61" t="n">
        <v>13</v>
      </c>
      <c r="B3508" s="62" t="inlineStr">
        <is>
          <t xml:space="preserve">    return f"move {ply // 2 + 1} ({'White' if ply % 2 == 0 else 'Black'})"</t>
        </is>
      </c>
    </row>
    <row r="3509">
      <c r="A3509" s="61" t="n">
        <v>14</v>
      </c>
      <c r="B3509" s="62" t="n"/>
    </row>
    <row r="3510">
      <c r="A3510" s="61" t="n">
        <v>15</v>
      </c>
      <c r="B3510" s="62" t="n"/>
    </row>
    <row r="3511">
      <c r="A3511" s="61" t="n">
        <v>16</v>
      </c>
      <c r="B3511" s="62" t="inlineStr">
        <is>
          <t>def join_targets(targets: list[dict]) -&gt; str:</t>
        </is>
      </c>
    </row>
    <row r="3512">
      <c r="A3512" s="61" t="n">
        <v>17</v>
      </c>
      <c r="B3512" s="62" t="inlineStr">
        <is>
          <t xml:space="preserve">    parts = [f"{t['piece']} on {t['square']}" for t in targets]</t>
        </is>
      </c>
    </row>
    <row r="3513">
      <c r="A3513" s="61" t="n">
        <v>18</v>
      </c>
      <c r="B3513" s="62" t="inlineStr">
        <is>
          <t xml:space="preserve">    if len(parts) == 1:</t>
        </is>
      </c>
    </row>
    <row r="3514">
      <c r="A3514" s="61" t="n">
        <v>19</v>
      </c>
      <c r="B3514" s="62" t="inlineStr">
        <is>
          <t xml:space="preserve">        return parts[0]</t>
        </is>
      </c>
    </row>
    <row r="3515">
      <c r="A3515" s="61" t="n">
        <v>20</v>
      </c>
      <c r="B3515" s="62" t="inlineStr">
        <is>
          <t xml:space="preserve">    return ", ".join(parts[:-1]) + " and " + parts[-1]</t>
        </is>
      </c>
    </row>
    <row r="3516">
      <c r="A3516" s="61" t="n">
        <v>21</v>
      </c>
      <c r="B3516" s="62" t="n"/>
    </row>
    <row r="3517">
      <c r="A3517" s="61" t="n">
        <v>22</v>
      </c>
      <c r="B3517" s="62" t="n"/>
    </row>
    <row r="3518">
      <c r="A3518" s="61" t="n">
        <v>23</v>
      </c>
      <c r="B3518" s="62" t="inlineStr">
        <is>
          <t>def gain_text(material_gain: int, mate: int | None) -&gt; str:</t>
        </is>
      </c>
    </row>
    <row r="3519">
      <c r="A3519" s="61" t="n">
        <v>24</v>
      </c>
      <c r="B3519" s="62" t="inlineStr">
        <is>
          <t xml:space="preserve">    if mate is not None and mate &gt; 0:</t>
        </is>
      </c>
    </row>
    <row r="3520">
      <c r="A3520" s="61" t="n">
        <v>25</v>
      </c>
      <c r="B3520" s="62" t="inlineStr">
        <is>
          <t xml:space="preserve">        return f"forces checkmate in {mate}"</t>
        </is>
      </c>
    </row>
    <row r="3521">
      <c r="A3521" s="61" t="n">
        <v>26</v>
      </c>
      <c r="B3521" s="62" t="inlineStr">
        <is>
          <t xml:space="preserve">    pawns = "pawn" if material_gain == 1 else "pawns"</t>
        </is>
      </c>
    </row>
    <row r="3522">
      <c r="A3522" s="61" t="n">
        <v>27</v>
      </c>
      <c r="B3522" s="62" t="inlineStr">
        <is>
          <t xml:space="preserve">    return f"wins about {material_gain} {pawns} of material"</t>
        </is>
      </c>
    </row>
    <row r="3523">
      <c r="A3523" s="61" t="n">
        <v>28</v>
      </c>
      <c r="B3523" s="62" t="n"/>
    </row>
    <row r="3524">
      <c r="A3524" s="61" t="n">
        <v>29</v>
      </c>
      <c r="B3524" s="62" t="n"/>
    </row>
    <row r="3525">
      <c r="A3525" s="61" t="n">
        <v>30</v>
      </c>
      <c r="B3525" s="62" t="inlineStr">
        <is>
          <t>def explain_fork(</t>
        </is>
      </c>
    </row>
    <row r="3526">
      <c r="A3526" s="61" t="n">
        <v>31</v>
      </c>
      <c r="B3526" s="62" t="inlineStr">
        <is>
          <t xml:space="preserve">    *,</t>
        </is>
      </c>
    </row>
    <row r="3527">
      <c r="A3527" s="61" t="n">
        <v>32</v>
      </c>
      <c r="B3527" s="62" t="inlineStr">
        <is>
          <t xml:space="preserve">    ply: int,</t>
        </is>
      </c>
    </row>
    <row r="3528">
      <c r="A3528" s="61" t="n">
        <v>33</v>
      </c>
      <c r="B3528" s="62" t="inlineStr">
        <is>
          <t xml:space="preserve">    candidate_san: str,</t>
        </is>
      </c>
    </row>
    <row r="3529">
      <c r="A3529" s="61" t="n">
        <v>34</v>
      </c>
      <c r="B3529" s="62" t="inlineStr">
        <is>
          <t xml:space="preserve">    actual_san: str,</t>
        </is>
      </c>
    </row>
    <row r="3530">
      <c r="A3530" s="61" t="n">
        <v>35</v>
      </c>
      <c r="B3530" s="62" t="inlineStr">
        <is>
          <t xml:space="preserve">    targets: list[dict],</t>
        </is>
      </c>
    </row>
    <row r="3531">
      <c r="A3531" s="61" t="n">
        <v>36</v>
      </c>
      <c r="B3531" s="62" t="inlineStr">
        <is>
          <t xml:space="preserve">    line_san: list[str],</t>
        </is>
      </c>
    </row>
    <row r="3532">
      <c r="A3532" s="61" t="n">
        <v>37</v>
      </c>
      <c r="B3532" s="62" t="inlineStr">
        <is>
          <t xml:space="preserve">    material_gain: int,</t>
        </is>
      </c>
    </row>
    <row r="3533">
      <c r="A3533" s="61" t="n">
        <v>38</v>
      </c>
      <c r="B3533" s="62" t="inlineStr">
        <is>
          <t xml:space="preserve">    mate: int | None,</t>
        </is>
      </c>
    </row>
    <row r="3534">
      <c r="A3534" s="61" t="n">
        <v>39</v>
      </c>
      <c r="B3534" s="62" t="inlineStr">
        <is>
          <t xml:space="preserve">    depth: int,</t>
        </is>
      </c>
    </row>
    <row r="3535">
      <c r="A3535" s="61" t="n">
        <v>40</v>
      </c>
      <c r="B3535" s="62" t="inlineStr">
        <is>
          <t>) -&gt; str:</t>
        </is>
      </c>
    </row>
    <row r="3536">
      <c r="A3536" s="61" t="n">
        <v>41</v>
      </c>
      <c r="B3536" s="62" t="inlineStr">
        <is>
          <t xml:space="preserve">    reply = line_san[1] if len(line_san) &gt; 1 else None</t>
        </is>
      </c>
    </row>
    <row r="3537">
      <c r="A3537" s="61" t="n">
        <v>42</v>
      </c>
      <c r="B3537" s="62" t="inlineStr">
        <is>
          <t xml:space="preserve">    continuation = " ".join(line_san[2:6])</t>
        </is>
      </c>
    </row>
    <row r="3538">
      <c r="A3538" s="61" t="n">
        <v>43</v>
      </c>
      <c r="B3538" s="62" t="inlineStr">
        <is>
          <t xml:space="preserve">    sentences = [</t>
        </is>
      </c>
    </row>
    <row r="3539">
      <c r="A3539" s="61" t="n">
        <v>44</v>
      </c>
      <c r="B3539" s="62" t="inlineStr">
        <is>
          <t xml:space="preserve">        f"On {move_phrase(ply)}, the knight move {candidate_san} was available.",</t>
        </is>
      </c>
    </row>
    <row r="3540">
      <c r="A3540" s="61" t="n">
        <v>45</v>
      </c>
      <c r="B3540" s="62" t="inlineStr">
        <is>
          <t xml:space="preserve">        f"It attacks the {join_targets(targets)} at the same time.",</t>
        </is>
      </c>
    </row>
    <row r="3541">
      <c r="A3541" s="61" t="n">
        <v>46</v>
      </c>
      <c r="B3541" s="62" t="inlineStr">
        <is>
          <t xml:space="preserve">    ]</t>
        </is>
      </c>
    </row>
    <row r="3542">
      <c r="A3542" s="61" t="n">
        <v>47</v>
      </c>
      <c r="B3542" s="62" t="inlineStr">
        <is>
          <t xml:space="preserve">    if reply:</t>
        </is>
      </c>
    </row>
    <row r="3543">
      <c r="A3543" s="61" t="n">
        <v>48</v>
      </c>
      <c r="B3543" s="62" t="inlineStr">
        <is>
          <t xml:space="preserve">        follow = f", then {continuation}" if continuation else ""</t>
        </is>
      </c>
    </row>
    <row r="3544">
      <c r="A3544" s="61" t="n">
        <v>49</v>
      </c>
      <c r="B3544" s="62" t="inlineStr">
        <is>
          <t xml:space="preserve">        sentences.append(f"After the strongest reply found, {reply}{follow}, it {gain_text(material_gain, mate)}.")</t>
        </is>
      </c>
    </row>
    <row r="3545">
      <c r="A3545" s="61" t="n">
        <v>50</v>
      </c>
      <c r="B3545" s="62" t="inlineStr">
        <is>
          <t xml:space="preserve">    else:</t>
        </is>
      </c>
    </row>
    <row r="3546">
      <c r="A3546" s="61" t="n">
        <v>51</v>
      </c>
      <c r="B3546" s="62" t="inlineStr">
        <is>
          <t xml:space="preserve">        sentences.append(f"It {gain_text(material_gain, mate)}.")</t>
        </is>
      </c>
    </row>
    <row r="3547">
      <c r="A3547" s="61" t="n">
        <v>52</v>
      </c>
      <c r="B3547" s="62" t="inlineStr">
        <is>
          <t xml:space="preserve">    sentences.append(f"You played {actual_san} instead.")</t>
        </is>
      </c>
    </row>
    <row r="3548">
      <c r="A3548" s="61" t="n">
        <v>53</v>
      </c>
      <c r="B3548" s="62" t="inlineStr">
        <is>
          <t xml:space="preserve">    sentences.append(f"(Best line found at search depth {depth}; this is strong evidence, not a mathematical proof.)")</t>
        </is>
      </c>
    </row>
    <row r="3549">
      <c r="A3549" s="61" t="n">
        <v>54</v>
      </c>
      <c r="B3549" s="62" t="inlineStr">
        <is>
          <t xml:space="preserve">    return " ".join(sentences)</t>
        </is>
      </c>
    </row>
    <row r="3552">
      <c r="A3552" s="60" t="inlineStr">
        <is>
          <t>C56</t>
        </is>
      </c>
      <c r="B3552" s="60" t="inlineStr">
        <is>
          <t>services/backend/app/api/review.py   ·   Phase P9   ·   Private review endpoint and public precomputed demo.</t>
        </is>
      </c>
    </row>
    <row r="3553">
      <c r="B3553" s="55" t="inlineStr">
        <is>
          <t>↑ back to Code Index</t>
        </is>
      </c>
    </row>
    <row r="3554">
      <c r="A3554" s="61" t="n">
        <v>1</v>
      </c>
      <c r="B3554" s="62" t="inlineStr">
        <is>
          <t>import json</t>
        </is>
      </c>
    </row>
    <row r="3555">
      <c r="A3555" s="61" t="n">
        <v>2</v>
      </c>
      <c r="B3555" s="62" t="inlineStr">
        <is>
          <t>import uuid</t>
        </is>
      </c>
    </row>
    <row r="3556">
      <c r="A3556" s="61" t="n">
        <v>3</v>
      </c>
      <c r="B3556" s="62" t="inlineStr">
        <is>
          <t>from pathlib import Path</t>
        </is>
      </c>
    </row>
    <row r="3557">
      <c r="A3557" s="61" t="n">
        <v>4</v>
      </c>
      <c r="B3557" s="62" t="inlineStr">
        <is>
          <t>from typing import Any</t>
        </is>
      </c>
    </row>
    <row r="3558">
      <c r="A3558" s="61" t="n">
        <v>5</v>
      </c>
      <c r="B3558" s="62" t="n"/>
    </row>
    <row r="3559">
      <c r="A3559" s="61" t="n">
        <v>6</v>
      </c>
      <c r="B3559" s="62" t="inlineStr">
        <is>
          <t>from fastapi import APIRouter, Depends</t>
        </is>
      </c>
    </row>
    <row r="3560">
      <c r="A3560" s="61" t="n">
        <v>7</v>
      </c>
      <c r="B3560" s="62" t="inlineStr">
        <is>
          <t>from pydantic import BaseModel</t>
        </is>
      </c>
    </row>
    <row r="3561">
      <c r="A3561" s="61" t="n">
        <v>8</v>
      </c>
      <c r="B3561" s="62" t="inlineStr">
        <is>
          <t>from sqlalchemy import select</t>
        </is>
      </c>
    </row>
    <row r="3562">
      <c r="A3562" s="61" t="n">
        <v>9</v>
      </c>
      <c r="B3562" s="62" t="inlineStr">
        <is>
          <t>from sqlalchemy.orm import Session</t>
        </is>
      </c>
    </row>
    <row r="3563">
      <c r="A3563" s="61" t="n">
        <v>10</v>
      </c>
      <c r="B3563" s="62" t="n"/>
    </row>
    <row r="3564">
      <c r="A3564" s="61" t="n">
        <v>11</v>
      </c>
      <c r="B3564" s="62" t="inlineStr">
        <is>
          <t>from app.analysis.pipeline import PIPELINE_VERSION</t>
        </is>
      </c>
    </row>
    <row r="3565">
      <c r="A3565" s="61" t="n">
        <v>12</v>
      </c>
      <c r="B3565" s="62" t="inlineStr">
        <is>
          <t>from app.api.games import get_owned_game</t>
        </is>
      </c>
    </row>
    <row r="3566">
      <c r="A3566" s="61" t="n">
        <v>13</v>
      </c>
      <c r="B3566" s="62" t="inlineStr">
        <is>
          <t>from app.db import get_db</t>
        </is>
      </c>
    </row>
    <row r="3567">
      <c r="A3567" s="61" t="n">
        <v>14</v>
      </c>
      <c r="B3567" s="62" t="inlineStr">
        <is>
          <t>from app.errors import ApiError</t>
        </is>
      </c>
    </row>
    <row r="3568">
      <c r="A3568" s="61" t="n">
        <v>15</v>
      </c>
      <c r="B3568" s="62" t="inlineStr">
        <is>
          <t>from app.models import AnalysisRun, TacticalEvidence, Visitor</t>
        </is>
      </c>
    </row>
    <row r="3569">
      <c r="A3569" s="61" t="n">
        <v>16</v>
      </c>
      <c r="B3569" s="62" t="inlineStr">
        <is>
          <t>from app.security import current_visitor</t>
        </is>
      </c>
    </row>
    <row r="3570">
      <c r="A3570" s="61" t="n">
        <v>17</v>
      </c>
      <c r="B3570" s="62" t="n"/>
    </row>
    <row r="3571">
      <c r="A3571" s="61" t="n">
        <v>18</v>
      </c>
      <c r="B3571" s="62" t="inlineStr">
        <is>
          <t>router = APIRouter(prefix="/v1", tags=["review"])</t>
        </is>
      </c>
    </row>
    <row r="3572">
      <c r="A3572" s="61" t="n">
        <v>19</v>
      </c>
      <c r="B3572" s="62" t="inlineStr">
        <is>
          <t>DEMO_FILE = Path(__file__).resolve().parents[2] / "data" / "demo_review.json"</t>
        </is>
      </c>
    </row>
    <row r="3573">
      <c r="A3573" s="61" t="n">
        <v>20</v>
      </c>
      <c r="B3573" s="62" t="n"/>
    </row>
    <row r="3574">
      <c r="A3574" s="61" t="n">
        <v>21</v>
      </c>
      <c r="B3574" s="62" t="n"/>
    </row>
    <row r="3575">
      <c r="A3575" s="61" t="n">
        <v>22</v>
      </c>
      <c r="B3575" s="62" t="inlineStr">
        <is>
          <t>class EvidenceOut(BaseModel):</t>
        </is>
      </c>
    </row>
    <row r="3576">
      <c r="A3576" s="61" t="n">
        <v>23</v>
      </c>
      <c r="B3576" s="62" t="inlineStr">
        <is>
          <t xml:space="preserve">    id: uuid.UUID</t>
        </is>
      </c>
    </row>
    <row r="3577">
      <c r="A3577" s="61" t="n">
        <v>24</v>
      </c>
      <c r="B3577" s="62" t="inlineStr">
        <is>
          <t xml:space="preserve">    ply: int</t>
        </is>
      </c>
    </row>
    <row r="3578">
      <c r="A3578" s="61" t="n">
        <v>25</v>
      </c>
      <c r="B3578" s="62" t="inlineStr">
        <is>
          <t xml:space="preserve">    concept: str</t>
        </is>
      </c>
    </row>
    <row r="3579">
      <c r="A3579" s="61" t="n">
        <v>26</v>
      </c>
      <c r="B3579" s="62" t="inlineStr">
        <is>
          <t xml:space="preserve">    fen_before: str</t>
        </is>
      </c>
    </row>
    <row r="3580">
      <c r="A3580" s="61" t="n">
        <v>27</v>
      </c>
      <c r="B3580" s="62" t="inlineStr">
        <is>
          <t xml:space="preserve">    actual_san: str</t>
        </is>
      </c>
    </row>
    <row r="3581">
      <c r="A3581" s="61" t="n">
        <v>28</v>
      </c>
      <c r="B3581" s="62" t="inlineStr">
        <is>
          <t xml:space="preserve">    actual_uci: str</t>
        </is>
      </c>
    </row>
    <row r="3582">
      <c r="A3582" s="61" t="n">
        <v>29</v>
      </c>
      <c r="B3582" s="62" t="inlineStr">
        <is>
          <t xml:space="preserve">    candidate_san: str</t>
        </is>
      </c>
    </row>
    <row r="3583">
      <c r="A3583" s="61" t="n">
        <v>30</v>
      </c>
      <c r="B3583" s="62" t="inlineStr">
        <is>
          <t xml:space="preserve">    candidate_uci: str</t>
        </is>
      </c>
    </row>
    <row r="3584">
      <c r="A3584" s="61" t="n">
        <v>31</v>
      </c>
      <c r="B3584" s="62" t="inlineStr">
        <is>
          <t xml:space="preserve">    targets: list[dict[str, Any]]</t>
        </is>
      </c>
    </row>
    <row r="3585">
      <c r="A3585" s="61" t="n">
        <v>32</v>
      </c>
      <c r="B3585" s="62" t="inlineStr">
        <is>
          <t xml:space="preserve">    line_uci: list[str]</t>
        </is>
      </c>
    </row>
    <row r="3586">
      <c r="A3586" s="61" t="n">
        <v>33</v>
      </c>
      <c r="B3586" s="62" t="inlineStr">
        <is>
          <t xml:space="preserve">    line_san: list[str]</t>
        </is>
      </c>
    </row>
    <row r="3587">
      <c r="A3587" s="61" t="n">
        <v>34</v>
      </c>
      <c r="B3587" s="62" t="inlineStr">
        <is>
          <t xml:space="preserve">    cp_actual: int</t>
        </is>
      </c>
    </row>
    <row r="3588">
      <c r="A3588" s="61" t="n">
        <v>35</v>
      </c>
      <c r="B3588" s="62" t="inlineStr">
        <is>
          <t xml:space="preserve">    cp_candidate: int</t>
        </is>
      </c>
    </row>
    <row r="3589">
      <c r="A3589" s="61" t="n">
        <v>36</v>
      </c>
      <c r="B3589" s="62" t="inlineStr">
        <is>
          <t xml:space="preserve">    mate_candidate: int | None</t>
        </is>
      </c>
    </row>
    <row r="3590">
      <c r="A3590" s="61" t="n">
        <v>37</v>
      </c>
      <c r="B3590" s="62" t="inlineStr">
        <is>
          <t xml:space="preserve">    material_gain: int</t>
        </is>
      </c>
    </row>
    <row r="3591">
      <c r="A3591" s="61" t="n">
        <v>38</v>
      </c>
      <c r="B3591" s="62" t="inlineStr">
        <is>
          <t xml:space="preserve">    explanation: str</t>
        </is>
      </c>
    </row>
    <row r="3592">
      <c r="A3592" s="61" t="n">
        <v>39</v>
      </c>
      <c r="B3592" s="62" t="n"/>
    </row>
    <row r="3593">
      <c r="A3593" s="61" t="n">
        <v>40</v>
      </c>
      <c r="B3593" s="62" t="n"/>
    </row>
    <row r="3594">
      <c r="A3594" s="61" t="n">
        <v>41</v>
      </c>
      <c r="B3594" s="62" t="inlineStr">
        <is>
          <t>class ReviewOut(BaseModel):</t>
        </is>
      </c>
    </row>
    <row r="3595">
      <c r="A3595" s="61" t="n">
        <v>42</v>
      </c>
      <c r="B3595" s="62" t="inlineStr">
        <is>
          <t xml:space="preserve">    game_id: uuid.UUID</t>
        </is>
      </c>
    </row>
    <row r="3596">
      <c r="A3596" s="61" t="n">
        <v>43</v>
      </c>
      <c r="B3596" s="62" t="inlineStr">
        <is>
          <t xml:space="preserve">    pgn: str</t>
        </is>
      </c>
    </row>
    <row r="3597">
      <c r="A3597" s="61" t="n">
        <v>44</v>
      </c>
      <c r="B3597" s="62" t="inlineStr">
        <is>
          <t xml:space="preserve">    initial_fen: str</t>
        </is>
      </c>
    </row>
    <row r="3598">
      <c r="A3598" s="61" t="n">
        <v>45</v>
      </c>
      <c r="B3598" s="62" t="inlineStr">
        <is>
          <t xml:space="preserve">    player_color: str</t>
        </is>
      </c>
    </row>
    <row r="3599">
      <c r="A3599" s="61" t="n">
        <v>46</v>
      </c>
      <c r="B3599" s="62" t="inlineStr">
        <is>
          <t xml:space="preserve">    analysis_state: str  # not_started | running | succeeded | partial | failed</t>
        </is>
      </c>
    </row>
    <row r="3600">
      <c r="A3600" s="61" t="n">
        <v>47</v>
      </c>
      <c r="B3600" s="62" t="inlineStr">
        <is>
          <t xml:space="preserve">    pipeline_version: str</t>
        </is>
      </c>
    </row>
    <row r="3601">
      <c r="A3601" s="61" t="n">
        <v>48</v>
      </c>
      <c r="B3601" s="62" t="inlineStr">
        <is>
          <t xml:space="preserve">    engine: str | None</t>
        </is>
      </c>
    </row>
    <row r="3602">
      <c r="A3602" s="61" t="n">
        <v>49</v>
      </c>
      <c r="B3602" s="62" t="inlineStr">
        <is>
          <t xml:space="preserve">    limits: dict[str, Any]</t>
        </is>
      </c>
    </row>
    <row r="3603">
      <c r="A3603" s="61" t="n">
        <v>50</v>
      </c>
      <c r="B3603" s="62" t="inlineStr">
        <is>
          <t xml:space="preserve">    positions_total: int</t>
        </is>
      </c>
    </row>
    <row r="3604">
      <c r="A3604" s="61" t="n">
        <v>51</v>
      </c>
      <c r="B3604" s="62" t="inlineStr">
        <is>
          <t xml:space="preserve">    positions_analyzed: int</t>
        </is>
      </c>
    </row>
    <row r="3605">
      <c r="A3605" s="61" t="n">
        <v>52</v>
      </c>
      <c r="B3605" s="62" t="inlineStr">
        <is>
          <t xml:space="preserve">    findings: list[EvidenceOut]</t>
        </is>
      </c>
    </row>
    <row r="3606">
      <c r="A3606" s="61" t="n">
        <v>53</v>
      </c>
      <c r="B3606" s="62" t="inlineStr">
        <is>
          <t xml:space="preserve">    is_demo: bool = False</t>
        </is>
      </c>
    </row>
    <row r="3607">
      <c r="A3607" s="61" t="n">
        <v>54</v>
      </c>
      <c r="B3607" s="62" t="n"/>
    </row>
    <row r="3608">
      <c r="A3608" s="61" t="n">
        <v>55</v>
      </c>
      <c r="B3608" s="62" t="n"/>
    </row>
    <row r="3609">
      <c r="A3609" s="61" t="n">
        <v>56</v>
      </c>
      <c r="B3609" s="62" t="inlineStr">
        <is>
          <t>@router.get("/games/{game_id}/review", response_model=ReviewOut)</t>
        </is>
      </c>
    </row>
    <row r="3610">
      <c r="A3610" s="61" t="n">
        <v>57</v>
      </c>
      <c r="B3610" s="62" t="inlineStr">
        <is>
          <t>def read_review(game_id: uuid.UUID, visitor: Visitor = Depends(current_visitor), db: Session = Depends(get_db)) -&gt; ReviewOut:</t>
        </is>
      </c>
    </row>
    <row r="3611">
      <c r="A3611" s="61" t="n">
        <v>58</v>
      </c>
      <c r="B3611" s="62" t="inlineStr">
        <is>
          <t xml:space="preserve">    game = get_owned_game(db, game_id, visitor)</t>
        </is>
      </c>
    </row>
    <row r="3612">
      <c r="A3612" s="61" t="n">
        <v>59</v>
      </c>
      <c r="B3612" s="62" t="inlineStr">
        <is>
          <t xml:space="preserve">    run = db.scalar(select(AnalysisRun).where(AnalysisRun.game_id == game.id,</t>
        </is>
      </c>
    </row>
    <row r="3613">
      <c r="A3613" s="61" t="n">
        <v>60</v>
      </c>
      <c r="B3613" s="62" t="inlineStr">
        <is>
          <t xml:space="preserve">                                              AnalysisRun.pipeline_version == PIPELINE_VERSION))</t>
        </is>
      </c>
    </row>
    <row r="3614">
      <c r="A3614" s="61" t="n">
        <v>61</v>
      </c>
      <c r="B3614" s="62" t="inlineStr">
        <is>
          <t xml:space="preserve">    findings = []</t>
        </is>
      </c>
    </row>
    <row r="3615">
      <c r="A3615" s="61" t="n">
        <v>62</v>
      </c>
      <c r="B3615" s="62" t="inlineStr">
        <is>
          <t xml:space="preserve">    if run is not None:</t>
        </is>
      </c>
    </row>
    <row r="3616">
      <c r="A3616" s="61" t="n">
        <v>63</v>
      </c>
      <c r="B3616" s="62" t="inlineStr">
        <is>
          <t xml:space="preserve">        rows = db.scalars(select(TacticalEvidence).where(TacticalEvidence.analysis_run_id == run.id)</t>
        </is>
      </c>
    </row>
    <row r="3617">
      <c r="A3617" s="61" t="n">
        <v>64</v>
      </c>
      <c r="B3617" s="62" t="inlineStr">
        <is>
          <t xml:space="preserve">                          .order_by(TacticalEvidence.ply))</t>
        </is>
      </c>
    </row>
    <row r="3618">
      <c r="A3618" s="61" t="n">
        <v>65</v>
      </c>
      <c r="B3618" s="62" t="inlineStr">
        <is>
          <t xml:space="preserve">        findings = [EvidenceOut.model_validate(r, from_attributes=True) for r in rows]</t>
        </is>
      </c>
    </row>
    <row r="3619">
      <c r="A3619" s="61" t="n">
        <v>66</v>
      </c>
      <c r="B3619" s="62" t="inlineStr">
        <is>
          <t xml:space="preserve">    return ReviewOut(</t>
        </is>
      </c>
    </row>
    <row r="3620">
      <c r="A3620" s="61" t="n">
        <v>67</v>
      </c>
      <c r="B3620" s="62" t="inlineStr">
        <is>
          <t xml:space="preserve">        game_id=game.id, pgn=game.pgn, initial_fen=game.initial_fen, player_color=game.player_color,</t>
        </is>
      </c>
    </row>
    <row r="3621">
      <c r="A3621" s="61" t="n">
        <v>68</v>
      </c>
      <c r="B3621" s="62" t="inlineStr">
        <is>
          <t xml:space="preserve">        analysis_state=run.state if run else "not_started", pipeline_version=PIPELINE_VERSION,</t>
        </is>
      </c>
    </row>
    <row r="3622">
      <c r="A3622" s="61" t="n">
        <v>69</v>
      </c>
      <c r="B3622" s="62" t="inlineStr">
        <is>
          <t xml:space="preserve">        engine=run.engine_name if run else None, limits=run.limits if run else {},</t>
        </is>
      </c>
    </row>
    <row r="3623">
      <c r="A3623" s="61" t="n">
        <v>70</v>
      </c>
      <c r="B3623" s="62" t="inlineStr">
        <is>
          <t xml:space="preserve">        positions_total=run.positions_total if run else 0,</t>
        </is>
      </c>
    </row>
    <row r="3624">
      <c r="A3624" s="61" t="n">
        <v>71</v>
      </c>
      <c r="B3624" s="62" t="inlineStr">
        <is>
          <t xml:space="preserve">        positions_analyzed=run.positions_analyzed if run else 0, findings=findings)</t>
        </is>
      </c>
    </row>
    <row r="3625">
      <c r="A3625" s="61" t="n">
        <v>72</v>
      </c>
      <c r="B3625" s="62" t="n"/>
    </row>
    <row r="3626">
      <c r="A3626" s="61" t="n">
        <v>73</v>
      </c>
      <c r="B3626" s="62" t="n"/>
    </row>
    <row r="3627">
      <c r="A3627" s="61" t="n">
        <v>74</v>
      </c>
      <c r="B3627" s="62" t="inlineStr">
        <is>
          <t>@router.get("/demo/review", response_model=ReviewOut)</t>
        </is>
      </c>
    </row>
    <row r="3628">
      <c r="A3628" s="61" t="n">
        <v>75</v>
      </c>
      <c r="B3628" s="62" t="inlineStr">
        <is>
          <t>def demo_review() -&gt; ReviewOut:</t>
        </is>
      </c>
    </row>
    <row r="3629">
      <c r="A3629" s="61" t="n">
        <v>76</v>
      </c>
      <c r="B3629" s="62" t="inlineStr">
        <is>
          <t xml:space="preserve">    """Precomputed, public, and independent of the engine and of Lichess: always works for recruiters."""</t>
        </is>
      </c>
    </row>
    <row r="3630">
      <c r="A3630" s="61" t="n">
        <v>77</v>
      </c>
      <c r="B3630" s="62" t="inlineStr">
        <is>
          <t xml:space="preserve">    if not DEMO_FILE.exists():</t>
        </is>
      </c>
    </row>
    <row r="3631">
      <c r="A3631" s="61" t="n">
        <v>78</v>
      </c>
      <c r="B3631" s="62" t="inlineStr">
        <is>
          <t xml:space="preserve">        raise ApiError(404, "DEMO_MISSING", "The demo has not been generated yet.")</t>
        </is>
      </c>
    </row>
    <row r="3632">
      <c r="A3632" s="61" t="n">
        <v>79</v>
      </c>
      <c r="B3632" s="62" t="inlineStr">
        <is>
          <t xml:space="preserve">    return ReviewOut(**json.loads(DEMO_FILE.read_text(encoding="utf-8")), is_demo=True)</t>
        </is>
      </c>
    </row>
    <row r="3635">
      <c r="A3635" s="60" t="inlineStr">
        <is>
          <t>C57</t>
        </is>
      </c>
      <c r="B3635" s="60" t="inlineStr">
        <is>
          <t>apps/web/src/components/ReviewView.tsx   ·   Phase P9   ·   Board with arrows, findings, line stepping, practice button.</t>
        </is>
      </c>
    </row>
    <row r="3636">
      <c r="B3636" s="55" t="inlineStr">
        <is>
          <t>↑ back to Code Index</t>
        </is>
      </c>
    </row>
    <row r="3637">
      <c r="A3637" s="61" t="n">
        <v>1</v>
      </c>
      <c r="B3637" s="62" t="inlineStr">
        <is>
          <t>import { Chess } from "chess.js";</t>
        </is>
      </c>
    </row>
    <row r="3638">
      <c r="A3638" s="61" t="n">
        <v>2</v>
      </c>
      <c r="B3638" s="62" t="inlineStr">
        <is>
          <t>import { useMemo, useState } from "react";</t>
        </is>
      </c>
    </row>
    <row r="3639">
      <c r="A3639" s="61" t="n">
        <v>3</v>
      </c>
      <c r="B3639" s="62" t="inlineStr">
        <is>
          <t>import { Chessboard } from "react-chessboard";</t>
        </is>
      </c>
    </row>
    <row r="3640">
      <c r="A3640" s="61" t="n">
        <v>4</v>
      </c>
      <c r="B3640" s="62" t="inlineStr">
        <is>
          <t>import { useNavigate } from "react-router-dom";</t>
        </is>
      </c>
    </row>
    <row r="3641">
      <c r="A3641" s="61" t="n">
        <v>5</v>
      </c>
      <c r="B3641" s="62" t="inlineStr">
        <is>
          <t>import { ApiError, post } from "../api/client";</t>
        </is>
      </c>
    </row>
    <row r="3642">
      <c r="A3642" s="61" t="n">
        <v>6</v>
      </c>
      <c r="B3642" s="62" t="inlineStr">
        <is>
          <t>import type { Evidence, PracticeSession, Review } from "../api/types";</t>
        </is>
      </c>
    </row>
    <row r="3643">
      <c r="A3643" s="61" t="n">
        <v>7</v>
      </c>
      <c r="B3643" s="62" t="inlineStr">
        <is>
          <t>import { positionsFromPgn } from "../game/chessHelpers";</t>
        </is>
      </c>
    </row>
    <row r="3644">
      <c r="A3644" s="61" t="n">
        <v>8</v>
      </c>
      <c r="B3644" s="62" t="inlineStr">
        <is>
          <t>import { MoveList } from "./MoveList";</t>
        </is>
      </c>
    </row>
    <row r="3645">
      <c r="A3645" s="61" t="n">
        <v>9</v>
      </c>
      <c r="B3645" s="62" t="n"/>
    </row>
    <row r="3646">
      <c r="A3646" s="61" t="n">
        <v>10</v>
      </c>
      <c r="B3646" s="62" t="inlineStr">
        <is>
          <t>type Arrow = [string, string, string];</t>
        </is>
      </c>
    </row>
    <row r="3647">
      <c r="A3647" s="61" t="n">
        <v>11</v>
      </c>
      <c r="B3647" s="62" t="n"/>
    </row>
    <row r="3648">
      <c r="A3648" s="61" t="n">
        <v>12</v>
      </c>
      <c r="B3648" s="62" t="inlineStr">
        <is>
          <t>/** Shared by the private review page and the public demo. Shows evidence, never invented prose. */</t>
        </is>
      </c>
    </row>
    <row r="3649">
      <c r="A3649" s="61" t="n">
        <v>13</v>
      </c>
      <c r="B3649" s="62" t="inlineStr">
        <is>
          <t>export function ReviewView({ review }: { review: Review }) {</t>
        </is>
      </c>
    </row>
    <row r="3650">
      <c r="A3650" s="61" t="n">
        <v>14</v>
      </c>
      <c r="B3650" s="62" t="inlineStr">
        <is>
          <t xml:space="preserve">  const navigate = useNavigate();</t>
        </is>
      </c>
    </row>
    <row r="3651">
      <c r="A3651" s="61" t="n">
        <v>15</v>
      </c>
      <c r="B3651" s="62" t="inlineStr">
        <is>
          <t xml:space="preserve">  const { positions, sans } = useMemo(() =&gt; positionsFromPgn(review.pgn), [review.pgn]);</t>
        </is>
      </c>
    </row>
    <row r="3652">
      <c r="A3652" s="61" t="n">
        <v>16</v>
      </c>
      <c r="B3652" s="62" t="inlineStr">
        <is>
          <t xml:space="preserve">  const [ply, setPly] = useState(review.findings[0]?.ply ?? 0);</t>
        </is>
      </c>
    </row>
    <row r="3653">
      <c r="A3653" s="61" t="n">
        <v>17</v>
      </c>
      <c r="B3653" s="62" t="inlineStr">
        <is>
          <t xml:space="preserve">  const [active, setActive] = useState&lt;Evidence | null&gt;(review.findings[0] ?? null);</t>
        </is>
      </c>
    </row>
    <row r="3654">
      <c r="A3654" s="61" t="n">
        <v>18</v>
      </c>
      <c r="B3654" s="62" t="inlineStr">
        <is>
          <t xml:space="preserve">  const [lineStep, setLineStep] = useState(0); // 0 = show the position before the missed move</t>
        </is>
      </c>
    </row>
    <row r="3655">
      <c r="A3655" s="61" t="n">
        <v>19</v>
      </c>
      <c r="B3655" s="62" t="inlineStr">
        <is>
          <t xml:space="preserve">  const [error, setError] = useState&lt;string | null&gt;(null);</t>
        </is>
      </c>
    </row>
    <row r="3656">
      <c r="A3656" s="61" t="n">
        <v>20</v>
      </c>
      <c r="B3656" s="62" t="n"/>
    </row>
    <row r="3657">
      <c r="A3657" s="61" t="n">
        <v>21</v>
      </c>
      <c r="B3657" s="62" t="inlineStr">
        <is>
          <t xml:space="preserve">  const fen = active &amp;&amp; lineStep &gt; 0 ? fenAfterLine(active, lineStep) : positions[ply];</t>
        </is>
      </c>
    </row>
    <row r="3658">
      <c r="A3658" s="61" t="n">
        <v>22</v>
      </c>
      <c r="B3658" s="62" t="inlineStr">
        <is>
          <t xml:space="preserve">  const arrows: Arrow[] = active &amp;&amp; active.ply === ply &amp;&amp; lineStep === 0</t>
        </is>
      </c>
    </row>
    <row r="3659">
      <c r="A3659" s="61" t="n">
        <v>23</v>
      </c>
      <c r="B3659" s="62" t="inlineStr">
        <is>
          <t xml:space="preserve">    ? [[active.actual_uci.slice(0, 2), active.actual_uci.slice(2, 4), "rgb(220, 38, 38)"],</t>
        </is>
      </c>
    </row>
    <row r="3660">
      <c r="A3660" s="61" t="n">
        <v>24</v>
      </c>
      <c r="B3660" s="62" t="inlineStr">
        <is>
          <t xml:space="preserve">       [active.candidate_uci.slice(0, 2), active.candidate_uci.slice(2, 4), "rgb(22, 163, 74)"]]</t>
        </is>
      </c>
    </row>
    <row r="3661">
      <c r="A3661" s="61" t="n">
        <v>25</v>
      </c>
      <c r="B3661" s="62" t="inlineStr">
        <is>
          <t xml:space="preserve">    : [];</t>
        </is>
      </c>
    </row>
    <row r="3662">
      <c r="A3662" s="61" t="n">
        <v>26</v>
      </c>
      <c r="B3662" s="62" t="n"/>
    </row>
    <row r="3663">
      <c r="A3663" s="61" t="n">
        <v>27</v>
      </c>
      <c r="B3663" s="62" t="inlineStr">
        <is>
          <t xml:space="preserve">  function selectFinding(f: Evidence) {</t>
        </is>
      </c>
    </row>
    <row r="3664">
      <c r="A3664" s="61" t="n">
        <v>28</v>
      </c>
      <c r="B3664" s="62" t="inlineStr">
        <is>
          <t xml:space="preserve">    setActive(f);</t>
        </is>
      </c>
    </row>
    <row r="3665">
      <c r="A3665" s="61" t="n">
        <v>29</v>
      </c>
      <c r="B3665" s="62" t="inlineStr">
        <is>
          <t xml:space="preserve">    setPly(f.ply);</t>
        </is>
      </c>
    </row>
    <row r="3666">
      <c r="A3666" s="61" t="n">
        <v>30</v>
      </c>
      <c r="B3666" s="62" t="inlineStr">
        <is>
          <t xml:space="preserve">    setLineStep(0);</t>
        </is>
      </c>
    </row>
    <row r="3667">
      <c r="A3667" s="61" t="n">
        <v>31</v>
      </c>
      <c r="B3667" s="62" t="inlineStr">
        <is>
          <t xml:space="preserve">  }</t>
        </is>
      </c>
    </row>
    <row r="3668">
      <c r="A3668" s="61" t="n">
        <v>32</v>
      </c>
      <c r="B3668" s="62" t="n"/>
    </row>
    <row r="3669">
      <c r="A3669" s="61" t="n">
        <v>33</v>
      </c>
      <c r="B3669" s="62" t="inlineStr">
        <is>
          <t xml:space="preserve">  async function practice(f: Evidence) {</t>
        </is>
      </c>
    </row>
    <row r="3670">
      <c r="A3670" s="61" t="n">
        <v>34</v>
      </c>
      <c r="B3670" s="62" t="inlineStr">
        <is>
          <t xml:space="preserve">    if (review.is_demo) return navigate("/practice");</t>
        </is>
      </c>
    </row>
    <row r="3671">
      <c r="A3671" s="61" t="n">
        <v>35</v>
      </c>
      <c r="B3671" s="62" t="inlineStr">
        <is>
          <t xml:space="preserve">    try {</t>
        </is>
      </c>
    </row>
    <row r="3672">
      <c r="A3672" s="61" t="n">
        <v>36</v>
      </c>
      <c r="B3672" s="62" t="inlineStr">
        <is>
          <t xml:space="preserve">      const s = await post&lt;PracticeSession&gt;("/v1/practice/sessions", { evidence_id: f.id });</t>
        </is>
      </c>
    </row>
    <row r="3673">
      <c r="A3673" s="61" t="n">
        <v>37</v>
      </c>
      <c r="B3673" s="62" t="inlineStr">
        <is>
          <t xml:space="preserve">      navigate(`/practice/${s.session_id}`);</t>
        </is>
      </c>
    </row>
    <row r="3674">
      <c r="A3674" s="61" t="n">
        <v>38</v>
      </c>
      <c r="B3674" s="62" t="inlineStr">
        <is>
          <t xml:space="preserve">    } catch (e) {</t>
        </is>
      </c>
    </row>
    <row r="3675">
      <c r="A3675" s="61" t="n">
        <v>39</v>
      </c>
      <c r="B3675" s="62" t="inlineStr">
        <is>
          <t xml:space="preserve">      setError(e instanceof ApiError ? e.message : "Could not start practice.");</t>
        </is>
      </c>
    </row>
    <row r="3676">
      <c r="A3676" s="61" t="n">
        <v>40</v>
      </c>
      <c r="B3676" s="62" t="inlineStr">
        <is>
          <t xml:space="preserve">    }</t>
        </is>
      </c>
    </row>
    <row r="3677">
      <c r="A3677" s="61" t="n">
        <v>41</v>
      </c>
      <c r="B3677" s="62" t="inlineStr">
        <is>
          <t xml:space="preserve">  }</t>
        </is>
      </c>
    </row>
    <row r="3678">
      <c r="A3678" s="61" t="n">
        <v>42</v>
      </c>
      <c r="B3678" s="62" t="n"/>
    </row>
    <row r="3679">
      <c r="A3679" s="61" t="n">
        <v>43</v>
      </c>
      <c r="B3679" s="62" t="inlineStr">
        <is>
          <t xml:space="preserve">  return (</t>
        </is>
      </c>
    </row>
    <row r="3680">
      <c r="A3680" s="61" t="n">
        <v>44</v>
      </c>
      <c r="B3680" s="62" t="inlineStr">
        <is>
          <t xml:space="preserve">    &lt;section className="review"&gt;</t>
        </is>
      </c>
    </row>
    <row r="3681">
      <c r="A3681" s="61" t="n">
        <v>45</v>
      </c>
      <c r="B3681" s="62" t="inlineStr">
        <is>
          <t xml:space="preserve">      &lt;div className="board-wrap"&gt;</t>
        </is>
      </c>
    </row>
    <row r="3682">
      <c r="A3682" s="61" t="n">
        <v>46</v>
      </c>
      <c r="B3682" s="62" t="inlineStr">
        <is>
          <t xml:space="preserve">        &lt;Chessboard id="review-board" position={fen} arePiecesDraggable={false} customArrows={arrows as never}</t>
        </is>
      </c>
    </row>
    <row r="3683">
      <c r="A3683" s="61" t="n">
        <v>47</v>
      </c>
      <c r="B3683" s="62" t="inlineStr">
        <is>
          <t xml:space="preserve">          boardOrientation={review.player_color} /&gt;</t>
        </is>
      </c>
    </row>
    <row r="3684">
      <c r="A3684" s="61" t="n">
        <v>48</v>
      </c>
      <c r="B3684" s="62" t="inlineStr">
        <is>
          <t xml:space="preserve">        &lt;div className="actions"&gt;</t>
        </is>
      </c>
    </row>
    <row r="3685">
      <c r="A3685" s="61" t="n">
        <v>49</v>
      </c>
      <c r="B3685" s="62" t="inlineStr">
        <is>
          <t xml:space="preserve">          &lt;button onClick={() =&gt; { setLineStep(0); setPly(Math.max(0, ply - 1)); }} aria-label="Previous move"&gt;◀&lt;/button&gt;</t>
        </is>
      </c>
    </row>
    <row r="3686">
      <c r="A3686" s="61" t="n">
        <v>50</v>
      </c>
      <c r="B3686" s="62" t="inlineStr">
        <is>
          <t xml:space="preserve">          &lt;button onClick={() =&gt; { setLineStep(0); setPly(Math.min(positions.length - 1, ply + 1)); }} aria-label="Next move"&gt;▶&lt;/button&gt;</t>
        </is>
      </c>
    </row>
    <row r="3687">
      <c r="A3687" s="61" t="n">
        <v>51</v>
      </c>
      <c r="B3687" s="62" t="inlineStr">
        <is>
          <t xml:space="preserve">        &lt;/div&gt;</t>
        </is>
      </c>
    </row>
    <row r="3688">
      <c r="A3688" s="61" t="n">
        <v>52</v>
      </c>
      <c r="B3688" s="62" t="inlineStr">
        <is>
          <t xml:space="preserve">      &lt;/div&gt;</t>
        </is>
      </c>
    </row>
    <row r="3689">
      <c r="A3689" s="61" t="n">
        <v>53</v>
      </c>
      <c r="B3689" s="62" t="inlineStr">
        <is>
          <t xml:space="preserve">      &lt;aside className="panel"&gt;</t>
        </is>
      </c>
    </row>
    <row r="3690">
      <c r="A3690" s="61" t="n">
        <v>54</v>
      </c>
      <c r="B3690" s="62" t="inlineStr">
        <is>
          <t xml:space="preserve">        &lt;p className="coverage"&gt;</t>
        </is>
      </c>
    </row>
    <row r="3691">
      <c r="A3691" s="61" t="n">
        <v>55</v>
      </c>
      <c r="B3691" s="62" t="inlineStr">
        <is>
          <t xml:space="preserve">          Analysed {review.positions_analyzed} of {review.positions_total} of your moves</t>
        </is>
      </c>
    </row>
    <row r="3692">
      <c r="A3692" s="61" t="n">
        <v>56</v>
      </c>
      <c r="B3692" s="62" t="inlineStr">
        <is>
          <t xml:space="preserve">          {review.engine ? ` with ${review.engine}` : ""} · pipeline {review.pipeline_version}</t>
        </is>
      </c>
    </row>
    <row r="3693">
      <c r="A3693" s="61" t="n">
        <v>57</v>
      </c>
      <c r="B3693" s="62" t="inlineStr">
        <is>
          <t xml:space="preserve">          {review.analysis_state === "partial" &amp;&amp; " · partial analysis"}</t>
        </is>
      </c>
    </row>
    <row r="3694">
      <c r="A3694" s="61" t="n">
        <v>58</v>
      </c>
      <c r="B3694" s="62" t="inlineStr">
        <is>
          <t xml:space="preserve">        &lt;/p&gt;</t>
        </is>
      </c>
    </row>
    <row r="3695">
      <c r="A3695" s="61" t="n">
        <v>59</v>
      </c>
      <c r="B3695" s="62" t="inlineStr">
        <is>
          <t xml:space="preserve">        {review.findings.length === 0 &amp;&amp; review.analysis_state === "succeeded" &amp;&amp; (</t>
        </is>
      </c>
    </row>
    <row r="3696">
      <c r="A3696" s="61" t="n">
        <v>60</v>
      </c>
      <c r="B3696" s="62" t="inlineStr">
        <is>
          <t xml:space="preserve">          &lt;p&gt;No missed knight forks were detected in this game at our analysis budget.&lt;/p&gt;</t>
        </is>
      </c>
    </row>
    <row r="3697">
      <c r="A3697" s="61" t="n">
        <v>61</v>
      </c>
      <c r="B3697" s="62" t="inlineStr">
        <is>
          <t xml:space="preserve">        )}</t>
        </is>
      </c>
    </row>
    <row r="3698">
      <c r="A3698" s="61" t="n">
        <v>62</v>
      </c>
      <c r="B3698" s="62" t="inlineStr">
        <is>
          <t xml:space="preserve">        &lt;ol className="findings"&gt;</t>
        </is>
      </c>
    </row>
    <row r="3699">
      <c r="A3699" s="61" t="n">
        <v>63</v>
      </c>
      <c r="B3699" s="62" t="inlineStr">
        <is>
          <t xml:space="preserve">          {review.findings.map((f) =&gt; (</t>
        </is>
      </c>
    </row>
    <row r="3700">
      <c r="A3700" s="61" t="n">
        <v>64</v>
      </c>
      <c r="B3700" s="62" t="inlineStr">
        <is>
          <t xml:space="preserve">            &lt;li key={f.id} className={f === active ? "active" : ""}&gt;</t>
        </is>
      </c>
    </row>
    <row r="3701">
      <c r="A3701" s="61" t="n">
        <v>65</v>
      </c>
      <c r="B3701" s="62" t="inlineStr">
        <is>
          <t xml:space="preserve">              &lt;button className="link" onClick={() =&gt; selectFinding(f)}&gt;</t>
        </is>
      </c>
    </row>
    <row r="3702">
      <c r="A3702" s="61" t="n">
        <v>66</v>
      </c>
      <c r="B3702" s="62" t="inlineStr">
        <is>
          <t xml:space="preserve">                Move {Math.floor(f.ply / 2) + 1}: missed {f.candidate_san}</t>
        </is>
      </c>
    </row>
    <row r="3703">
      <c r="A3703" s="61" t="n">
        <v>67</v>
      </c>
      <c r="B3703" s="62" t="inlineStr">
        <is>
          <t xml:space="preserve">              &lt;/button&gt;</t>
        </is>
      </c>
    </row>
    <row r="3704">
      <c r="A3704" s="61" t="n">
        <v>68</v>
      </c>
      <c r="B3704" s="62" t="inlineStr">
        <is>
          <t xml:space="preserve">              {f === active &amp;&amp; (</t>
        </is>
      </c>
    </row>
    <row r="3705">
      <c r="A3705" s="61" t="n">
        <v>69</v>
      </c>
      <c r="B3705" s="62" t="inlineStr">
        <is>
          <t xml:space="preserve">                &lt;div&gt;</t>
        </is>
      </c>
    </row>
    <row r="3706">
      <c r="A3706" s="61" t="n">
        <v>70</v>
      </c>
      <c r="B3706" s="62" t="inlineStr">
        <is>
          <t xml:space="preserve">                  &lt;p&gt;{f.explanation}&lt;/p&gt;</t>
        </is>
      </c>
    </row>
    <row r="3707">
      <c r="A3707" s="61" t="n">
        <v>71</v>
      </c>
      <c r="B3707" s="62" t="inlineStr">
        <is>
          <t xml:space="preserve">                  &lt;p className="line"&gt;</t>
        </is>
      </c>
    </row>
    <row r="3708">
      <c r="A3708" s="61" t="n">
        <v>72</v>
      </c>
      <c r="B3708" s="62" t="inlineStr">
        <is>
          <t xml:space="preserve">                    Line: {f.line_san.map((san, i) =&gt; (</t>
        </is>
      </c>
    </row>
    <row r="3709">
      <c r="A3709" s="61" t="n">
        <v>73</v>
      </c>
      <c r="B3709" s="62" t="inlineStr">
        <is>
          <t xml:space="preserve">                      &lt;button key={i} className={`move ${lineStep === i + 1 ? "current" : ""}`}</t>
        </is>
      </c>
    </row>
    <row r="3710">
      <c r="A3710" s="61" t="n">
        <v>74</v>
      </c>
      <c r="B3710" s="62" t="inlineStr">
        <is>
          <t xml:space="preserve">                        onClick={() =&gt; setLineStep(i + 1)}&gt;{san}&lt;/button&gt;</t>
        </is>
      </c>
    </row>
    <row r="3711">
      <c r="A3711" s="61" t="n">
        <v>75</v>
      </c>
      <c r="B3711" s="62" t="inlineStr">
        <is>
          <t xml:space="preserve">                    ))}</t>
        </is>
      </c>
    </row>
    <row r="3712">
      <c r="A3712" s="61" t="n">
        <v>76</v>
      </c>
      <c r="B3712" s="62" t="inlineStr">
        <is>
          <t xml:space="preserve">                  &lt;/p&gt;</t>
        </is>
      </c>
    </row>
    <row r="3713">
      <c r="A3713" s="61" t="n">
        <v>77</v>
      </c>
      <c r="B3713" s="62" t="inlineStr">
        <is>
          <t xml:space="preserve">                  &lt;button className="primary" onClick={() =&gt; practice(f)}&gt;Practice this idea&lt;/button&gt;</t>
        </is>
      </c>
    </row>
    <row r="3714">
      <c r="A3714" s="61" t="n">
        <v>78</v>
      </c>
      <c r="B3714" s="62" t="inlineStr">
        <is>
          <t xml:space="preserve">                &lt;/div&gt;</t>
        </is>
      </c>
    </row>
    <row r="3715">
      <c r="A3715" s="61" t="n">
        <v>79</v>
      </c>
      <c r="B3715" s="62" t="inlineStr">
        <is>
          <t xml:space="preserve">              )}</t>
        </is>
      </c>
    </row>
    <row r="3716">
      <c r="A3716" s="61" t="n">
        <v>80</v>
      </c>
      <c r="B3716" s="62" t="inlineStr">
        <is>
          <t xml:space="preserve">            &lt;/li&gt;</t>
        </is>
      </c>
    </row>
    <row r="3717">
      <c r="A3717" s="61" t="n">
        <v>81</v>
      </c>
      <c r="B3717" s="62" t="inlineStr">
        <is>
          <t xml:space="preserve">          ))}</t>
        </is>
      </c>
    </row>
    <row r="3718">
      <c r="A3718" s="61" t="n">
        <v>82</v>
      </c>
      <c r="B3718" s="62" t="inlineStr">
        <is>
          <t xml:space="preserve">        &lt;/ol&gt;</t>
        </is>
      </c>
    </row>
    <row r="3719">
      <c r="A3719" s="61" t="n">
        <v>83</v>
      </c>
      <c r="B3719" s="62" t="inlineStr">
        <is>
          <t xml:space="preserve">        {error &amp;&amp; &lt;p className="error" role="alert"&gt;{error}&lt;/p&gt;}</t>
        </is>
      </c>
    </row>
    <row r="3720">
      <c r="A3720" s="61" t="n">
        <v>84</v>
      </c>
      <c r="B3720" s="62" t="inlineStr">
        <is>
          <t xml:space="preserve">        &lt;MoveList sans={sans} current={ply - 1} onSelect={(p) =&gt; { setLineStep(0); setPly(p + 1); }}</t>
        </is>
      </c>
    </row>
    <row r="3721">
      <c r="A3721" s="61" t="n">
        <v>85</v>
      </c>
      <c r="B3721" s="62" t="inlineStr">
        <is>
          <t xml:space="preserve">          highlight={review.findings.map((f) =&gt; f.ply)} /&gt;</t>
        </is>
      </c>
    </row>
    <row r="3722">
      <c r="A3722" s="61" t="n">
        <v>86</v>
      </c>
      <c r="B3722" s="62" t="inlineStr">
        <is>
          <t xml:space="preserve">      &lt;/aside&gt;</t>
        </is>
      </c>
    </row>
    <row r="3723">
      <c r="A3723" s="61" t="n">
        <v>87</v>
      </c>
      <c r="B3723" s="62" t="inlineStr">
        <is>
          <t xml:space="preserve">    &lt;/section&gt;</t>
        </is>
      </c>
    </row>
    <row r="3724">
      <c r="A3724" s="61" t="n">
        <v>88</v>
      </c>
      <c r="B3724" s="62" t="inlineStr">
        <is>
          <t xml:space="preserve">  );</t>
        </is>
      </c>
    </row>
    <row r="3725">
      <c r="A3725" s="61" t="n">
        <v>89</v>
      </c>
      <c r="B3725" s="62" t="inlineStr">
        <is>
          <t>}</t>
        </is>
      </c>
    </row>
    <row r="3726">
      <c r="A3726" s="61" t="n">
        <v>90</v>
      </c>
      <c r="B3726" s="62" t="n"/>
    </row>
    <row r="3727">
      <c r="A3727" s="61" t="n">
        <v>91</v>
      </c>
      <c r="B3727" s="62" t="inlineStr">
        <is>
          <t>function fenAfterLine(f: Evidence, steps: number): string {</t>
        </is>
      </c>
    </row>
    <row r="3728">
      <c r="A3728" s="61" t="n">
        <v>92</v>
      </c>
      <c r="B3728" s="62" t="inlineStr">
        <is>
          <t xml:space="preserve">  // Replays the stored, verified line from the position before the missed move.</t>
        </is>
      </c>
    </row>
    <row r="3729">
      <c r="A3729" s="61" t="n">
        <v>93</v>
      </c>
      <c r="B3729" s="62" t="inlineStr">
        <is>
          <t xml:space="preserve">  const chess = new Chess(f.fen_before);</t>
        </is>
      </c>
    </row>
    <row r="3730">
      <c r="A3730" s="61" t="n">
        <v>94</v>
      </c>
      <c r="B3730" s="62" t="inlineStr">
        <is>
          <t xml:space="preserve">  for (const uci of f.line_uci.slice(0, steps)) {</t>
        </is>
      </c>
    </row>
    <row r="3731">
      <c r="A3731" s="61" t="n">
        <v>95</v>
      </c>
      <c r="B3731" s="62" t="inlineStr">
        <is>
          <t xml:space="preserve">    chess.move({ from: uci.slice(0, 2), to: uci.slice(2, 4), promotion: uci[4] });</t>
        </is>
      </c>
    </row>
    <row r="3732">
      <c r="A3732" s="61" t="n">
        <v>96</v>
      </c>
      <c r="B3732" s="62" t="inlineStr">
        <is>
          <t xml:space="preserve">  }</t>
        </is>
      </c>
    </row>
    <row r="3733">
      <c r="A3733" s="61" t="n">
        <v>97</v>
      </c>
      <c r="B3733" s="62" t="inlineStr">
        <is>
          <t xml:space="preserve">  return chess.fen();</t>
        </is>
      </c>
    </row>
    <row r="3734">
      <c r="A3734" s="61" t="n">
        <v>98</v>
      </c>
      <c r="B3734" s="62" t="inlineStr">
        <is>
          <t>}</t>
        </is>
      </c>
    </row>
    <row r="3737">
      <c r="A3737" s="60" t="inlineStr">
        <is>
          <t>C58</t>
        </is>
      </c>
      <c r="B3737" s="60" t="inlineStr">
        <is>
          <t>apps/web/src/pages/ReviewPage.tsx   ·   Phase P9   ·   Polls analysis until final, then shows the review.</t>
        </is>
      </c>
    </row>
    <row r="3738">
      <c r="B3738" s="55" t="inlineStr">
        <is>
          <t>↑ back to Code Index</t>
        </is>
      </c>
    </row>
    <row r="3739">
      <c r="A3739" s="61" t="n">
        <v>1</v>
      </c>
      <c r="B3739" s="62" t="inlineStr">
        <is>
          <t>import { useParams } from "react-router-dom";</t>
        </is>
      </c>
    </row>
    <row r="3740">
      <c r="A3740" s="61" t="n">
        <v>2</v>
      </c>
      <c r="B3740" s="62" t="inlineStr">
        <is>
          <t>import { api } from "../api/client";</t>
        </is>
      </c>
    </row>
    <row r="3741">
      <c r="A3741" s="61" t="n">
        <v>3</v>
      </c>
      <c r="B3741" s="62" t="inlineStr">
        <is>
          <t>import type { Review } from "../api/types";</t>
        </is>
      </c>
    </row>
    <row r="3742">
      <c r="A3742" s="61" t="n">
        <v>4</v>
      </c>
      <c r="B3742" s="62" t="inlineStr">
        <is>
          <t>import { ReviewView } from "../components/ReviewView";</t>
        </is>
      </c>
    </row>
    <row r="3743">
      <c r="A3743" s="61" t="n">
        <v>5</v>
      </c>
      <c r="B3743" s="62" t="inlineStr">
        <is>
          <t>import { usePolling } from "../hooks/usePolling";</t>
        </is>
      </c>
    </row>
    <row r="3744">
      <c r="A3744" s="61" t="n">
        <v>6</v>
      </c>
      <c r="B3744" s="62" t="n"/>
    </row>
    <row r="3745">
      <c r="A3745" s="61" t="n">
        <v>7</v>
      </c>
      <c r="B3745" s="62" t="inlineStr">
        <is>
          <t>const FINAL = ["succeeded", "partial", "failed"];</t>
        </is>
      </c>
    </row>
    <row r="3746">
      <c r="A3746" s="61" t="n">
        <v>8</v>
      </c>
      <c r="B3746" s="62" t="n"/>
    </row>
    <row r="3747">
      <c r="A3747" s="61" t="n">
        <v>9</v>
      </c>
      <c r="B3747" s="62" t="inlineStr">
        <is>
          <t>export function ReviewPage() {</t>
        </is>
      </c>
    </row>
    <row r="3748">
      <c r="A3748" s="61" t="n">
        <v>10</v>
      </c>
      <c r="B3748" s="62" t="inlineStr">
        <is>
          <t xml:space="preserve">  const { gameId = "" } = useParams();</t>
        </is>
      </c>
    </row>
    <row r="3749">
      <c r="A3749" s="61" t="n">
        <v>11</v>
      </c>
      <c r="B3749" s="62" t="inlineStr">
        <is>
          <t xml:space="preserve">  const { data, error } = usePolling(</t>
        </is>
      </c>
    </row>
    <row r="3750">
      <c r="A3750" s="61" t="n">
        <v>12</v>
      </c>
      <c r="B3750" s="62" t="inlineStr">
        <is>
          <t xml:space="preserve">    () =&gt; api&lt;Review&gt;(`/v1/games/${gameId}/review`),</t>
        </is>
      </c>
    </row>
    <row r="3751">
      <c r="A3751" s="61" t="n">
        <v>13</v>
      </c>
      <c r="B3751" s="62" t="inlineStr">
        <is>
          <t xml:space="preserve">    (r) =&gt; FINAL.includes(r.analysis_state),</t>
        </is>
      </c>
    </row>
    <row r="3752">
      <c r="A3752" s="61" t="n">
        <v>14</v>
      </c>
      <c r="B3752" s="62" t="inlineStr">
        <is>
          <t xml:space="preserve">    gameId,</t>
        </is>
      </c>
    </row>
    <row r="3753">
      <c r="A3753" s="61" t="n">
        <v>15</v>
      </c>
      <c r="B3753" s="62" t="inlineStr">
        <is>
          <t xml:space="preserve">  );</t>
        </is>
      </c>
    </row>
    <row r="3754">
      <c r="A3754" s="61" t="n">
        <v>16</v>
      </c>
      <c r="B3754" s="62" t="inlineStr">
        <is>
          <t xml:space="preserve">  if (error &amp;&amp; !data) return &lt;p className="error" role="alert"&gt;{error.message}&lt;/p&gt;;</t>
        </is>
      </c>
    </row>
    <row r="3755">
      <c r="A3755" s="61" t="n">
        <v>17</v>
      </c>
      <c r="B3755" s="62" t="inlineStr">
        <is>
          <t xml:space="preserve">  if (!data) return &lt;p&gt;Loading review…&lt;/p&gt;;</t>
        </is>
      </c>
    </row>
    <row r="3756">
      <c r="A3756" s="61" t="n">
        <v>18</v>
      </c>
      <c r="B3756" s="62" t="inlineStr">
        <is>
          <t xml:space="preserve">  if (!FINAL.includes(data.analysis_state)) {</t>
        </is>
      </c>
    </row>
    <row r="3757">
      <c r="A3757" s="61" t="n">
        <v>19</v>
      </c>
      <c r="B3757" s="62" t="inlineStr">
        <is>
          <t xml:space="preserve">    return (</t>
        </is>
      </c>
    </row>
    <row r="3758">
      <c r="A3758" s="61" t="n">
        <v>20</v>
      </c>
      <c r="B3758" s="62" t="inlineStr">
        <is>
          <t xml:space="preserve">      &lt;section&gt;</t>
        </is>
      </c>
    </row>
    <row r="3759">
      <c r="A3759" s="61" t="n">
        <v>21</v>
      </c>
      <c r="B3759" s="62" t="inlineStr">
        <is>
          <t xml:space="preserve">        &lt;h1&gt;Analysing your game…&lt;/h1&gt;</t>
        </is>
      </c>
    </row>
    <row r="3760">
      <c r="A3760" s="61" t="n">
        <v>22</v>
      </c>
      <c r="B3760" s="62" t="inlineStr">
        <is>
          <t xml:space="preserve">        &lt;p aria-live="polite"&gt;</t>
        </is>
      </c>
    </row>
    <row r="3761">
      <c r="A3761" s="61" t="n">
        <v>23</v>
      </c>
      <c r="B3761" s="62" t="inlineStr">
        <is>
          <t xml:space="preserve">          {data.positions_total ? `${data.positions_analyzed} of ${data.positions_total} positions checked.` : "Waiting for a worker."}</t>
        </is>
      </c>
    </row>
    <row r="3762">
      <c r="A3762" s="61" t="n">
        <v>24</v>
      </c>
      <c r="B3762" s="62" t="inlineStr">
        <is>
          <t xml:space="preserve">        &lt;/p&gt;</t>
        </is>
      </c>
    </row>
    <row r="3763">
      <c r="A3763" s="61" t="n">
        <v>25</v>
      </c>
      <c r="B3763" s="62" t="inlineStr">
        <is>
          <t xml:space="preserve">        &lt;p&gt;You can leave this page; the analysis continues and your results will be here when you come back.&lt;/p&gt;</t>
        </is>
      </c>
    </row>
    <row r="3764">
      <c r="A3764" s="61" t="n">
        <v>26</v>
      </c>
      <c r="B3764" s="62" t="inlineStr">
        <is>
          <t xml:space="preserve">      &lt;/section&gt;</t>
        </is>
      </c>
    </row>
    <row r="3765">
      <c r="A3765" s="61" t="n">
        <v>27</v>
      </c>
      <c r="B3765" s="62" t="inlineStr">
        <is>
          <t xml:space="preserve">    );</t>
        </is>
      </c>
    </row>
    <row r="3766">
      <c r="A3766" s="61" t="n">
        <v>28</v>
      </c>
      <c r="B3766" s="62" t="inlineStr">
        <is>
          <t xml:space="preserve">  }</t>
        </is>
      </c>
    </row>
    <row r="3767">
      <c r="A3767" s="61" t="n">
        <v>29</v>
      </c>
      <c r="B3767" s="62" t="inlineStr">
        <is>
          <t xml:space="preserve">  if (data.analysis_state === "failed") return &lt;p className="error"&gt;Analysis failed. Please try again later.&lt;/p&gt;;</t>
        </is>
      </c>
    </row>
    <row r="3768">
      <c r="A3768" s="61" t="n">
        <v>30</v>
      </c>
      <c r="B3768" s="62" t="inlineStr">
        <is>
          <t xml:space="preserve">  return &lt;ReviewView review={data} /&gt;;</t>
        </is>
      </c>
    </row>
    <row r="3769">
      <c r="A3769" s="61" t="n">
        <v>31</v>
      </c>
      <c r="B3769" s="62" t="inlineStr">
        <is>
          <t>}</t>
        </is>
      </c>
    </row>
    <row r="3772">
      <c r="A3772" s="60" t="inlineStr">
        <is>
          <t>C59</t>
        </is>
      </c>
      <c r="B3772" s="60" t="inlineStr">
        <is>
          <t>apps/web/src/pages/DemoPage.tsx   ·   Phase P9   ·   Public sample review, no token needed.</t>
        </is>
      </c>
    </row>
    <row r="3773">
      <c r="B3773" s="55" t="inlineStr">
        <is>
          <t>↑ back to Code Index</t>
        </is>
      </c>
    </row>
    <row r="3774">
      <c r="A3774" s="61" t="n">
        <v>1</v>
      </c>
      <c r="B3774" s="62" t="inlineStr">
        <is>
          <t>import { useEffect, useState } from "react";</t>
        </is>
      </c>
    </row>
    <row r="3775">
      <c r="A3775" s="61" t="n">
        <v>2</v>
      </c>
      <c r="B3775" s="62" t="inlineStr">
        <is>
          <t>import type { Review } from "../api/types";</t>
        </is>
      </c>
    </row>
    <row r="3776">
      <c r="A3776" s="61" t="n">
        <v>3</v>
      </c>
      <c r="B3776" s="62" t="inlineStr">
        <is>
          <t>import { ReviewView } from "../components/ReviewView";</t>
        </is>
      </c>
    </row>
    <row r="3777">
      <c r="A3777" s="61" t="n">
        <v>4</v>
      </c>
      <c r="B3777" s="62" t="n"/>
    </row>
    <row r="3778">
      <c r="A3778" s="61" t="n">
        <v>5</v>
      </c>
      <c r="B3778" s="62" t="inlineStr">
        <is>
          <t>const BASE = import.meta.env.VITE_API_BASE_URL ?? "http://localhost:8010";</t>
        </is>
      </c>
    </row>
    <row r="3779">
      <c r="A3779" s="61" t="n">
        <v>6</v>
      </c>
      <c r="B3779" s="62" t="n"/>
    </row>
    <row r="3780">
      <c r="A3780" s="61" t="n">
        <v>7</v>
      </c>
      <c r="B3780" s="62" t="inlineStr">
        <is>
          <t>export function DemoPage() {</t>
        </is>
      </c>
    </row>
    <row r="3781">
      <c r="A3781" s="61" t="n">
        <v>8</v>
      </c>
      <c r="B3781" s="62" t="inlineStr">
        <is>
          <t xml:space="preserve">  const [review, setReview] = useState&lt;Review | null&gt;(null);</t>
        </is>
      </c>
    </row>
    <row r="3782">
      <c r="A3782" s="61" t="n">
        <v>9</v>
      </c>
      <c r="B3782" s="62" t="inlineStr">
        <is>
          <t xml:space="preserve">  const [error, setError] = useState&lt;string | null&gt;(null);</t>
        </is>
      </c>
    </row>
    <row r="3783">
      <c r="A3783" s="61" t="n">
        <v>10</v>
      </c>
      <c r="B3783" s="62" t="inlineStr">
        <is>
          <t xml:space="preserve">  useEffect(() =&gt; {</t>
        </is>
      </c>
    </row>
    <row r="3784">
      <c r="A3784" s="61" t="n">
        <v>11</v>
      </c>
      <c r="B3784" s="62" t="inlineStr">
        <is>
          <t xml:space="preserve">    // Public endpoint: no guest token needed, no engine or provider involved.</t>
        </is>
      </c>
    </row>
    <row r="3785">
      <c r="A3785" s="61" t="n">
        <v>12</v>
      </c>
      <c r="B3785" s="62" t="inlineStr">
        <is>
          <t xml:space="preserve">    fetch(`${BASE}/v1/demo/review`)</t>
        </is>
      </c>
    </row>
    <row r="3786">
      <c r="A3786" s="61" t="n">
        <v>13</v>
      </c>
      <c r="B3786" s="62" t="inlineStr">
        <is>
          <t xml:space="preserve">      .then((r) =&gt; (r.ok ? r.json() : Promise.reject(new Error(`HTTP ${r.status}`))))</t>
        </is>
      </c>
    </row>
    <row r="3787">
      <c r="A3787" s="61" t="n">
        <v>14</v>
      </c>
      <c r="B3787" s="62" t="inlineStr">
        <is>
          <t xml:space="preserve">      .then(setReview)</t>
        </is>
      </c>
    </row>
    <row r="3788">
      <c r="A3788" s="61" t="n">
        <v>15</v>
      </c>
      <c r="B3788" s="62" t="inlineStr">
        <is>
          <t xml:space="preserve">      .catch(() =&gt; setError("The sample review is unavailable right now."));</t>
        </is>
      </c>
    </row>
    <row r="3789">
      <c r="A3789" s="61" t="n">
        <v>16</v>
      </c>
      <c r="B3789" s="62" t="inlineStr">
        <is>
          <t xml:space="preserve">  }, []);</t>
        </is>
      </c>
    </row>
    <row r="3790">
      <c r="A3790" s="61" t="n">
        <v>17</v>
      </c>
      <c r="B3790" s="62" t="inlineStr">
        <is>
          <t xml:space="preserve">  if (error) return &lt;p className="error" role="alert"&gt;{error}&lt;/p&gt;;</t>
        </is>
      </c>
    </row>
    <row r="3791">
      <c r="A3791" s="61" t="n">
        <v>18</v>
      </c>
      <c r="B3791" s="62" t="inlineStr">
        <is>
          <t xml:space="preserve">  if (!review) return &lt;p&gt;Loading sample…&lt;/p&gt;;</t>
        </is>
      </c>
    </row>
    <row r="3792">
      <c r="A3792" s="61" t="n">
        <v>19</v>
      </c>
      <c r="B3792" s="62" t="inlineStr">
        <is>
          <t xml:space="preserve">  return (</t>
        </is>
      </c>
    </row>
    <row r="3793">
      <c r="A3793" s="61" t="n">
        <v>20</v>
      </c>
      <c r="B3793" s="62" t="inlineStr">
        <is>
          <t xml:space="preserve">    &lt;&gt;</t>
        </is>
      </c>
    </row>
    <row r="3794">
      <c r="A3794" s="61" t="n">
        <v>21</v>
      </c>
      <c r="B3794" s="62" t="inlineStr">
        <is>
          <t xml:space="preserve">      &lt;p className="banner"&gt;Sample game. These findings come from a precomputed analysis, not from your games.&lt;/p&gt;</t>
        </is>
      </c>
    </row>
    <row r="3795">
      <c r="A3795" s="61" t="n">
        <v>22</v>
      </c>
      <c r="B3795" s="62" t="inlineStr">
        <is>
          <t xml:space="preserve">      &lt;ReviewView review={review} /&gt;</t>
        </is>
      </c>
    </row>
    <row r="3796">
      <c r="A3796" s="61" t="n">
        <v>23</v>
      </c>
      <c r="B3796" s="62" t="inlineStr">
        <is>
          <t xml:space="preserve">    &lt;/&gt;</t>
        </is>
      </c>
    </row>
    <row r="3797">
      <c r="A3797" s="61" t="n">
        <v>24</v>
      </c>
      <c r="B3797" s="62" t="inlineStr">
        <is>
          <t xml:space="preserve">  );</t>
        </is>
      </c>
    </row>
    <row r="3798">
      <c r="A3798" s="61" t="n">
        <v>25</v>
      </c>
      <c r="B3798" s="62" t="inlineStr">
        <is>
          <t>}</t>
        </is>
      </c>
    </row>
    <row r="3801">
      <c r="A3801" s="60" t="inlineStr">
        <is>
          <t>C60</t>
        </is>
      </c>
      <c r="B3801" s="60" t="inlineStr">
        <is>
          <t>services/backend/app/make_demo.py   ·   Phase P9   ·   Freezes one real analysis into data/demo_review.json.</t>
        </is>
      </c>
    </row>
    <row r="3802">
      <c r="B3802" s="55" t="inlineStr">
        <is>
          <t>↑ back to Code Index</t>
        </is>
      </c>
    </row>
    <row r="3803">
      <c r="A3803" s="61" t="n">
        <v>1</v>
      </c>
      <c r="B3803" s="62" t="inlineStr">
        <is>
          <t>"""Builds the public demo:  python -m app.make_demo sample.pgn white data/demo_review.json</t>
        </is>
      </c>
    </row>
    <row r="3804">
      <c r="A3804" s="61" t="n">
        <v>2</v>
      </c>
      <c r="B3804" s="62" t="n"/>
    </row>
    <row r="3805">
      <c r="A3805" s="61" t="n">
        <v>3</v>
      </c>
      <c r="B3805" s="62" t="inlineStr">
        <is>
          <t>Runs the real pipeline once on a sample game and freezes the result as JSON, so the demo works</t>
        </is>
      </c>
    </row>
    <row r="3806">
      <c r="A3806" s="61" t="n">
        <v>4</v>
      </c>
      <c r="B3806" s="62" t="inlineStr">
        <is>
          <t>even when the engine, the database or Lichess is unavailable.</t>
        </is>
      </c>
    </row>
    <row r="3807">
      <c r="A3807" s="61" t="n">
        <v>5</v>
      </c>
      <c r="B3807" s="62" t="inlineStr">
        <is>
          <t>"""</t>
        </is>
      </c>
    </row>
    <row r="3808">
      <c r="A3808" s="61" t="n">
        <v>6</v>
      </c>
      <c r="B3808" s="62" t="inlineStr">
        <is>
          <t>import json</t>
        </is>
      </c>
    </row>
    <row r="3809">
      <c r="A3809" s="61" t="n">
        <v>7</v>
      </c>
      <c r="B3809" s="62" t="inlineStr">
        <is>
          <t>import sys</t>
        </is>
      </c>
    </row>
    <row r="3810">
      <c r="A3810" s="61" t="n">
        <v>8</v>
      </c>
      <c r="B3810" s="62" t="inlineStr">
        <is>
          <t>import uuid</t>
        </is>
      </c>
    </row>
    <row r="3811">
      <c r="A3811" s="61" t="n">
        <v>9</v>
      </c>
      <c r="B3811" s="62" t="n"/>
    </row>
    <row r="3812">
      <c r="A3812" s="61" t="n">
        <v>10</v>
      </c>
      <c r="B3812" s="62" t="inlineStr">
        <is>
          <t>from app.analysis.pipeline import PIPELINE_VERSION, analyze_game</t>
        </is>
      </c>
    </row>
    <row r="3813">
      <c r="A3813" s="61" t="n">
        <v>11</v>
      </c>
      <c r="B3813" s="62" t="inlineStr">
        <is>
          <t>from app.config import get_settings</t>
        </is>
      </c>
    </row>
    <row r="3814">
      <c r="A3814" s="61" t="n">
        <v>12</v>
      </c>
      <c r="B3814" s="62" t="inlineStr">
        <is>
          <t>from app.domain.pgn import parse_single</t>
        </is>
      </c>
    </row>
    <row r="3815">
      <c r="A3815" s="61" t="n">
        <v>13</v>
      </c>
      <c r="B3815" s="62" t="inlineStr">
        <is>
          <t>from app.jobs.handlers import evaluator</t>
        </is>
      </c>
    </row>
    <row r="3816">
      <c r="A3816" s="61" t="n">
        <v>14</v>
      </c>
      <c r="B3816" s="62" t="n"/>
    </row>
    <row r="3817">
      <c r="A3817" s="61" t="n">
        <v>15</v>
      </c>
      <c r="B3817" s="62" t="n"/>
    </row>
    <row r="3818">
      <c r="A3818" s="61" t="n">
        <v>16</v>
      </c>
      <c r="B3818" s="62" t="inlineStr">
        <is>
          <t>def main(pgn_path: str, color: str, out_path: str) -&gt; None:</t>
        </is>
      </c>
    </row>
    <row r="3819">
      <c r="A3819" s="61" t="n">
        <v>17</v>
      </c>
      <c r="B3819" s="62" t="inlineStr">
        <is>
          <t xml:space="preserve">    parsed = parse_single(open(pgn_path, encoding="utf-8").read())</t>
        </is>
      </c>
    </row>
    <row r="3820">
      <c r="A3820" s="61" t="n">
        <v>18</v>
      </c>
      <c r="B3820" s="62" t="inlineStr">
        <is>
          <t xml:space="preserve">    ev = evaluator()</t>
        </is>
      </c>
    </row>
    <row r="3821">
      <c r="A3821" s="61" t="n">
        <v>19</v>
      </c>
      <c r="B3821" s="62" t="inlineStr">
        <is>
          <t xml:space="preserve">    result = analyze_game(parsed.initial_fen, parsed.moves_uci, color, ev,</t>
        </is>
      </c>
    </row>
    <row r="3822">
      <c r="A3822" s="61" t="n">
        <v>20</v>
      </c>
      <c r="B3822" s="62" t="inlineStr">
        <is>
          <t xml:space="preserve">                          max_candidates=get_settings().max_candidates_per_position)</t>
        </is>
      </c>
    </row>
    <row r="3823">
      <c r="A3823" s="61" t="n">
        <v>21</v>
      </c>
      <c r="B3823" s="62" t="inlineStr">
        <is>
          <t xml:space="preserve">    review = {</t>
        </is>
      </c>
    </row>
    <row r="3824">
      <c r="A3824" s="61" t="n">
        <v>22</v>
      </c>
      <c r="B3824" s="62" t="inlineStr">
        <is>
          <t xml:space="preserve">        "game_id": str(uuid.UUID(int=0)), "pgn": parsed.pgn, "initial_fen": parsed.initial_fen, "player_color": color,</t>
        </is>
      </c>
    </row>
    <row r="3825">
      <c r="A3825" s="61" t="n">
        <v>23</v>
      </c>
      <c r="B3825" s="62" t="inlineStr">
        <is>
          <t xml:space="preserve">        "analysis_state": "succeeded" if result.complete else "partial", "pipeline_version": PIPELINE_VERSION,</t>
        </is>
      </c>
    </row>
    <row r="3826">
      <c r="A3826" s="61" t="n">
        <v>24</v>
      </c>
      <c r="B3826" s="62" t="inlineStr">
        <is>
          <t xml:space="preserve">        "engine": ev.name, "limits": ev.limits, "positions_total": result.positions_total,</t>
        </is>
      </c>
    </row>
    <row r="3827">
      <c r="A3827" s="61" t="n">
        <v>25</v>
      </c>
      <c r="B3827" s="62" t="inlineStr">
        <is>
          <t xml:space="preserve">        "positions_analyzed": result.positions_analyzed,</t>
        </is>
      </c>
    </row>
    <row r="3828">
      <c r="A3828" s="61" t="n">
        <v>26</v>
      </c>
      <c r="B3828" s="62" t="inlineStr">
        <is>
          <t xml:space="preserve">        "findings": [{"id": str(uuid.uuid4()), **f} for f in result.findings],</t>
        </is>
      </c>
    </row>
    <row r="3829">
      <c r="A3829" s="61" t="n">
        <v>27</v>
      </c>
      <c r="B3829" s="62" t="inlineStr">
        <is>
          <t xml:space="preserve">    }</t>
        </is>
      </c>
    </row>
    <row r="3830">
      <c r="A3830" s="61" t="n">
        <v>28</v>
      </c>
      <c r="B3830" s="62" t="inlineStr">
        <is>
          <t xml:space="preserve">    with open(out_path, "w", encoding="utf-8") as fh:</t>
        </is>
      </c>
    </row>
    <row r="3831">
      <c r="A3831" s="61" t="n">
        <v>29</v>
      </c>
      <c r="B3831" s="62" t="inlineStr">
        <is>
          <t xml:space="preserve">        json.dump(review, fh, indent=2)</t>
        </is>
      </c>
    </row>
    <row r="3832">
      <c r="A3832" s="61" t="n">
        <v>30</v>
      </c>
      <c r="B3832" s="62" t="inlineStr">
        <is>
          <t xml:space="preserve">    ev.close()</t>
        </is>
      </c>
    </row>
    <row r="3833">
      <c r="A3833" s="61" t="n">
        <v>31</v>
      </c>
      <c r="B3833" s="62" t="inlineStr">
        <is>
          <t xml:space="preserve">    print(f"wrote {out_path}: {len(result.findings)} findings")</t>
        </is>
      </c>
    </row>
    <row r="3834">
      <c r="A3834" s="61" t="n">
        <v>32</v>
      </c>
      <c r="B3834" s="62" t="n"/>
    </row>
    <row r="3835">
      <c r="A3835" s="61" t="n">
        <v>33</v>
      </c>
      <c r="B3835" s="62" t="n"/>
    </row>
    <row r="3836">
      <c r="A3836" s="61" t="n">
        <v>34</v>
      </c>
      <c r="B3836" s="62" t="inlineStr">
        <is>
          <t>if __name__ == "__main__":</t>
        </is>
      </c>
    </row>
    <row r="3837">
      <c r="A3837" s="61" t="n">
        <v>35</v>
      </c>
      <c r="B3837" s="62" t="inlineStr">
        <is>
          <t xml:space="preserve">    main(*sys.argv[1:4])</t>
        </is>
      </c>
    </row>
    <row r="3840">
      <c r="A3840" s="60" t="inlineStr">
        <is>
          <t>C61</t>
        </is>
      </c>
      <c r="B3840" s="60" t="inlineStr">
        <is>
          <t>evaluation/prepare_puzzles.py   ·   Phase P10   ·   Builds the validated, versioned puzzle subset and manifest.</t>
        </is>
      </c>
    </row>
    <row r="3841">
      <c r="B3841" s="55" t="inlineStr">
        <is>
          <t>↑ back to Code Index</t>
        </is>
      </c>
    </row>
    <row r="3842">
      <c r="A3842" s="61" t="n">
        <v>1</v>
      </c>
      <c r="B3842" s="62" t="inlineStr">
        <is>
          <t>"""Builds a small, validated, versioned puzzle subset from the Lichess puzzle export (CC0).</t>
        </is>
      </c>
    </row>
    <row r="3843">
      <c r="A3843" s="61" t="n">
        <v>2</v>
      </c>
      <c r="B3843" s="62" t="n"/>
    </row>
    <row r="3844">
      <c r="A3844" s="61" t="n">
        <v>3</v>
      </c>
      <c r="B3844" s="62" t="inlineStr">
        <is>
          <t>Download first (about 300 MB compressed):  https://database.lichess.org/lichess_db_puzzle.csv.zst</t>
        </is>
      </c>
    </row>
    <row r="3845">
      <c r="A3845" s="61" t="n">
        <v>4</v>
      </c>
      <c r="B3845" s="62" t="inlineStr">
        <is>
          <t>Run:  python evaluation/prepare_puzzles.py --input lichess_db_puzzle.csv.zst --out data/puzzles_subset.csv</t>
        </is>
      </c>
    </row>
    <row r="3846">
      <c r="A3846" s="61" t="n">
        <v>5</v>
      </c>
      <c r="B3846" s="62" t="n"/>
    </row>
    <row r="3847">
      <c r="A3847" s="61" t="n">
        <v>6</v>
      </c>
      <c r="B3847" s="62" t="inlineStr">
        <is>
          <t>CSV columns: PuzzleId,FEN,Moves,Rating,RatingDeviation,Popularity,NbPlays,Themes,GameUrl,OpeningTags</t>
        </is>
      </c>
    </row>
    <row r="3848">
      <c r="A3848" s="61" t="n">
        <v>7</v>
      </c>
      <c r="B3848" s="62" t="inlineStr">
        <is>
          <t>FEN is the position BEFORE the opponent's move; Moves[0] is that setup move; the solver starts at Moves[1].</t>
        </is>
      </c>
    </row>
    <row r="3849">
      <c r="A3849" s="61" t="n">
        <v>8</v>
      </c>
      <c r="B3849" s="62" t="inlineStr">
        <is>
          <t>"""</t>
        </is>
      </c>
    </row>
    <row r="3850">
      <c r="A3850" s="61" t="n">
        <v>9</v>
      </c>
      <c r="B3850" s="62" t="inlineStr">
        <is>
          <t>import argparse</t>
        </is>
      </c>
    </row>
    <row r="3851">
      <c r="A3851" s="61" t="n">
        <v>10</v>
      </c>
      <c r="B3851" s="62" t="inlineStr">
        <is>
          <t>import csv</t>
        </is>
      </c>
    </row>
    <row r="3852">
      <c r="A3852" s="61" t="n">
        <v>11</v>
      </c>
      <c r="B3852" s="62" t="inlineStr">
        <is>
          <t>import hashlib</t>
        </is>
      </c>
    </row>
    <row r="3853">
      <c r="A3853" s="61" t="n">
        <v>12</v>
      </c>
      <c r="B3853" s="62" t="inlineStr">
        <is>
          <t>import io</t>
        </is>
      </c>
    </row>
    <row r="3854">
      <c r="A3854" s="61" t="n">
        <v>13</v>
      </c>
      <c r="B3854" s="62" t="inlineStr">
        <is>
          <t>import json</t>
        </is>
      </c>
    </row>
    <row r="3855">
      <c r="A3855" s="61" t="n">
        <v>14</v>
      </c>
      <c r="B3855" s="62" t="inlineStr">
        <is>
          <t>import random</t>
        </is>
      </c>
    </row>
    <row r="3856">
      <c r="A3856" s="61" t="n">
        <v>15</v>
      </c>
      <c r="B3856" s="62" t="inlineStr">
        <is>
          <t>from collections import defaultdict</t>
        </is>
      </c>
    </row>
    <row r="3857">
      <c r="A3857" s="61" t="n">
        <v>16</v>
      </c>
      <c r="B3857" s="62" t="inlineStr">
        <is>
          <t>from datetime import date</t>
        </is>
      </c>
    </row>
    <row r="3858">
      <c r="A3858" s="61" t="n">
        <v>17</v>
      </c>
      <c r="B3858" s="62" t="inlineStr">
        <is>
          <t>from pathlib import Path</t>
        </is>
      </c>
    </row>
    <row r="3859">
      <c r="A3859" s="61" t="n">
        <v>18</v>
      </c>
      <c r="B3859" s="62" t="n"/>
    </row>
    <row r="3860">
      <c r="A3860" s="61" t="n">
        <v>19</v>
      </c>
      <c r="B3860" s="62" t="inlineStr">
        <is>
          <t>import chess</t>
        </is>
      </c>
    </row>
    <row r="3861">
      <c r="A3861" s="61" t="n">
        <v>20</v>
      </c>
      <c r="B3861" s="62" t="inlineStr">
        <is>
          <t>import zstandard</t>
        </is>
      </c>
    </row>
    <row r="3862">
      <c r="A3862" s="61" t="n">
        <v>21</v>
      </c>
      <c r="B3862" s="62" t="n"/>
    </row>
    <row r="3863">
      <c r="A3863" s="61" t="n">
        <v>22</v>
      </c>
      <c r="B3863" s="62" t="inlineStr">
        <is>
          <t>RATING_BINS = list(range(600, 2800, 200))  # 600-800, 800-1000, ... 2600-2800</t>
        </is>
      </c>
    </row>
    <row r="3864">
      <c r="A3864" s="61" t="n">
        <v>23</v>
      </c>
      <c r="B3864" s="62" t="n"/>
    </row>
    <row r="3865">
      <c r="A3865" s="61" t="n">
        <v>24</v>
      </c>
      <c r="B3865" s="62" t="n"/>
    </row>
    <row r="3866">
      <c r="A3866" s="61" t="n">
        <v>25</v>
      </c>
      <c r="B3866" s="62" t="inlineStr">
        <is>
          <t>def concept_of(board_after_setup: chess.Board, solver_first: chess.Move, themes: set[str]) -&gt; str | None:</t>
        </is>
      </c>
    </row>
    <row r="3867">
      <c r="A3867" s="61" t="n">
        <v>26</v>
      </c>
      <c r="B3867" s="62" t="inlineStr">
        <is>
          <t xml:space="preserve">    piece = board_after_setup.piece_at(solver_first.from_square)</t>
        </is>
      </c>
    </row>
    <row r="3868">
      <c r="A3868" s="61" t="n">
        <v>27</v>
      </c>
      <c r="B3868" s="62" t="inlineStr">
        <is>
          <t xml:space="preserve">    if "fork" in themes and piece is not None and piece.piece_type == chess.KNIGHT:</t>
        </is>
      </c>
    </row>
    <row r="3869">
      <c r="A3869" s="61" t="n">
        <v>28</v>
      </c>
      <c r="B3869" s="62" t="inlineStr">
        <is>
          <t xml:space="preserve">        return "knight_fork"</t>
        </is>
      </c>
    </row>
    <row r="3870">
      <c r="A3870" s="61" t="n">
        <v>29</v>
      </c>
      <c r="B3870" s="62" t="inlineStr">
        <is>
          <t xml:space="preserve">    if "hangingPiece" in themes:</t>
        </is>
      </c>
    </row>
    <row r="3871">
      <c r="A3871" s="61" t="n">
        <v>30</v>
      </c>
      <c r="B3871" s="62" t="inlineStr">
        <is>
          <t xml:space="preserve">        return "hanging_piece"</t>
        </is>
      </c>
    </row>
    <row r="3872">
      <c r="A3872" s="61" t="n">
        <v>31</v>
      </c>
      <c r="B3872" s="62" t="inlineStr">
        <is>
          <t xml:space="preserve">    return None</t>
        </is>
      </c>
    </row>
    <row r="3873">
      <c r="A3873" s="61" t="n">
        <v>32</v>
      </c>
      <c r="B3873" s="62" t="n"/>
    </row>
    <row r="3874">
      <c r="A3874" s="61" t="n">
        <v>33</v>
      </c>
      <c r="B3874" s="62" t="n"/>
    </row>
    <row r="3875">
      <c r="A3875" s="61" t="n">
        <v>34</v>
      </c>
      <c r="B3875" s="62" t="inlineStr">
        <is>
          <t>def pool_of(puzzle_id: str) -&gt; str:</t>
        </is>
      </c>
    </row>
    <row r="3876">
      <c r="A3876" s="61" t="n">
        <v>35</v>
      </c>
      <c r="B3876" s="62" t="inlineStr">
        <is>
          <t xml:space="preserve">    """Deterministic split by id hash: the same puzzle always lands in the same pool."""</t>
        </is>
      </c>
    </row>
    <row r="3877">
      <c r="A3877" s="61" t="n">
        <v>36</v>
      </c>
      <c r="B3877" s="62" t="inlineStr">
        <is>
          <t xml:space="preserve">    bucket = int(hashlib.sha256(puzzle_id.encode()).hexdigest(), 16) % 100</t>
        </is>
      </c>
    </row>
    <row r="3878">
      <c r="A3878" s="61" t="n">
        <v>37</v>
      </c>
      <c r="B3878" s="62" t="inlineStr">
        <is>
          <t xml:space="preserve">    return "eval" if bucket &lt; 10 else "assessment" if bucket &lt; 20 else "practice"</t>
        </is>
      </c>
    </row>
    <row r="3879">
      <c r="A3879" s="61" t="n">
        <v>38</v>
      </c>
      <c r="B3879" s="62" t="n"/>
    </row>
    <row r="3880">
      <c r="A3880" s="61" t="n">
        <v>39</v>
      </c>
      <c r="B3880" s="62" t="n"/>
    </row>
    <row r="3881">
      <c r="A3881" s="61" t="n">
        <v>40</v>
      </c>
      <c r="B3881" s="62" t="inlineStr">
        <is>
          <t>def validate(fen: str, moves: list[str]) -&gt; tuple[chess.Board, str] | None:</t>
        </is>
      </c>
    </row>
    <row r="3882">
      <c r="A3882" s="61" t="n">
        <v>41</v>
      </c>
      <c r="B3882" s="62" t="inlineStr">
        <is>
          <t xml:space="preserve">    try:</t>
        </is>
      </c>
    </row>
    <row r="3883">
      <c r="A3883" s="61" t="n">
        <v>42</v>
      </c>
      <c r="B3883" s="62" t="inlineStr">
        <is>
          <t xml:space="preserve">        board = chess.Board(fen)</t>
        </is>
      </c>
    </row>
    <row r="3884">
      <c r="A3884" s="61" t="n">
        <v>43</v>
      </c>
      <c r="B3884" s="62" t="inlineStr">
        <is>
          <t xml:space="preserve">        for uci in moves:</t>
        </is>
      </c>
    </row>
    <row r="3885">
      <c r="A3885" s="61" t="n">
        <v>44</v>
      </c>
      <c r="B3885" s="62" t="inlineStr">
        <is>
          <t xml:space="preserve">            move = chess.Move.from_uci(uci)</t>
        </is>
      </c>
    </row>
    <row r="3886">
      <c r="A3886" s="61" t="n">
        <v>45</v>
      </c>
      <c r="B3886" s="62" t="inlineStr">
        <is>
          <t xml:space="preserve">            if move not in board.legal_moves:</t>
        </is>
      </c>
    </row>
    <row r="3887">
      <c r="A3887" s="61" t="n">
        <v>46</v>
      </c>
      <c r="B3887" s="62" t="inlineStr">
        <is>
          <t xml:space="preserve">                return None</t>
        </is>
      </c>
    </row>
    <row r="3888">
      <c r="A3888" s="61" t="n">
        <v>47</v>
      </c>
      <c r="B3888" s="62" t="inlineStr">
        <is>
          <t xml:space="preserve">            board.push(move)</t>
        </is>
      </c>
    </row>
    <row r="3889">
      <c r="A3889" s="61" t="n">
        <v>48</v>
      </c>
      <c r="B3889" s="62" t="inlineStr">
        <is>
          <t xml:space="preserve">        playable = chess.Board(fen)</t>
        </is>
      </c>
    </row>
    <row r="3890">
      <c r="A3890" s="61" t="n">
        <v>49</v>
      </c>
      <c r="B3890" s="62" t="inlineStr">
        <is>
          <t xml:space="preserve">        playable.push_uci(moves[0])</t>
        </is>
      </c>
    </row>
    <row r="3891">
      <c r="A3891" s="61" t="n">
        <v>50</v>
      </c>
      <c r="B3891" s="62" t="inlineStr">
        <is>
          <t xml:space="preserve">        return playable, playable.fen()</t>
        </is>
      </c>
    </row>
    <row r="3892">
      <c r="A3892" s="61" t="n">
        <v>51</v>
      </c>
      <c r="B3892" s="62" t="inlineStr">
        <is>
          <t xml:space="preserve">    except ValueError:</t>
        </is>
      </c>
    </row>
    <row r="3893">
      <c r="A3893" s="61" t="n">
        <v>52</v>
      </c>
      <c r="B3893" s="62" t="inlineStr">
        <is>
          <t xml:space="preserve">        return None</t>
        </is>
      </c>
    </row>
    <row r="3894">
      <c r="A3894" s="61" t="n">
        <v>53</v>
      </c>
      <c r="B3894" s="62" t="n"/>
    </row>
    <row r="3895">
      <c r="A3895" s="61" t="n">
        <v>54</v>
      </c>
      <c r="B3895" s="62" t="n"/>
    </row>
    <row r="3896">
      <c r="A3896" s="61" t="n">
        <v>55</v>
      </c>
      <c r="B3896" s="62" t="inlineStr">
        <is>
          <t>def main() -&gt; None:</t>
        </is>
      </c>
    </row>
    <row r="3897">
      <c r="A3897" s="61" t="n">
        <v>56</v>
      </c>
      <c r="B3897" s="62" t="inlineStr">
        <is>
          <t xml:space="preserve">    ap = argparse.ArgumentParser()</t>
        </is>
      </c>
    </row>
    <row r="3898">
      <c r="A3898" s="61" t="n">
        <v>57</v>
      </c>
      <c r="B3898" s="62" t="inlineStr">
        <is>
          <t xml:space="preserve">    ap.add_argument("--input", required=True)</t>
        </is>
      </c>
    </row>
    <row r="3899">
      <c r="A3899" s="61" t="n">
        <v>58</v>
      </c>
      <c r="B3899" s="62" t="inlineStr">
        <is>
          <t xml:space="preserve">    ap.add_argument("--out", required=True)</t>
        </is>
      </c>
    </row>
    <row r="3900">
      <c r="A3900" s="61" t="n">
        <v>59</v>
      </c>
      <c r="B3900" s="62" t="inlineStr">
        <is>
          <t xml:space="preserve">    ap.add_argument("--per-concept", type=int, default=2000)</t>
        </is>
      </c>
    </row>
    <row r="3901">
      <c r="A3901" s="61" t="n">
        <v>60</v>
      </c>
      <c r="B3901" s="62" t="inlineStr">
        <is>
          <t xml:space="preserve">    ap.add_argument("--min-plays", type=int, default=300)</t>
        </is>
      </c>
    </row>
    <row r="3902">
      <c r="A3902" s="61" t="n">
        <v>61</v>
      </c>
      <c r="B3902" s="62" t="inlineStr">
        <is>
          <t xml:space="preserve">    ap.add_argument("--max-deviation", type=int, default=90)</t>
        </is>
      </c>
    </row>
    <row r="3903">
      <c r="A3903" s="61" t="n">
        <v>62</v>
      </c>
      <c r="B3903" s="62" t="inlineStr">
        <is>
          <t xml:space="preserve">    ap.add_argument("--min-popularity", type=int, default=80)</t>
        </is>
      </c>
    </row>
    <row r="3904">
      <c r="A3904" s="61" t="n">
        <v>63</v>
      </c>
      <c r="B3904" s="62" t="inlineStr">
        <is>
          <t xml:space="preserve">    ap.add_argument("--seed", type=int, default=42)</t>
        </is>
      </c>
    </row>
    <row r="3905">
      <c r="A3905" s="61" t="n">
        <v>64</v>
      </c>
      <c r="B3905" s="62" t="inlineStr">
        <is>
          <t xml:space="preserve">    args = ap.parse_args()</t>
        </is>
      </c>
    </row>
    <row r="3906">
      <c r="A3906" s="61" t="n">
        <v>65</v>
      </c>
      <c r="B3906" s="62" t="inlineStr">
        <is>
          <t xml:space="preserve">    rng = random.Random(args.seed)</t>
        </is>
      </c>
    </row>
    <row r="3907">
      <c r="A3907" s="61" t="n">
        <v>66</v>
      </c>
      <c r="B3907" s="62" t="inlineStr">
        <is>
          <t xml:space="preserve">    per_bin = max(1, args.per_concept // len(RATING_BINS))</t>
        </is>
      </c>
    </row>
    <row r="3908">
      <c r="A3908" s="61" t="n">
        <v>67</v>
      </c>
      <c r="B3908" s="62" t="inlineStr">
        <is>
          <t xml:space="preserve">    reservoirs: dict[tuple[str, int], list[dict]] = defaultdict(list)</t>
        </is>
      </c>
    </row>
    <row r="3909">
      <c r="A3909" s="61" t="n">
        <v>68</v>
      </c>
      <c r="B3909" s="62" t="inlineStr">
        <is>
          <t xml:space="preserve">    seen: dict[tuple[str, int], int] = defaultdict(int)</t>
        </is>
      </c>
    </row>
    <row r="3910">
      <c r="A3910" s="61" t="n">
        <v>69</v>
      </c>
      <c r="B3910" s="62" t="inlineStr">
        <is>
          <t xml:space="preserve">    scanned = 0</t>
        </is>
      </c>
    </row>
    <row r="3911">
      <c r="A3911" s="61" t="n">
        <v>70</v>
      </c>
      <c r="B3911" s="62" t="n"/>
    </row>
    <row r="3912">
      <c r="A3912" s="61" t="n">
        <v>71</v>
      </c>
      <c r="B3912" s="62" t="inlineStr">
        <is>
          <t xml:space="preserve">    with open(args.input, "rb") as raw:</t>
        </is>
      </c>
    </row>
    <row r="3913">
      <c r="A3913" s="61" t="n">
        <v>72</v>
      </c>
      <c r="B3913" s="62" t="inlineStr">
        <is>
          <t xml:space="preserve">        text = io.TextIOWrapper(zstandard.ZstdDecompressor().stream_reader(raw), encoding="utf-8")</t>
        </is>
      </c>
    </row>
    <row r="3914">
      <c r="A3914" s="61" t="n">
        <v>73</v>
      </c>
      <c r="B3914" s="62" t="inlineStr">
        <is>
          <t xml:space="preserve">        for row in csv.DictReader(text):</t>
        </is>
      </c>
    </row>
    <row r="3915">
      <c r="A3915" s="61" t="n">
        <v>74</v>
      </c>
      <c r="B3915" s="62" t="inlineStr">
        <is>
          <t xml:space="preserve">            scanned += 1</t>
        </is>
      </c>
    </row>
    <row r="3916">
      <c r="A3916" s="61" t="n">
        <v>75</v>
      </c>
      <c r="B3916" s="62" t="inlineStr">
        <is>
          <t xml:space="preserve">            if int(row["NbPlays"]) &lt; args.min_plays or int(row["RatingDeviation"]) &gt; args.max_deviation:</t>
        </is>
      </c>
    </row>
    <row r="3917">
      <c r="A3917" s="61" t="n">
        <v>76</v>
      </c>
      <c r="B3917" s="62" t="inlineStr">
        <is>
          <t xml:space="preserve">                continue</t>
        </is>
      </c>
    </row>
    <row r="3918">
      <c r="A3918" s="61" t="n">
        <v>77</v>
      </c>
      <c r="B3918" s="62" t="inlineStr">
        <is>
          <t xml:space="preserve">            if int(row["Popularity"]) &lt; args.min_popularity:</t>
        </is>
      </c>
    </row>
    <row r="3919">
      <c r="A3919" s="61" t="n">
        <v>78</v>
      </c>
      <c r="B3919" s="62" t="inlineStr">
        <is>
          <t xml:space="preserve">                continue</t>
        </is>
      </c>
    </row>
    <row r="3920">
      <c r="A3920" s="61" t="n">
        <v>79</v>
      </c>
      <c r="B3920" s="62" t="inlineStr">
        <is>
          <t xml:space="preserve">            moves = row["Moves"].split()</t>
        </is>
      </c>
    </row>
    <row r="3921">
      <c r="A3921" s="61" t="n">
        <v>80</v>
      </c>
      <c r="B3921" s="62" t="inlineStr">
        <is>
          <t xml:space="preserve">            if len(moves) &lt; 2:</t>
        </is>
      </c>
    </row>
    <row r="3922">
      <c r="A3922" s="61" t="n">
        <v>81</v>
      </c>
      <c r="B3922" s="62" t="inlineStr">
        <is>
          <t xml:space="preserve">                continue</t>
        </is>
      </c>
    </row>
    <row r="3923">
      <c r="A3923" s="61" t="n">
        <v>82</v>
      </c>
      <c r="B3923" s="62" t="inlineStr">
        <is>
          <t xml:space="preserve">            checked = validate(row["FEN"], moves)</t>
        </is>
      </c>
    </row>
    <row r="3924">
      <c r="A3924" s="61" t="n">
        <v>83</v>
      </c>
      <c r="B3924" s="62" t="inlineStr">
        <is>
          <t xml:space="preserve">            if checked is None:</t>
        </is>
      </c>
    </row>
    <row r="3925">
      <c r="A3925" s="61" t="n">
        <v>84</v>
      </c>
      <c r="B3925" s="62" t="inlineStr">
        <is>
          <t xml:space="preserve">                continue</t>
        </is>
      </c>
    </row>
    <row r="3926">
      <c r="A3926" s="61" t="n">
        <v>85</v>
      </c>
      <c r="B3926" s="62" t="inlineStr">
        <is>
          <t xml:space="preserve">            playable_board, playable_fen = checked</t>
        </is>
      </c>
    </row>
    <row r="3927">
      <c r="A3927" s="61" t="n">
        <v>86</v>
      </c>
      <c r="B3927" s="62" t="inlineStr">
        <is>
          <t xml:space="preserve">            concept = concept_of(playable_board, chess.Move.from_uci(moves[1]), set(row["Themes"].split()))</t>
        </is>
      </c>
    </row>
    <row r="3928">
      <c r="A3928" s="61" t="n">
        <v>87</v>
      </c>
      <c r="B3928" s="62" t="inlineStr">
        <is>
          <t xml:space="preserve">            rating = int(row["Rating"])</t>
        </is>
      </c>
    </row>
    <row r="3929">
      <c r="A3929" s="61" t="n">
        <v>88</v>
      </c>
      <c r="B3929" s="62" t="inlineStr">
        <is>
          <t xml:space="preserve">            if concept is None or not (RATING_BINS[0] &lt;= rating &lt; RATING_BINS[-1] + 200):</t>
        </is>
      </c>
    </row>
    <row r="3930">
      <c r="A3930" s="61" t="n">
        <v>89</v>
      </c>
      <c r="B3930" s="62" t="inlineStr">
        <is>
          <t xml:space="preserve">                continue</t>
        </is>
      </c>
    </row>
    <row r="3931">
      <c r="A3931" s="61" t="n">
        <v>90</v>
      </c>
      <c r="B3931" s="62" t="inlineStr">
        <is>
          <t xml:space="preserve">            key = (concept, (rating - RATING_BINS[0]) // 200)</t>
        </is>
      </c>
    </row>
    <row r="3932">
      <c r="A3932" s="61" t="n">
        <v>91</v>
      </c>
      <c r="B3932" s="62" t="inlineStr">
        <is>
          <t xml:space="preserve">            item = {</t>
        </is>
      </c>
    </row>
    <row r="3933">
      <c r="A3933" s="61" t="n">
        <v>92</v>
      </c>
      <c r="B3933" s="62" t="inlineStr">
        <is>
          <t xml:space="preserve">                "id": row["PuzzleId"], "source_fen": row["FEN"], "setup_uci": moves[0], "playable_fen": playable_fen,</t>
        </is>
      </c>
    </row>
    <row r="3934">
      <c r="A3934" s="61" t="n">
        <v>93</v>
      </c>
      <c r="B3934" s="62" t="inlineStr">
        <is>
          <t xml:space="preserve">                "solution_uci": json.dumps(moves[1:]), "rating": rating, "rating_deviation": int(row["RatingDeviation"]),</t>
        </is>
      </c>
    </row>
    <row r="3935">
      <c r="A3935" s="61" t="n">
        <v>94</v>
      </c>
      <c r="B3935" s="62" t="inlineStr">
        <is>
          <t xml:space="preserve">                "popularity": int(row["Popularity"]), "nb_plays": int(row["NbPlays"]),</t>
        </is>
      </c>
    </row>
    <row r="3936">
      <c r="A3936" s="61" t="n">
        <v>95</v>
      </c>
      <c r="B3936" s="62" t="inlineStr">
        <is>
          <t xml:space="preserve">                "themes": json.dumps(row["Themes"].split()), "concept": concept, "pool": pool_of(row["PuzzleId"]),</t>
        </is>
      </c>
    </row>
    <row r="3937">
      <c r="A3937" s="61" t="n">
        <v>96</v>
      </c>
      <c r="B3937" s="62" t="inlineStr">
        <is>
          <t xml:space="preserve">                "game_url": row["GameUrl"],</t>
        </is>
      </c>
    </row>
    <row r="3938">
      <c r="A3938" s="61" t="n">
        <v>97</v>
      </c>
      <c r="B3938" s="62" t="inlineStr">
        <is>
          <t xml:space="preserve">            }</t>
        </is>
      </c>
    </row>
    <row r="3939">
      <c r="A3939" s="61" t="n">
        <v>98</v>
      </c>
      <c r="B3939" s="62" t="inlineStr">
        <is>
          <t xml:space="preserve">            # Reservoir sampling: a uniform sample per bin without holding millions of rows in memory.</t>
        </is>
      </c>
    </row>
    <row r="3940">
      <c r="A3940" s="61" t="n">
        <v>99</v>
      </c>
      <c r="B3940" s="62" t="inlineStr">
        <is>
          <t xml:space="preserve">            seen[key] += 1</t>
        </is>
      </c>
    </row>
    <row r="3941">
      <c r="A3941" s="61" t="n">
        <v>100</v>
      </c>
      <c r="B3941" s="62" t="inlineStr">
        <is>
          <t xml:space="preserve">            bucket = reservoirs[key]</t>
        </is>
      </c>
    </row>
    <row r="3942">
      <c r="A3942" s="61" t="n">
        <v>101</v>
      </c>
      <c r="B3942" s="62" t="inlineStr">
        <is>
          <t xml:space="preserve">            if len(bucket) &lt; per_bin:</t>
        </is>
      </c>
    </row>
    <row r="3943">
      <c r="A3943" s="61" t="n">
        <v>102</v>
      </c>
      <c r="B3943" s="62" t="inlineStr">
        <is>
          <t xml:space="preserve">                bucket.append(item)</t>
        </is>
      </c>
    </row>
    <row r="3944">
      <c r="A3944" s="61" t="n">
        <v>103</v>
      </c>
      <c r="B3944" s="62" t="inlineStr">
        <is>
          <t xml:space="preserve">            else:</t>
        </is>
      </c>
    </row>
    <row r="3945">
      <c r="A3945" s="61" t="n">
        <v>104</v>
      </c>
      <c r="B3945" s="62" t="inlineStr">
        <is>
          <t xml:space="preserve">                j = rng.randrange(seen[key])</t>
        </is>
      </c>
    </row>
    <row r="3946">
      <c r="A3946" s="61" t="n">
        <v>105</v>
      </c>
      <c r="B3946" s="62" t="inlineStr">
        <is>
          <t xml:space="preserve">                if j &lt; per_bin:</t>
        </is>
      </c>
    </row>
    <row r="3947">
      <c r="A3947" s="61" t="n">
        <v>106</v>
      </c>
      <c r="B3947" s="62" t="inlineStr">
        <is>
          <t xml:space="preserve">                    bucket[j] = item</t>
        </is>
      </c>
    </row>
    <row r="3948">
      <c r="A3948" s="61" t="n">
        <v>107</v>
      </c>
      <c r="B3948" s="62" t="inlineStr">
        <is>
          <t xml:space="preserve">            if scanned % 500_000 == 0:</t>
        </is>
      </c>
    </row>
    <row r="3949">
      <c r="A3949" s="61" t="n">
        <v>108</v>
      </c>
      <c r="B3949" s="62" t="inlineStr">
        <is>
          <t xml:space="preserve">                print(f"scanned {scanned:,} rows")</t>
        </is>
      </c>
    </row>
    <row r="3950">
      <c r="A3950" s="61" t="n">
        <v>109</v>
      </c>
      <c r="B3950" s="62" t="n"/>
    </row>
    <row r="3951">
      <c r="A3951" s="61" t="n">
        <v>110</v>
      </c>
      <c r="B3951" s="62" t="inlineStr">
        <is>
          <t xml:space="preserve">    version = f"lichess-puzzles-{date.today().isoformat()}-seed{args.seed}"</t>
        </is>
      </c>
    </row>
    <row r="3952">
      <c r="A3952" s="61" t="n">
        <v>111</v>
      </c>
      <c r="B3952" s="62" t="inlineStr">
        <is>
          <t xml:space="preserve">    rows = sorted((dict(item, dataset_version=version) for b in reservoirs.values() for item in b), key=lambda r: r["id"])</t>
        </is>
      </c>
    </row>
    <row r="3953">
      <c r="A3953" s="61" t="n">
        <v>112</v>
      </c>
      <c r="B3953" s="62" t="inlineStr">
        <is>
          <t xml:space="preserve">    out = Path(args.out)</t>
        </is>
      </c>
    </row>
    <row r="3954">
      <c r="A3954" s="61" t="n">
        <v>113</v>
      </c>
      <c r="B3954" s="62" t="inlineStr">
        <is>
          <t xml:space="preserve">    out.parent.mkdir(parents=True, exist_ok=True)</t>
        </is>
      </c>
    </row>
    <row r="3955">
      <c r="A3955" s="61" t="n">
        <v>114</v>
      </c>
      <c r="B3955" s="62" t="inlineStr">
        <is>
          <t xml:space="preserve">    with out.open("w", newline="", encoding="utf-8") as fh:</t>
        </is>
      </c>
    </row>
    <row r="3956">
      <c r="A3956" s="61" t="n">
        <v>115</v>
      </c>
      <c r="B3956" s="62" t="inlineStr">
        <is>
          <t xml:space="preserve">        writer = csv.DictWriter(fh, fieldnames=list(rows[0].keys()))</t>
        </is>
      </c>
    </row>
    <row r="3957">
      <c r="A3957" s="61" t="n">
        <v>116</v>
      </c>
      <c r="B3957" s="62" t="inlineStr">
        <is>
          <t xml:space="preserve">        writer.writeheader()</t>
        </is>
      </c>
    </row>
    <row r="3958">
      <c r="A3958" s="61" t="n">
        <v>117</v>
      </c>
      <c r="B3958" s="62" t="inlineStr">
        <is>
          <t xml:space="preserve">        writer.writerows(rows)</t>
        </is>
      </c>
    </row>
    <row r="3959">
      <c r="A3959" s="61" t="n">
        <v>118</v>
      </c>
      <c r="B3959" s="62" t="inlineStr">
        <is>
          <t xml:space="preserve">    digest = hashlib.sha256(out.read_bytes()).hexdigest()</t>
        </is>
      </c>
    </row>
    <row r="3960">
      <c r="A3960" s="61" t="n">
        <v>119</v>
      </c>
      <c r="B3960" s="62" t="inlineStr">
        <is>
          <t xml:space="preserve">    counts: dict[str, dict[str, int]] = defaultdict(lambda: defaultdict(int))</t>
        </is>
      </c>
    </row>
    <row r="3961">
      <c r="A3961" s="61" t="n">
        <v>120</v>
      </c>
      <c r="B3961" s="62" t="inlineStr">
        <is>
          <t xml:space="preserve">    for r in rows:</t>
        </is>
      </c>
    </row>
    <row r="3962">
      <c r="A3962" s="61" t="n">
        <v>121</v>
      </c>
      <c r="B3962" s="62" t="inlineStr">
        <is>
          <t xml:space="preserve">        counts[r["concept"]][r["pool"]] += 1</t>
        </is>
      </c>
    </row>
    <row r="3963">
      <c r="A3963" s="61" t="n">
        <v>122</v>
      </c>
      <c r="B3963" s="62" t="inlineStr">
        <is>
          <t xml:space="preserve">    manifest = {</t>
        </is>
      </c>
    </row>
    <row r="3964">
      <c r="A3964" s="61" t="n">
        <v>123</v>
      </c>
      <c r="B3964" s="62" t="inlineStr">
        <is>
          <t xml:space="preserve">        "dataset_version": version, "source": "https://database.lichess.org/#puzzles", "license": "CC0",</t>
        </is>
      </c>
    </row>
    <row r="3965">
      <c r="A3965" s="61" t="n">
        <v>124</v>
      </c>
      <c r="B3965" s="62" t="inlineStr">
        <is>
          <t xml:space="preserve">        "input_file": Path(args.input).name, "rows_scanned": scanned, "rows_written": len(rows),</t>
        </is>
      </c>
    </row>
    <row r="3966">
      <c r="A3966" s="61" t="n">
        <v>125</v>
      </c>
      <c r="B3966" s="62" t="inlineStr">
        <is>
          <t xml:space="preserve">        "filters": {k: v for k, v in vars(args).items() if k not in ("input", "out")},</t>
        </is>
      </c>
    </row>
    <row r="3967">
      <c r="A3967" s="61" t="n">
        <v>126</v>
      </c>
      <c r="B3967" s="62" t="inlineStr">
        <is>
          <t xml:space="preserve">        "counts": {c: dict(p) for c, p in counts.items()}, "sha256": digest,</t>
        </is>
      </c>
    </row>
    <row r="3968">
      <c r="A3968" s="61" t="n">
        <v>127</v>
      </c>
      <c r="B3968" s="62" t="inlineStr">
        <is>
          <t xml:space="preserve">    }</t>
        </is>
      </c>
    </row>
    <row r="3969">
      <c r="A3969" s="61" t="n">
        <v>128</v>
      </c>
      <c r="B3969" s="62" t="inlineStr">
        <is>
          <t xml:space="preserve">    Path("data/manifests").mkdir(parents=True, exist_ok=True)</t>
        </is>
      </c>
    </row>
    <row r="3970">
      <c r="A3970" s="61" t="n">
        <v>129</v>
      </c>
      <c r="B3970" s="62" t="inlineStr">
        <is>
          <t xml:space="preserve">    Path(f"data/manifests/{version}.json").write_text(json.dumps(manifest, indent=2))</t>
        </is>
      </c>
    </row>
    <row r="3971">
      <c r="A3971" s="61" t="n">
        <v>130</v>
      </c>
      <c r="B3971" s="62" t="inlineStr">
        <is>
          <t xml:space="preserve">    print(json.dumps(manifest, indent=2))</t>
        </is>
      </c>
    </row>
    <row r="3972">
      <c r="A3972" s="61" t="n">
        <v>131</v>
      </c>
      <c r="B3972" s="62" t="n"/>
    </row>
    <row r="3973">
      <c r="A3973" s="61" t="n">
        <v>132</v>
      </c>
      <c r="B3973" s="62" t="n"/>
    </row>
    <row r="3974">
      <c r="A3974" s="61" t="n">
        <v>133</v>
      </c>
      <c r="B3974" s="62" t="inlineStr">
        <is>
          <t>if __name__ == "__main__":</t>
        </is>
      </c>
    </row>
    <row r="3975">
      <c r="A3975" s="61" t="n">
        <v>134</v>
      </c>
      <c r="B3975" s="62" t="inlineStr">
        <is>
          <t xml:space="preserve">    main()</t>
        </is>
      </c>
    </row>
    <row r="3978">
      <c r="A3978" s="60" t="inlineStr">
        <is>
          <t>C62</t>
        </is>
      </c>
      <c r="B3978" s="60" t="inlineStr">
        <is>
          <t>services/backend/app/seed.py   ·   Phase P10   ·   Idempotent puzzle loader.</t>
        </is>
      </c>
    </row>
    <row r="3979">
      <c r="B3979" s="55" t="inlineStr">
        <is>
          <t>↑ back to Code Index</t>
        </is>
      </c>
    </row>
    <row r="3980">
      <c r="A3980" s="61" t="n">
        <v>1</v>
      </c>
      <c r="B3980" s="62" t="inlineStr">
        <is>
          <t>"""Idempotent data loading:  python -m app.seed puzzles data/puzzles_subset.csv</t>
        </is>
      </c>
    </row>
    <row r="3981">
      <c r="A3981" s="61" t="n">
        <v>2</v>
      </c>
      <c r="B3981" s="62" t="n"/>
    </row>
    <row r="3982">
      <c r="A3982" s="61" t="n">
        <v>3</v>
      </c>
      <c r="B3982" s="62" t="inlineStr">
        <is>
          <t>Running it twice must not create duplicates (ON CONFLICT DO NOTHING on the primary key).</t>
        </is>
      </c>
    </row>
    <row r="3983">
      <c r="A3983" s="61" t="n">
        <v>4</v>
      </c>
      <c r="B3983" s="62" t="inlineStr">
        <is>
          <t>"""</t>
        </is>
      </c>
    </row>
    <row r="3984">
      <c r="A3984" s="61" t="n">
        <v>5</v>
      </c>
      <c r="B3984" s="62" t="inlineStr">
        <is>
          <t>import csv</t>
        </is>
      </c>
    </row>
    <row r="3985">
      <c r="A3985" s="61" t="n">
        <v>6</v>
      </c>
      <c r="B3985" s="62" t="inlineStr">
        <is>
          <t>import json</t>
        </is>
      </c>
    </row>
    <row r="3986">
      <c r="A3986" s="61" t="n">
        <v>7</v>
      </c>
      <c r="B3986" s="62" t="inlineStr">
        <is>
          <t>import sys</t>
        </is>
      </c>
    </row>
    <row r="3987">
      <c r="A3987" s="61" t="n">
        <v>8</v>
      </c>
      <c r="B3987" s="62" t="n"/>
    </row>
    <row r="3988">
      <c r="A3988" s="61" t="n">
        <v>9</v>
      </c>
      <c r="B3988" s="62" t="inlineStr">
        <is>
          <t>from sqlalchemy.dialects.postgresql import insert as pg_insert</t>
        </is>
      </c>
    </row>
    <row r="3989">
      <c r="A3989" s="61" t="n">
        <v>10</v>
      </c>
      <c r="B3989" s="62" t="n"/>
    </row>
    <row r="3990">
      <c r="A3990" s="61" t="n">
        <v>11</v>
      </c>
      <c r="B3990" s="62" t="inlineStr">
        <is>
          <t>from app.db import SessionLocal</t>
        </is>
      </c>
    </row>
    <row r="3991">
      <c r="A3991" s="61" t="n">
        <v>12</v>
      </c>
      <c r="B3991" s="62" t="inlineStr">
        <is>
          <t>from app.models import Puzzle</t>
        </is>
      </c>
    </row>
    <row r="3992">
      <c r="A3992" s="61" t="n">
        <v>13</v>
      </c>
      <c r="B3992" s="62" t="n"/>
    </row>
    <row r="3993">
      <c r="A3993" s="61" t="n">
        <v>14</v>
      </c>
      <c r="B3993" s="62" t="inlineStr">
        <is>
          <t>BATCH = 500</t>
        </is>
      </c>
    </row>
    <row r="3994">
      <c r="A3994" s="61" t="n">
        <v>15</v>
      </c>
      <c r="B3994" s="62" t="n"/>
    </row>
    <row r="3995">
      <c r="A3995" s="61" t="n">
        <v>16</v>
      </c>
      <c r="B3995" s="62" t="n"/>
    </row>
    <row r="3996">
      <c r="A3996" s="61" t="n">
        <v>17</v>
      </c>
      <c r="B3996" s="62" t="inlineStr">
        <is>
          <t>def seed_puzzles(path: str) -&gt; int:</t>
        </is>
      </c>
    </row>
    <row r="3997">
      <c r="A3997" s="61" t="n">
        <v>18</v>
      </c>
      <c r="B3997" s="62" t="inlineStr">
        <is>
          <t xml:space="preserve">    inserted = 0</t>
        </is>
      </c>
    </row>
    <row r="3998">
      <c r="A3998" s="61" t="n">
        <v>19</v>
      </c>
      <c r="B3998" s="62" t="inlineStr">
        <is>
          <t xml:space="preserve">    with open(path, newline="", encoding="utf-8") as fh, SessionLocal() as db:</t>
        </is>
      </c>
    </row>
    <row r="3999">
      <c r="A3999" s="61" t="n">
        <v>20</v>
      </c>
      <c r="B3999" s="62" t="inlineStr">
        <is>
          <t xml:space="preserve">        batch = []</t>
        </is>
      </c>
    </row>
    <row r="4000">
      <c r="A4000" s="61" t="n">
        <v>21</v>
      </c>
      <c r="B4000" s="62" t="inlineStr">
        <is>
          <t xml:space="preserve">        for row in csv.DictReader(fh):</t>
        </is>
      </c>
    </row>
    <row r="4001">
      <c r="A4001" s="61" t="n">
        <v>22</v>
      </c>
      <c r="B4001" s="62" t="inlineStr">
        <is>
          <t xml:space="preserve">            batch.append({</t>
        </is>
      </c>
    </row>
    <row r="4002">
      <c r="A4002" s="61" t="n">
        <v>23</v>
      </c>
      <c r="B4002" s="62" t="inlineStr">
        <is>
          <t xml:space="preserve">                "id": row["id"], "source_fen": row["source_fen"], "setup_uci": row["setup_uci"],</t>
        </is>
      </c>
    </row>
    <row r="4003">
      <c r="A4003" s="61" t="n">
        <v>24</v>
      </c>
      <c r="B4003" s="62" t="inlineStr">
        <is>
          <t xml:space="preserve">                "playable_fen": row["playable_fen"], "solution_uci": json.loads(row["solution_uci"]),</t>
        </is>
      </c>
    </row>
    <row r="4004">
      <c r="A4004" s="61" t="n">
        <v>25</v>
      </c>
      <c r="B4004" s="62" t="inlineStr">
        <is>
          <t xml:space="preserve">                "rating": int(row["rating"]), "rating_deviation": int(row["rating_deviation"]),</t>
        </is>
      </c>
    </row>
    <row r="4005">
      <c r="A4005" s="61" t="n">
        <v>26</v>
      </c>
      <c r="B4005" s="62" t="inlineStr">
        <is>
          <t xml:space="preserve">                "popularity": int(row["popularity"]), "nb_plays": int(row["nb_plays"]),</t>
        </is>
      </c>
    </row>
    <row r="4006">
      <c r="A4006" s="61" t="n">
        <v>27</v>
      </c>
      <c r="B4006" s="62" t="inlineStr">
        <is>
          <t xml:space="preserve">                "themes": json.loads(row["themes"]), "concept": row["concept"], "pool": row["pool"],</t>
        </is>
      </c>
    </row>
    <row r="4007">
      <c r="A4007" s="61" t="n">
        <v>28</v>
      </c>
      <c r="B4007" s="62" t="inlineStr">
        <is>
          <t xml:space="preserve">                "game_url": row["game_url"], "dataset_version": row["dataset_version"],</t>
        </is>
      </c>
    </row>
    <row r="4008">
      <c r="A4008" s="61" t="n">
        <v>29</v>
      </c>
      <c r="B4008" s="62" t="inlineStr">
        <is>
          <t xml:space="preserve">            })</t>
        </is>
      </c>
    </row>
    <row r="4009">
      <c r="A4009" s="61" t="n">
        <v>30</v>
      </c>
      <c r="B4009" s="62" t="inlineStr">
        <is>
          <t xml:space="preserve">            if len(batch) &gt;= BATCH:</t>
        </is>
      </c>
    </row>
    <row r="4010">
      <c r="A4010" s="61" t="n">
        <v>31</v>
      </c>
      <c r="B4010" s="62" t="inlineStr">
        <is>
          <t xml:space="preserve">                inserted += _flush(db, batch)</t>
        </is>
      </c>
    </row>
    <row r="4011">
      <c r="A4011" s="61" t="n">
        <v>32</v>
      </c>
      <c r="B4011" s="62" t="inlineStr">
        <is>
          <t xml:space="preserve">                batch = []</t>
        </is>
      </c>
    </row>
    <row r="4012">
      <c r="A4012" s="61" t="n">
        <v>33</v>
      </c>
      <c r="B4012" s="62" t="inlineStr">
        <is>
          <t xml:space="preserve">        if batch:</t>
        </is>
      </c>
    </row>
    <row r="4013">
      <c r="A4013" s="61" t="n">
        <v>34</v>
      </c>
      <c r="B4013" s="62" t="inlineStr">
        <is>
          <t xml:space="preserve">            inserted += _flush(db, batch)</t>
        </is>
      </c>
    </row>
    <row r="4014">
      <c r="A4014" s="61" t="n">
        <v>35</v>
      </c>
      <c r="B4014" s="62" t="inlineStr">
        <is>
          <t xml:space="preserve">        db.commit()</t>
        </is>
      </c>
    </row>
    <row r="4015">
      <c r="A4015" s="61" t="n">
        <v>36</v>
      </c>
      <c r="B4015" s="62" t="inlineStr">
        <is>
          <t xml:space="preserve">    return inserted</t>
        </is>
      </c>
    </row>
    <row r="4016">
      <c r="A4016" s="61" t="n">
        <v>37</v>
      </c>
      <c r="B4016" s="62" t="n"/>
    </row>
    <row r="4017">
      <c r="A4017" s="61" t="n">
        <v>38</v>
      </c>
      <c r="B4017" s="62" t="n"/>
    </row>
    <row r="4018">
      <c r="A4018" s="61" t="n">
        <v>39</v>
      </c>
      <c r="B4018" s="62" t="inlineStr">
        <is>
          <t>def _flush(db, batch: list[dict]) -&gt; int:</t>
        </is>
      </c>
    </row>
    <row r="4019">
      <c r="A4019" s="61" t="n">
        <v>40</v>
      </c>
      <c r="B4019" s="62" t="inlineStr">
        <is>
          <t xml:space="preserve">    # RETURNING lists only the rows actually inserted (skipped duplicates return nothing).</t>
        </is>
      </c>
    </row>
    <row r="4020">
      <c r="A4020" s="61" t="n">
        <v>41</v>
      </c>
      <c r="B4020" s="62" t="inlineStr">
        <is>
          <t xml:space="preserve">    inserted = db.execute(pg_insert(Puzzle).values(batch).on_conflict_do_nothing(index_elements=["id"]).returning(Puzzle.id))</t>
        </is>
      </c>
    </row>
    <row r="4021">
      <c r="A4021" s="61" t="n">
        <v>42</v>
      </c>
      <c r="B4021" s="62" t="inlineStr">
        <is>
          <t xml:space="preserve">    return len(inserted.all())</t>
        </is>
      </c>
    </row>
    <row r="4022">
      <c r="A4022" s="61" t="n">
        <v>43</v>
      </c>
      <c r="B4022" s="62" t="n"/>
    </row>
    <row r="4023">
      <c r="A4023" s="61" t="n">
        <v>44</v>
      </c>
      <c r="B4023" s="62" t="n"/>
    </row>
    <row r="4024">
      <c r="A4024" s="61" t="n">
        <v>45</v>
      </c>
      <c r="B4024" s="62" t="inlineStr">
        <is>
          <t>if __name__ == "__main__":</t>
        </is>
      </c>
    </row>
    <row r="4025">
      <c r="A4025" s="61" t="n">
        <v>46</v>
      </c>
      <c r="B4025" s="62" t="inlineStr">
        <is>
          <t xml:space="preserve">    if len(sys.argv) != 3 or sys.argv[1] != "puzzles":</t>
        </is>
      </c>
    </row>
    <row r="4026">
      <c r="A4026" s="61" t="n">
        <v>47</v>
      </c>
      <c r="B4026" s="62" t="inlineStr">
        <is>
          <t xml:space="preserve">        sys.exit("usage: python -m app.seed puzzles &lt;csv&gt;")</t>
        </is>
      </c>
    </row>
    <row r="4027">
      <c r="A4027" s="61" t="n">
        <v>48</v>
      </c>
      <c r="B4027" s="62" t="inlineStr">
        <is>
          <t xml:space="preserve">    print(f"inserted {seed_puzzles(sys.argv[2])} new puzzles")</t>
        </is>
      </c>
    </row>
    <row r="4030">
      <c r="A4030" s="60" t="inlineStr">
        <is>
          <t>C63</t>
        </is>
      </c>
      <c r="B4030" s="60" t="inlineStr">
        <is>
          <t>services/backend/app/practice/grading.py   ·   Phase P10   ·   Server-side multi-move grading and graduated hints.</t>
        </is>
      </c>
    </row>
    <row r="4031">
      <c r="B4031" s="55" t="inlineStr">
        <is>
          <t>↑ back to Code Index</t>
        </is>
      </c>
    </row>
    <row r="4032">
      <c r="A4032" s="61" t="n">
        <v>1</v>
      </c>
      <c r="B4032" s="62" t="inlineStr">
        <is>
          <t>"""Server-side puzzle grading. The solution never leaves the server until the solver earns it."""</t>
        </is>
      </c>
    </row>
    <row r="4033">
      <c r="A4033" s="61" t="n">
        <v>2</v>
      </c>
      <c r="B4033" s="62" t="inlineStr">
        <is>
          <t>from dataclasses import dataclass</t>
        </is>
      </c>
    </row>
    <row r="4034">
      <c r="A4034" s="61" t="n">
        <v>3</v>
      </c>
      <c r="B4034" s="62" t="n"/>
    </row>
    <row r="4035">
      <c r="A4035" s="61" t="n">
        <v>4</v>
      </c>
      <c r="B4035" s="62" t="inlineStr">
        <is>
          <t>import chess</t>
        </is>
      </c>
    </row>
    <row r="4036">
      <c r="A4036" s="61" t="n">
        <v>5</v>
      </c>
      <c r="B4036" s="62" t="n"/>
    </row>
    <row r="4037">
      <c r="A4037" s="61" t="n">
        <v>6</v>
      </c>
      <c r="B4037" s="62" t="inlineStr">
        <is>
          <t>CONCEPT_HINTS = {</t>
        </is>
      </c>
    </row>
    <row r="4038">
      <c r="A4038" s="61" t="n">
        <v>7</v>
      </c>
      <c r="B4038" s="62" t="inlineStr">
        <is>
          <t xml:space="preserve">    "knight_fork": "Look for a knight move that attacks two pieces at once.",</t>
        </is>
      </c>
    </row>
    <row r="4039">
      <c r="A4039" s="61" t="n">
        <v>8</v>
      </c>
      <c r="B4039" s="62" t="inlineStr">
        <is>
          <t xml:space="preserve">    "hanging_piece": "One of your opponent's pieces is not properly protected.",</t>
        </is>
      </c>
    </row>
    <row r="4040">
      <c r="A4040" s="61" t="n">
        <v>9</v>
      </c>
      <c r="B4040" s="62" t="inlineStr">
        <is>
          <t>}</t>
        </is>
      </c>
    </row>
    <row r="4041">
      <c r="A4041" s="61" t="n">
        <v>10</v>
      </c>
      <c r="B4041" s="62" t="n"/>
    </row>
    <row r="4042">
      <c r="A4042" s="61" t="n">
        <v>11</v>
      </c>
      <c r="B4042" s="62" t="n"/>
    </row>
    <row r="4043">
      <c r="A4043" s="61" t="n">
        <v>12</v>
      </c>
      <c r="B4043" s="62" t="inlineStr">
        <is>
          <t>class IllegalMove(ValueError):</t>
        </is>
      </c>
    </row>
    <row r="4044">
      <c r="A4044" s="61" t="n">
        <v>13</v>
      </c>
      <c r="B4044" s="62" t="inlineStr">
        <is>
          <t xml:space="preserve">    pass</t>
        </is>
      </c>
    </row>
    <row r="4045">
      <c r="A4045" s="61" t="n">
        <v>14</v>
      </c>
      <c r="B4045" s="62" t="n"/>
    </row>
    <row r="4046">
      <c r="A4046" s="61" t="n">
        <v>15</v>
      </c>
      <c r="B4046" s="62" t="n"/>
    </row>
    <row r="4047">
      <c r="A4047" s="61" t="n">
        <v>16</v>
      </c>
      <c r="B4047" s="62" t="inlineStr">
        <is>
          <t>@dataclass</t>
        </is>
      </c>
    </row>
    <row r="4048">
      <c r="A4048" s="61" t="n">
        <v>17</v>
      </c>
      <c r="B4048" s="62" t="inlineStr">
        <is>
          <t>class GradeResult:</t>
        </is>
      </c>
    </row>
    <row r="4049">
      <c r="A4049" s="61" t="n">
        <v>18</v>
      </c>
      <c r="B4049" s="62" t="inlineStr">
        <is>
          <t xml:space="preserve">    outcome: str  # correct | solved | incorrect</t>
        </is>
      </c>
    </row>
    <row r="4050">
      <c r="A4050" s="61" t="n">
        <v>19</v>
      </c>
      <c r="B4050" s="62" t="inlineStr">
        <is>
          <t xml:space="preserve">    fen: str  # position the solver should now see</t>
        </is>
      </c>
    </row>
    <row r="4051">
      <c r="A4051" s="61" t="n">
        <v>20</v>
      </c>
      <c r="B4051" s="62" t="inlineStr">
        <is>
          <t xml:space="preserve">    next_index: int  # how far into the solution we are</t>
        </is>
      </c>
    </row>
    <row r="4052">
      <c r="A4052" s="61" t="n">
        <v>21</v>
      </c>
      <c r="B4052" s="62" t="inlineStr">
        <is>
          <t xml:space="preserve">    opponent_reply: str | None = None</t>
        </is>
      </c>
    </row>
    <row r="4053">
      <c r="A4053" s="61" t="n">
        <v>22</v>
      </c>
      <c r="B4053" s="62" t="n"/>
    </row>
    <row r="4054">
      <c r="A4054" s="61" t="n">
        <v>23</v>
      </c>
      <c r="B4054" s="62" t="n"/>
    </row>
    <row r="4055">
      <c r="A4055" s="61" t="n">
        <v>24</v>
      </c>
      <c r="B4055" s="62" t="inlineStr">
        <is>
          <t>def board_at(playable_fen: str, solution: list[str], index: int) -&gt; chess.Board:</t>
        </is>
      </c>
    </row>
    <row r="4056">
      <c r="A4056" s="61" t="n">
        <v>25</v>
      </c>
      <c r="B4056" s="62" t="inlineStr">
        <is>
          <t xml:space="preserve">    board = chess.Board(playable_fen)</t>
        </is>
      </c>
    </row>
    <row r="4057">
      <c r="A4057" s="61" t="n">
        <v>26</v>
      </c>
      <c r="B4057" s="62" t="inlineStr">
        <is>
          <t xml:space="preserve">    for uci in solution[:index]:</t>
        </is>
      </c>
    </row>
    <row r="4058">
      <c r="A4058" s="61" t="n">
        <v>27</v>
      </c>
      <c r="B4058" s="62" t="inlineStr">
        <is>
          <t xml:space="preserve">        board.push_uci(uci)</t>
        </is>
      </c>
    </row>
    <row r="4059">
      <c r="A4059" s="61" t="n">
        <v>28</v>
      </c>
      <c r="B4059" s="62" t="inlineStr">
        <is>
          <t xml:space="preserve">    return board</t>
        </is>
      </c>
    </row>
    <row r="4060">
      <c r="A4060" s="61" t="n">
        <v>29</v>
      </c>
      <c r="B4060" s="62" t="n"/>
    </row>
    <row r="4061">
      <c r="A4061" s="61" t="n">
        <v>30</v>
      </c>
      <c r="B4061" s="62" t="n"/>
    </row>
    <row r="4062">
      <c r="A4062" s="61" t="n">
        <v>31</v>
      </c>
      <c r="B4062" s="62" t="inlineStr">
        <is>
          <t>def grade_move(playable_fen: str, solution: list[str], index: int, submitted_uci: str) -&gt; GradeResult:</t>
        </is>
      </c>
    </row>
    <row r="4063">
      <c r="A4063" s="61" t="n">
        <v>32</v>
      </c>
      <c r="B4063" s="62" t="inlineStr">
        <is>
          <t xml:space="preserve">    """solution = [solver, opponent, solver, ...]; index always points at a solver move."""</t>
        </is>
      </c>
    </row>
    <row r="4064">
      <c r="A4064" s="61" t="n">
        <v>33</v>
      </c>
      <c r="B4064" s="62" t="inlineStr">
        <is>
          <t xml:space="preserve">    board = board_at(playable_fen, solution, index)</t>
        </is>
      </c>
    </row>
    <row r="4065">
      <c r="A4065" s="61" t="n">
        <v>34</v>
      </c>
      <c r="B4065" s="62" t="inlineStr">
        <is>
          <t xml:space="preserve">    try:</t>
        </is>
      </c>
    </row>
    <row r="4066">
      <c r="A4066" s="61" t="n">
        <v>35</v>
      </c>
      <c r="B4066" s="62" t="inlineStr">
        <is>
          <t xml:space="preserve">        move = chess.Move.from_uci(submitted_uci)</t>
        </is>
      </c>
    </row>
    <row r="4067">
      <c r="A4067" s="61" t="n">
        <v>36</v>
      </c>
      <c r="B4067" s="62" t="inlineStr">
        <is>
          <t xml:space="preserve">    except ValueError as exc:</t>
        </is>
      </c>
    </row>
    <row r="4068">
      <c r="A4068" s="61" t="n">
        <v>37</v>
      </c>
      <c r="B4068" s="62" t="inlineStr">
        <is>
          <t xml:space="preserve">        raise IllegalMove(submitted_uci) from exc</t>
        </is>
      </c>
    </row>
    <row r="4069">
      <c r="A4069" s="61" t="n">
        <v>38</v>
      </c>
      <c r="B4069" s="62" t="inlineStr">
        <is>
          <t xml:space="preserve">    if move not in board.legal_moves:</t>
        </is>
      </c>
    </row>
    <row r="4070">
      <c r="A4070" s="61" t="n">
        <v>39</v>
      </c>
      <c r="B4070" s="62" t="inlineStr">
        <is>
          <t xml:space="preserve">        raise IllegalMove(submitted_uci)</t>
        </is>
      </c>
    </row>
    <row r="4071">
      <c r="A4071" s="61" t="n">
        <v>40</v>
      </c>
      <c r="B4071" s="62" t="n"/>
    </row>
    <row r="4072">
      <c r="A4072" s="61" t="n">
        <v>41</v>
      </c>
      <c r="B4072" s="62" t="inlineStr">
        <is>
          <t xml:space="preserve">    expected = solution[index]</t>
        </is>
      </c>
    </row>
    <row r="4073">
      <c r="A4073" s="61" t="n">
        <v>42</v>
      </c>
      <c r="B4073" s="62" t="inlineStr">
        <is>
          <t xml:space="preserve">    board.push(move)</t>
        </is>
      </c>
    </row>
    <row r="4074">
      <c r="A4074" s="61" t="n">
        <v>43</v>
      </c>
      <c r="B4074" s="62" t="inlineStr">
        <is>
          <t xml:space="preserve">    # Any checkmate is accepted, even if it differs from the stored line.</t>
        </is>
      </c>
    </row>
    <row r="4075">
      <c r="A4075" s="61" t="n">
        <v>44</v>
      </c>
      <c r="B4075" s="62" t="inlineStr">
        <is>
          <t xml:space="preserve">    if board.is_checkmate():</t>
        </is>
      </c>
    </row>
    <row r="4076">
      <c r="A4076" s="61" t="n">
        <v>45</v>
      </c>
      <c r="B4076" s="62" t="inlineStr">
        <is>
          <t xml:space="preserve">        return GradeResult("solved", board.fen(), len(solution))</t>
        </is>
      </c>
    </row>
    <row r="4077">
      <c r="A4077" s="61" t="n">
        <v>46</v>
      </c>
      <c r="B4077" s="62" t="inlineStr">
        <is>
          <t xml:space="preserve">    if submitted_uci != expected:</t>
        </is>
      </c>
    </row>
    <row r="4078">
      <c r="A4078" s="61" t="n">
        <v>47</v>
      </c>
      <c r="B4078" s="62" t="inlineStr">
        <is>
          <t xml:space="preserve">        return GradeResult("incorrect", board_at(playable_fen, solution, index).fen(), index)</t>
        </is>
      </c>
    </row>
    <row r="4079">
      <c r="A4079" s="61" t="n">
        <v>48</v>
      </c>
      <c r="B4079" s="62" t="n"/>
    </row>
    <row r="4080">
      <c r="A4080" s="61" t="n">
        <v>49</v>
      </c>
      <c r="B4080" s="62" t="inlineStr">
        <is>
          <t xml:space="preserve">    index += 1</t>
        </is>
      </c>
    </row>
    <row r="4081">
      <c r="A4081" s="61" t="n">
        <v>50</v>
      </c>
      <c r="B4081" s="62" t="inlineStr">
        <is>
          <t xml:space="preserve">    if index &gt;= len(solution):</t>
        </is>
      </c>
    </row>
    <row r="4082">
      <c r="A4082" s="61" t="n">
        <v>51</v>
      </c>
      <c r="B4082" s="62" t="inlineStr">
        <is>
          <t xml:space="preserve">        return GradeResult("solved", board.fen(), index)</t>
        </is>
      </c>
    </row>
    <row r="4083">
      <c r="A4083" s="61" t="n">
        <v>52</v>
      </c>
      <c r="B4083" s="62" t="inlineStr">
        <is>
          <t xml:space="preserve">    reply = solution[index]</t>
        </is>
      </c>
    </row>
    <row r="4084">
      <c r="A4084" s="61" t="n">
        <v>53</v>
      </c>
      <c r="B4084" s="62" t="inlineStr">
        <is>
          <t xml:space="preserve">    board.push_uci(reply)  # the server plays the opponent's forced answer</t>
        </is>
      </c>
    </row>
    <row r="4085">
      <c r="A4085" s="61" t="n">
        <v>54</v>
      </c>
      <c r="B4085" s="62" t="inlineStr">
        <is>
          <t xml:space="preserve">    index += 1</t>
        </is>
      </c>
    </row>
    <row r="4086">
      <c r="A4086" s="61" t="n">
        <v>55</v>
      </c>
      <c r="B4086" s="62" t="inlineStr">
        <is>
          <t xml:space="preserve">    if index &gt;= len(solution):</t>
        </is>
      </c>
    </row>
    <row r="4087">
      <c r="A4087" s="61" t="n">
        <v>56</v>
      </c>
      <c r="B4087" s="62" t="inlineStr">
        <is>
          <t xml:space="preserve">        return GradeResult("solved", board.fen(), index, reply)</t>
        </is>
      </c>
    </row>
    <row r="4088">
      <c r="A4088" s="61" t="n">
        <v>57</v>
      </c>
      <c r="B4088" s="62" t="inlineStr">
        <is>
          <t xml:space="preserve">    return GradeResult("correct", board.fen(), index, reply)</t>
        </is>
      </c>
    </row>
    <row r="4089">
      <c r="A4089" s="61" t="n">
        <v>58</v>
      </c>
      <c r="B4089" s="62" t="n"/>
    </row>
    <row r="4090">
      <c r="A4090" s="61" t="n">
        <v>59</v>
      </c>
      <c r="B4090" s="62" t="n"/>
    </row>
    <row r="4091">
      <c r="A4091" s="61" t="n">
        <v>60</v>
      </c>
      <c r="B4091" s="62" t="inlineStr">
        <is>
          <t>def hint_for(playable_fen: str, solution: list[str], index: int, level: int, concept: str) -&gt; str:</t>
        </is>
      </c>
    </row>
    <row r="4092">
      <c r="A4092" s="61" t="n">
        <v>61</v>
      </c>
      <c r="B4092" s="62" t="inlineStr">
        <is>
          <t xml:space="preserve">    board = board_at(playable_fen, solution, index)</t>
        </is>
      </c>
    </row>
    <row r="4093">
      <c r="A4093" s="61" t="n">
        <v>62</v>
      </c>
      <c r="B4093" s="62" t="inlineStr">
        <is>
          <t xml:space="preserve">    move = chess.Move.from_uci(solution[index])</t>
        </is>
      </c>
    </row>
    <row r="4094">
      <c r="A4094" s="61" t="n">
        <v>63</v>
      </c>
      <c r="B4094" s="62" t="inlineStr">
        <is>
          <t xml:space="preserve">    if level &lt;= 1:</t>
        </is>
      </c>
    </row>
    <row r="4095">
      <c r="A4095" s="61" t="n">
        <v>64</v>
      </c>
      <c r="B4095" s="62" t="inlineStr">
        <is>
          <t xml:space="preserve">        return CONCEPT_HINTS.get(concept, "Look for checks, captures and threats.")</t>
        </is>
      </c>
    </row>
    <row r="4096">
      <c r="A4096" s="61" t="n">
        <v>65</v>
      </c>
      <c r="B4096" s="62" t="inlineStr">
        <is>
          <t xml:space="preserve">    if level == 2:</t>
        </is>
      </c>
    </row>
    <row r="4097">
      <c r="A4097" s="61" t="n">
        <v>66</v>
      </c>
      <c r="B4097" s="62" t="inlineStr">
        <is>
          <t xml:space="preserve">        piece = board.piece_at(move.from_square)</t>
        </is>
      </c>
    </row>
    <row r="4098">
      <c r="A4098" s="61" t="n">
        <v>67</v>
      </c>
      <c r="B4098" s="62" t="inlineStr">
        <is>
          <t xml:space="preserve">        name = chess.piece_name(piece.piece_type) if piece else "piece"</t>
        </is>
      </c>
    </row>
    <row r="4099">
      <c r="A4099" s="61" t="n">
        <v>68</v>
      </c>
      <c r="B4099" s="62" t="inlineStr">
        <is>
          <t xml:space="preserve">        return f"Move your {name} on {chess.square_name(move.from_square)}."</t>
        </is>
      </c>
    </row>
    <row r="4100">
      <c r="A4100" s="61" t="n">
        <v>69</v>
      </c>
      <c r="B4100" s="62" t="inlineStr">
        <is>
          <t xml:space="preserve">    return f"The move is {board.san(move)}."</t>
        </is>
      </c>
    </row>
    <row r="4103">
      <c r="A4103" s="60" t="inlineStr">
        <is>
          <t>C64</t>
        </is>
      </c>
      <c r="B4103" s="60" t="inlineStr">
        <is>
          <t>services/backend/tests/test_grading.py   ·   Phase P10   ·   Grading tests incl. alternative checkmates.</t>
        </is>
      </c>
    </row>
    <row r="4104">
      <c r="B4104" s="55" t="inlineStr">
        <is>
          <t>↑ back to Code Index</t>
        </is>
      </c>
    </row>
    <row r="4105">
      <c r="A4105" s="61" t="n">
        <v>1</v>
      </c>
      <c r="B4105" s="62" t="inlineStr">
        <is>
          <t>import chess</t>
        </is>
      </c>
    </row>
    <row r="4106">
      <c r="A4106" s="61" t="n">
        <v>2</v>
      </c>
      <c r="B4106" s="62" t="inlineStr">
        <is>
          <t>import pytest</t>
        </is>
      </c>
    </row>
    <row r="4107">
      <c r="A4107" s="61" t="n">
        <v>3</v>
      </c>
      <c r="B4107" s="62" t="n"/>
    </row>
    <row r="4108">
      <c r="A4108" s="61" t="n">
        <v>4</v>
      </c>
      <c r="B4108" s="62" t="inlineStr">
        <is>
          <t>from app.practice.grading import IllegalMove, grade_move, hint_for</t>
        </is>
      </c>
    </row>
    <row r="4109">
      <c r="A4109" s="61" t="n">
        <v>5</v>
      </c>
      <c r="B4109" s="62" t="n"/>
    </row>
    <row r="4110">
      <c r="A4110" s="61" t="n">
        <v>6</v>
      </c>
      <c r="B4110" s="62" t="inlineStr">
        <is>
          <t># Position after the setup move: White to play Nc7+ (fork), Black king moves, Nxa8.</t>
        </is>
      </c>
    </row>
    <row r="4111">
      <c r="A4111" s="61" t="n">
        <v>7</v>
      </c>
      <c r="B4111" s="62" t="inlineStr">
        <is>
          <t>FEN = "r3k3/8/8/3N4/8/8/8/4K3 w - - 0 1"</t>
        </is>
      </c>
    </row>
    <row r="4112">
      <c r="A4112" s="61" t="n">
        <v>8</v>
      </c>
      <c r="B4112" s="62" t="inlineStr">
        <is>
          <t>SOLUTION = ["d5c7", "e8d7", "c7a8"]</t>
        </is>
      </c>
    </row>
    <row r="4113">
      <c r="A4113" s="61" t="n">
        <v>9</v>
      </c>
      <c r="B4113" s="62" t="n"/>
    </row>
    <row r="4114">
      <c r="A4114" s="61" t="n">
        <v>10</v>
      </c>
      <c r="B4114" s="62" t="n"/>
    </row>
    <row r="4115">
      <c r="A4115" s="61" t="n">
        <v>11</v>
      </c>
      <c r="B4115" s="62" t="inlineStr">
        <is>
          <t>def test_correct_first_move_auto_plays_reply():</t>
        </is>
      </c>
    </row>
    <row r="4116">
      <c r="A4116" s="61" t="n">
        <v>12</v>
      </c>
      <c r="B4116" s="62" t="inlineStr">
        <is>
          <t xml:space="preserve">    result = grade_move(FEN, SOLUTION, 0, "d5c7")</t>
        </is>
      </c>
    </row>
    <row r="4117">
      <c r="A4117" s="61" t="n">
        <v>13</v>
      </c>
      <c r="B4117" s="62" t="inlineStr">
        <is>
          <t xml:space="preserve">    assert result.outcome == "correct"</t>
        </is>
      </c>
    </row>
    <row r="4118">
      <c r="A4118" s="61" t="n">
        <v>14</v>
      </c>
      <c r="B4118" s="62" t="inlineStr">
        <is>
          <t xml:space="preserve">    assert result.opponent_reply == "e8d7"</t>
        </is>
      </c>
    </row>
    <row r="4119">
      <c r="A4119" s="61" t="n">
        <v>15</v>
      </c>
      <c r="B4119" s="62" t="inlineStr">
        <is>
          <t xml:space="preserve">    assert result.next_index == 2</t>
        </is>
      </c>
    </row>
    <row r="4120">
      <c r="A4120" s="61" t="n">
        <v>16</v>
      </c>
      <c r="B4120" s="62" t="n"/>
    </row>
    <row r="4121">
      <c r="A4121" s="61" t="n">
        <v>17</v>
      </c>
      <c r="B4121" s="62" t="n"/>
    </row>
    <row r="4122">
      <c r="A4122" s="61" t="n">
        <v>18</v>
      </c>
      <c r="B4122" s="62" t="inlineStr">
        <is>
          <t>def test_final_move_solves():</t>
        </is>
      </c>
    </row>
    <row r="4123">
      <c r="A4123" s="61" t="n">
        <v>19</v>
      </c>
      <c r="B4123" s="62" t="inlineStr">
        <is>
          <t xml:space="preserve">    assert grade_move(FEN, SOLUTION, 2, "c7a8").outcome == "solved"</t>
        </is>
      </c>
    </row>
    <row r="4124">
      <c r="A4124" s="61" t="n">
        <v>20</v>
      </c>
      <c r="B4124" s="62" t="n"/>
    </row>
    <row r="4125">
      <c r="A4125" s="61" t="n">
        <v>21</v>
      </c>
      <c r="B4125" s="62" t="n"/>
    </row>
    <row r="4126">
      <c r="A4126" s="61" t="n">
        <v>22</v>
      </c>
      <c r="B4126" s="62" t="inlineStr">
        <is>
          <t>def test_wrong_move_keeps_position():</t>
        </is>
      </c>
    </row>
    <row r="4127">
      <c r="A4127" s="61" t="n">
        <v>23</v>
      </c>
      <c r="B4127" s="62" t="inlineStr">
        <is>
          <t xml:space="preserve">    result = grade_move(FEN, SOLUTION, 0, "e1e2")</t>
        </is>
      </c>
    </row>
    <row r="4128">
      <c r="A4128" s="61" t="n">
        <v>24</v>
      </c>
      <c r="B4128" s="62" t="inlineStr">
        <is>
          <t xml:space="preserve">    assert result.outcome == "incorrect"</t>
        </is>
      </c>
    </row>
    <row r="4129">
      <c r="A4129" s="61" t="n">
        <v>25</v>
      </c>
      <c r="B4129" s="62" t="inlineStr">
        <is>
          <t xml:space="preserve">    assert result.fen == FEN</t>
        </is>
      </c>
    </row>
    <row r="4130">
      <c r="A4130" s="61" t="n">
        <v>26</v>
      </c>
      <c r="B4130" s="62" t="inlineStr">
        <is>
          <t xml:space="preserve">    assert result.next_index == 0</t>
        </is>
      </c>
    </row>
    <row r="4131">
      <c r="A4131" s="61" t="n">
        <v>27</v>
      </c>
      <c r="B4131" s="62" t="n"/>
    </row>
    <row r="4132">
      <c r="A4132" s="61" t="n">
        <v>28</v>
      </c>
      <c r="B4132" s="62" t="n"/>
    </row>
    <row r="4133">
      <c r="A4133" s="61" t="n">
        <v>29</v>
      </c>
      <c r="B4133" s="62" t="inlineStr">
        <is>
          <t>def test_illegal_move_raises():</t>
        </is>
      </c>
    </row>
    <row r="4134">
      <c r="A4134" s="61" t="n">
        <v>30</v>
      </c>
      <c r="B4134" s="62" t="inlineStr">
        <is>
          <t xml:space="preserve">    with pytest.raises(IllegalMove):</t>
        </is>
      </c>
    </row>
    <row r="4135">
      <c r="A4135" s="61" t="n">
        <v>31</v>
      </c>
      <c r="B4135" s="62" t="inlineStr">
        <is>
          <t xml:space="preserve">        grade_move(FEN, SOLUTION, 0, "d5d6")</t>
        </is>
      </c>
    </row>
    <row r="4136">
      <c r="A4136" s="61" t="n">
        <v>32</v>
      </c>
      <c r="B4136" s="62" t="inlineStr">
        <is>
          <t xml:space="preserve">    with pytest.raises(IllegalMove):</t>
        </is>
      </c>
    </row>
    <row r="4137">
      <c r="A4137" s="61" t="n">
        <v>33</v>
      </c>
      <c r="B4137" s="62" t="inlineStr">
        <is>
          <t xml:space="preserve">        grade_move(FEN, SOLUTION, 0, "not-a-move")</t>
        </is>
      </c>
    </row>
    <row r="4138">
      <c r="A4138" s="61" t="n">
        <v>34</v>
      </c>
      <c r="B4138" s="62" t="n"/>
    </row>
    <row r="4139">
      <c r="A4139" s="61" t="n">
        <v>35</v>
      </c>
      <c r="B4139" s="62" t="n"/>
    </row>
    <row r="4140">
      <c r="A4140" s="61" t="n">
        <v>36</v>
      </c>
      <c r="B4140" s="62" t="inlineStr">
        <is>
          <t>def test_any_checkmate_is_accepted():</t>
        </is>
      </c>
    </row>
    <row r="4141">
      <c r="A4141" s="61" t="n">
        <v>37</v>
      </c>
      <c r="B4141" s="62" t="inlineStr">
        <is>
          <t xml:space="preserve">    # Back-rank mate: both Ra8# and Rb8# are mate; the stored line only knows Ra8#.</t>
        </is>
      </c>
    </row>
    <row r="4142">
      <c r="A4142" s="61" t="n">
        <v>38</v>
      </c>
      <c r="B4142" s="62" t="inlineStr">
        <is>
          <t xml:space="preserve">    fen = "6k1/5ppp/8/8/8/8/8/1R4K1 w - - 0 1"</t>
        </is>
      </c>
    </row>
    <row r="4143">
      <c r="A4143" s="61" t="n">
        <v>39</v>
      </c>
      <c r="B4143" s="62" t="inlineStr">
        <is>
          <t xml:space="preserve">    assert chess.Board(fen).is_valid()</t>
        </is>
      </c>
    </row>
    <row r="4144">
      <c r="A4144" s="61" t="n">
        <v>40</v>
      </c>
      <c r="B4144" s="62" t="inlineStr">
        <is>
          <t xml:space="preserve">    assert grade_move(fen, ["b1b8"], 0, "b1b8").outcome == "solved"</t>
        </is>
      </c>
    </row>
    <row r="4145">
      <c r="A4145" s="61" t="n">
        <v>41</v>
      </c>
      <c r="B4145" s="62" t="n"/>
    </row>
    <row r="4146">
      <c r="A4146" s="61" t="n">
        <v>42</v>
      </c>
      <c r="B4146" s="62" t="n"/>
    </row>
    <row r="4147">
      <c r="A4147" s="61" t="n">
        <v>43</v>
      </c>
      <c r="B4147" s="62" t="inlineStr">
        <is>
          <t>def test_hints_get_more_specific():</t>
        </is>
      </c>
    </row>
    <row r="4148">
      <c r="A4148" s="61" t="n">
        <v>44</v>
      </c>
      <c r="B4148" s="62" t="inlineStr">
        <is>
          <t xml:space="preserve">    assert "knight" in hint_for(FEN, SOLUTION, 0, 1, "knight_fork").lower()</t>
        </is>
      </c>
    </row>
    <row r="4149">
      <c r="A4149" s="61" t="n">
        <v>45</v>
      </c>
      <c r="B4149" s="62" t="inlineStr">
        <is>
          <t xml:space="preserve">    assert "d5" in hint_for(FEN, SOLUTION, 0, 2, "knight_fork")</t>
        </is>
      </c>
    </row>
    <row r="4150">
      <c r="A4150" s="61" t="n">
        <v>46</v>
      </c>
      <c r="B4150" s="62" t="inlineStr">
        <is>
          <t xml:space="preserve">    assert "Nc7+" in hint_for(FEN, SOLUTION, 0, 3, "knight_fork")</t>
        </is>
      </c>
    </row>
    <row r="4153">
      <c r="A4153" s="60" t="inlineStr">
        <is>
          <t>C65</t>
        </is>
      </c>
      <c r="B4153" s="60" t="inlineStr">
        <is>
          <t>services/backend/app/api/practice.py   ·   Phase P10   ·   Practice sessions: start, move, hint, give up; one rating update.</t>
        </is>
      </c>
    </row>
    <row r="4154">
      <c r="B4154" s="55" t="inlineStr">
        <is>
          <t>↑ back to Code Index</t>
        </is>
      </c>
    </row>
    <row r="4155">
      <c r="A4155" s="61" t="n">
        <v>1</v>
      </c>
      <c r="B4155" s="62" t="inlineStr">
        <is>
          <t>import uuid</t>
        </is>
      </c>
    </row>
    <row r="4156">
      <c r="A4156" s="61" t="n">
        <v>2</v>
      </c>
      <c r="B4156" s="62" t="inlineStr">
        <is>
          <t>from datetime import datetime, timezone</t>
        </is>
      </c>
    </row>
    <row r="4157">
      <c r="A4157" s="61" t="n">
        <v>3</v>
      </c>
      <c r="B4157" s="62" t="inlineStr">
        <is>
          <t>from typing import Literal</t>
        </is>
      </c>
    </row>
    <row r="4158">
      <c r="A4158" s="61" t="n">
        <v>4</v>
      </c>
      <c r="B4158" s="62" t="n"/>
    </row>
    <row r="4159">
      <c r="A4159" s="61" t="n">
        <v>5</v>
      </c>
      <c r="B4159" s="62" t="inlineStr">
        <is>
          <t>import chess</t>
        </is>
      </c>
    </row>
    <row r="4160">
      <c r="A4160" s="61" t="n">
        <v>6</v>
      </c>
      <c r="B4160" s="62" t="inlineStr">
        <is>
          <t>from fastapi import APIRouter, Depends</t>
        </is>
      </c>
    </row>
    <row r="4161">
      <c r="A4161" s="61" t="n">
        <v>7</v>
      </c>
      <c r="B4161" s="62" t="inlineStr">
        <is>
          <t>from pydantic import BaseModel, Field</t>
        </is>
      </c>
    </row>
    <row r="4162">
      <c r="A4162" s="61" t="n">
        <v>8</v>
      </c>
      <c r="B4162" s="62" t="inlineStr">
        <is>
          <t>from sqlalchemy import update</t>
        </is>
      </c>
    </row>
    <row r="4163">
      <c r="A4163" s="61" t="n">
        <v>9</v>
      </c>
      <c r="B4163" s="62" t="inlineStr">
        <is>
          <t>from sqlalchemy.orm import Session</t>
        </is>
      </c>
    </row>
    <row r="4164">
      <c r="A4164" s="61" t="n">
        <v>10</v>
      </c>
      <c r="B4164" s="62" t="n"/>
    </row>
    <row r="4165">
      <c r="A4165" s="61" t="n">
        <v>11</v>
      </c>
      <c r="B4165" s="62" t="inlineStr">
        <is>
          <t>from app.db import get_db</t>
        </is>
      </c>
    </row>
    <row r="4166">
      <c r="A4166" s="61" t="n">
        <v>12</v>
      </c>
      <c r="B4166" s="62" t="inlineStr">
        <is>
          <t>from app.errors import ApiError</t>
        </is>
      </c>
    </row>
    <row r="4167">
      <c r="A4167" s="61" t="n">
        <v>13</v>
      </c>
      <c r="B4167" s="62" t="inlineStr">
        <is>
          <t>from app.learning import elo</t>
        </is>
      </c>
    </row>
    <row r="4168">
      <c r="A4168" s="61" t="n">
        <v>14</v>
      </c>
      <c r="B4168" s="62" t="inlineStr">
        <is>
          <t>from app.learning.selector import CONCEPTS, choose, concept_rating</t>
        </is>
      </c>
    </row>
    <row r="4169">
      <c r="A4169" s="61" t="n">
        <v>15</v>
      </c>
      <c r="B4169" s="62" t="inlineStr">
        <is>
          <t>from app.models import PracticeEvent, PracticeSession, Puzzle, TacticalEvidence, Visitor</t>
        </is>
      </c>
    </row>
    <row r="4170">
      <c r="A4170" s="61" t="n">
        <v>16</v>
      </c>
      <c r="B4170" s="62" t="inlineStr">
        <is>
          <t>from app.practice.grading import IllegalMove, board_at, grade_move, hint_for</t>
        </is>
      </c>
    </row>
    <row r="4171">
      <c r="A4171" s="61" t="n">
        <v>17</v>
      </c>
      <c r="B4171" s="62" t="inlineStr">
        <is>
          <t>from app.security import current_visitor</t>
        </is>
      </c>
    </row>
    <row r="4172">
      <c r="A4172" s="61" t="n">
        <v>18</v>
      </c>
      <c r="B4172" s="62" t="n"/>
    </row>
    <row r="4173">
      <c r="A4173" s="61" t="n">
        <v>19</v>
      </c>
      <c r="B4173" s="62" t="inlineStr">
        <is>
          <t>router = APIRouter(prefix="/v1/practice", tags=["practice"])</t>
        </is>
      </c>
    </row>
    <row r="4174">
      <c r="A4174" s="61" t="n">
        <v>20</v>
      </c>
      <c r="B4174" s="62" t="inlineStr">
        <is>
          <t>MAX_HINT_LEVEL = 3</t>
        </is>
      </c>
    </row>
    <row r="4175">
      <c r="A4175" s="61" t="n">
        <v>21</v>
      </c>
      <c r="B4175" s="62" t="n"/>
    </row>
    <row r="4176">
      <c r="A4176" s="61" t="n">
        <v>22</v>
      </c>
      <c r="B4176" s="62" t="n"/>
    </row>
    <row r="4177">
      <c r="A4177" s="61" t="n">
        <v>23</v>
      </c>
      <c r="B4177" s="62" t="inlineStr">
        <is>
          <t>class StartIn(BaseModel):</t>
        </is>
      </c>
    </row>
    <row r="4178">
      <c r="A4178" s="61" t="n">
        <v>24</v>
      </c>
      <c r="B4178" s="62" t="inlineStr">
        <is>
          <t xml:space="preserve">    concept: Literal["knight_fork"] | None = None</t>
        </is>
      </c>
    </row>
    <row r="4179">
      <c r="A4179" s="61" t="n">
        <v>25</v>
      </c>
      <c r="B4179" s="62" t="inlineStr">
        <is>
          <t xml:space="preserve">    evidence_id: uuid.UUID | None = None  # "Practice this idea" from a review finding</t>
        </is>
      </c>
    </row>
    <row r="4180">
      <c r="A4180" s="61" t="n">
        <v>26</v>
      </c>
      <c r="B4180" s="62" t="inlineStr">
        <is>
          <t xml:space="preserve">    mode: Literal["practice", "assessment"] = "practice"</t>
        </is>
      </c>
    </row>
    <row r="4181">
      <c r="A4181" s="61" t="n">
        <v>27</v>
      </c>
      <c r="B4181" s="62" t="n"/>
    </row>
    <row r="4182">
      <c r="A4182" s="61" t="n">
        <v>28</v>
      </c>
      <c r="B4182" s="62" t="n"/>
    </row>
    <row r="4183">
      <c r="A4183" s="61" t="n">
        <v>29</v>
      </c>
      <c r="B4183" s="62" t="inlineStr">
        <is>
          <t>class SessionOut(BaseModel):</t>
        </is>
      </c>
    </row>
    <row r="4184">
      <c r="A4184" s="61" t="n">
        <v>30</v>
      </c>
      <c r="B4184" s="62" t="inlineStr">
        <is>
          <t xml:space="preserve">    session_id: uuid.UUID</t>
        </is>
      </c>
    </row>
    <row r="4185">
      <c r="A4185" s="61" t="n">
        <v>31</v>
      </c>
      <c r="B4185" s="62" t="inlineStr">
        <is>
          <t xml:space="preserve">    fen: str</t>
        </is>
      </c>
    </row>
    <row r="4186">
      <c r="A4186" s="61" t="n">
        <v>32</v>
      </c>
      <c r="B4186" s="62" t="inlineStr">
        <is>
          <t xml:space="preserve">    solver_color: str</t>
        </is>
      </c>
    </row>
    <row r="4187">
      <c r="A4187" s="61" t="n">
        <v>33</v>
      </c>
      <c r="B4187" s="62" t="inlineStr">
        <is>
          <t xml:space="preserve">    concept: str | None  # hidden in assessment mode: labelled practice and blind tests measure different things</t>
        </is>
      </c>
    </row>
    <row r="4188">
      <c r="A4188" s="61" t="n">
        <v>34</v>
      </c>
      <c r="B4188" s="62" t="inlineStr">
        <is>
          <t xml:space="preserve">    mode: str</t>
        </is>
      </c>
    </row>
    <row r="4189">
      <c r="A4189" s="61" t="n">
        <v>35</v>
      </c>
      <c r="B4189" s="62" t="inlineStr">
        <is>
          <t xml:space="preserve">    state: str</t>
        </is>
      </c>
    </row>
    <row r="4190">
      <c r="A4190" s="61" t="n">
        <v>36</v>
      </c>
      <c r="B4190" s="62" t="inlineStr">
        <is>
          <t xml:space="preserve">    puzzle_rating: int</t>
        </is>
      </c>
    </row>
    <row r="4191">
      <c r="A4191" s="61" t="n">
        <v>37</v>
      </c>
      <c r="B4191" s="62" t="inlineStr">
        <is>
          <t xml:space="preserve">    predicted_p: float</t>
        </is>
      </c>
    </row>
    <row r="4192">
      <c r="A4192" s="61" t="n">
        <v>38</v>
      </c>
      <c r="B4192" s="62" t="inlineStr">
        <is>
          <t xml:space="preserve">    last_move_uci: str  # the opponent's setup move, so the UI can highlight it</t>
        </is>
      </c>
    </row>
    <row r="4193">
      <c r="A4193" s="61" t="n">
        <v>39</v>
      </c>
      <c r="B4193" s="62" t="n"/>
    </row>
    <row r="4194">
      <c r="A4194" s="61" t="n">
        <v>40</v>
      </c>
      <c r="B4194" s="62" t="n"/>
    </row>
    <row r="4195">
      <c r="A4195" s="61" t="n">
        <v>41</v>
      </c>
      <c r="B4195" s="62" t="inlineStr">
        <is>
          <t>class MoveIn(BaseModel):</t>
        </is>
      </c>
    </row>
    <row r="4196">
      <c r="A4196" s="61" t="n">
        <v>42</v>
      </c>
      <c r="B4196" s="62" t="inlineStr">
        <is>
          <t xml:space="preserve">    uci: str = Field(pattern=r"^[a-h][1-8][a-h][1-8][qrbn]?$")</t>
        </is>
      </c>
    </row>
    <row r="4197">
      <c r="A4197" s="61" t="n">
        <v>43</v>
      </c>
      <c r="B4197" s="62" t="n"/>
    </row>
    <row r="4198">
      <c r="A4198" s="61" t="n">
        <v>44</v>
      </c>
      <c r="B4198" s="62" t="n"/>
    </row>
    <row r="4199">
      <c r="A4199" s="61" t="n">
        <v>45</v>
      </c>
      <c r="B4199" s="62" t="inlineStr">
        <is>
          <t>class MoveOut(BaseModel):</t>
        </is>
      </c>
    </row>
    <row r="4200">
      <c r="A4200" s="61" t="n">
        <v>46</v>
      </c>
      <c r="B4200" s="62" t="inlineStr">
        <is>
          <t xml:space="preserve">    outcome: str  # correct | incorrect | solved</t>
        </is>
      </c>
    </row>
    <row r="4201">
      <c r="A4201" s="61" t="n">
        <v>47</v>
      </c>
      <c r="B4201" s="62" t="inlineStr">
        <is>
          <t xml:space="preserve">    fen: str</t>
        </is>
      </c>
    </row>
    <row r="4202">
      <c r="A4202" s="61" t="n">
        <v>48</v>
      </c>
      <c r="B4202" s="62" t="inlineStr">
        <is>
          <t xml:space="preserve">    opponent_reply_uci: str | None</t>
        </is>
      </c>
    </row>
    <row r="4203">
      <c r="A4203" s="61" t="n">
        <v>49</v>
      </c>
      <c r="B4203" s="62" t="inlineStr">
        <is>
          <t xml:space="preserve">    state: str</t>
        </is>
      </c>
    </row>
    <row r="4204">
      <c r="A4204" s="61" t="n">
        <v>50</v>
      </c>
      <c r="B4204" s="62" t="inlineStr">
        <is>
          <t xml:space="preserve">    first_try_success: bool | None</t>
        </is>
      </c>
    </row>
    <row r="4205">
      <c r="A4205" s="61" t="n">
        <v>51</v>
      </c>
      <c r="B4205" s="62" t="inlineStr">
        <is>
          <t xml:space="preserve">    rating_after: float | None</t>
        </is>
      </c>
    </row>
    <row r="4206">
      <c r="A4206" s="61" t="n">
        <v>52</v>
      </c>
      <c r="B4206" s="62" t="n"/>
    </row>
    <row r="4207">
      <c r="A4207" s="61" t="n">
        <v>53</v>
      </c>
      <c r="B4207" s="62" t="n"/>
    </row>
    <row r="4208">
      <c r="A4208" s="61" t="n">
        <v>54</v>
      </c>
      <c r="B4208" s="62" t="inlineStr">
        <is>
          <t>class HintOut(BaseModel):</t>
        </is>
      </c>
    </row>
    <row r="4209">
      <c r="A4209" s="61" t="n">
        <v>55</v>
      </c>
      <c r="B4209" s="62" t="inlineStr">
        <is>
          <t xml:space="preserve">    level: int</t>
        </is>
      </c>
    </row>
    <row r="4210">
      <c r="A4210" s="61" t="n">
        <v>56</v>
      </c>
      <c r="B4210" s="62" t="inlineStr">
        <is>
          <t xml:space="preserve">    text: str</t>
        </is>
      </c>
    </row>
    <row r="4211">
      <c r="A4211" s="61" t="n">
        <v>57</v>
      </c>
      <c r="B4211" s="62" t="n"/>
    </row>
    <row r="4212">
      <c r="A4212" s="61" t="n">
        <v>58</v>
      </c>
      <c r="B4212" s="62" t="n"/>
    </row>
    <row r="4213">
      <c r="A4213" s="61" t="n">
        <v>59</v>
      </c>
      <c r="B4213" s="62" t="inlineStr">
        <is>
          <t>def _owned(db: Session, session_id: uuid.UUID, visitor: Visitor) -&gt; PracticeSession:</t>
        </is>
      </c>
    </row>
    <row r="4214">
      <c r="A4214" s="61" t="n">
        <v>60</v>
      </c>
      <c r="B4214" s="62" t="inlineStr">
        <is>
          <t xml:space="preserve">    s = db.get(PracticeSession, session_id)</t>
        </is>
      </c>
    </row>
    <row r="4215">
      <c r="A4215" s="61" t="n">
        <v>61</v>
      </c>
      <c r="B4215" s="62" t="inlineStr">
        <is>
          <t xml:space="preserve">    if s is None or s.owner_id != visitor.id:</t>
        </is>
      </c>
    </row>
    <row r="4216">
      <c r="A4216" s="61" t="n">
        <v>62</v>
      </c>
      <c r="B4216" s="62" t="inlineStr">
        <is>
          <t xml:space="preserve">        raise ApiError(404, "SESSION_NOT_FOUND", "Practice session not found.")</t>
        </is>
      </c>
    </row>
    <row r="4217">
      <c r="A4217" s="61" t="n">
        <v>63</v>
      </c>
      <c r="B4217" s="62" t="inlineStr">
        <is>
          <t xml:space="preserve">    return s</t>
        </is>
      </c>
    </row>
    <row r="4218">
      <c r="A4218" s="61" t="n">
        <v>64</v>
      </c>
      <c r="B4218" s="62" t="n"/>
    </row>
    <row r="4219">
      <c r="A4219" s="61" t="n">
        <v>65</v>
      </c>
      <c r="B4219" s="62" t="n"/>
    </row>
    <row r="4220">
      <c r="A4220" s="61" t="n">
        <v>66</v>
      </c>
      <c r="B4220" s="62" t="inlineStr">
        <is>
          <t>def _session_out(s: PracticeSession, p: Puzzle) -&gt; SessionOut:</t>
        </is>
      </c>
    </row>
    <row r="4221">
      <c r="A4221" s="61" t="n">
        <v>67</v>
      </c>
      <c r="B4221" s="62" t="inlineStr">
        <is>
          <t xml:space="preserve">    board = board_at(p.playable_fen, p.solution_uci, s.progress_index)</t>
        </is>
      </c>
    </row>
    <row r="4222">
      <c r="A4222" s="61" t="n">
        <v>68</v>
      </c>
      <c r="B4222" s="62" t="inlineStr">
        <is>
          <t xml:space="preserve">    solver = chess.Board(p.playable_fen).turn</t>
        </is>
      </c>
    </row>
    <row r="4223">
      <c r="A4223" s="61" t="n">
        <v>69</v>
      </c>
      <c r="B4223" s="62" t="inlineStr">
        <is>
          <t xml:space="preserve">    return SessionOut(session_id=s.id, fen=board.fen(), solver_color="white" if solver else "black",</t>
        </is>
      </c>
    </row>
    <row r="4224">
      <c r="A4224" s="61" t="n">
        <v>70</v>
      </c>
      <c r="B4224" s="62" t="inlineStr">
        <is>
          <t xml:space="preserve">                      concept=None if s.mode == "assessment" else s.concept, mode=s.mode, state=s.state,</t>
        </is>
      </c>
    </row>
    <row r="4225">
      <c r="A4225" s="61" t="n">
        <v>71</v>
      </c>
      <c r="B4225" s="62" t="inlineStr">
        <is>
          <t xml:space="preserve">                      puzzle_rating=p.rating, predicted_p=round(s.predicted_p, 3), last_move_uci=p.setup_uci)</t>
        </is>
      </c>
    </row>
    <row r="4226">
      <c r="A4226" s="61" t="n">
        <v>72</v>
      </c>
      <c r="B4226" s="62" t="n"/>
    </row>
    <row r="4227">
      <c r="A4227" s="61" t="n">
        <v>73</v>
      </c>
      <c r="B4227" s="62" t="n"/>
    </row>
    <row r="4228">
      <c r="A4228" s="61" t="n">
        <v>74</v>
      </c>
      <c r="B4228" s="62" t="inlineStr">
        <is>
          <t>@router.post("/sessions", response_model=SessionOut, status_code=201)</t>
        </is>
      </c>
    </row>
    <row r="4229">
      <c r="A4229" s="61" t="n">
        <v>75</v>
      </c>
      <c r="B4229" s="62" t="inlineStr">
        <is>
          <t>def start(body: StartIn, visitor: Visitor = Depends(current_visitor), db: Session = Depends(get_db)) -&gt; SessionOut:</t>
        </is>
      </c>
    </row>
    <row r="4230">
      <c r="A4230" s="61" t="n">
        <v>76</v>
      </c>
      <c r="B4230" s="62" t="inlineStr">
        <is>
          <t xml:space="preserve">    concept = body.concept or CONCEPTS[0]</t>
        </is>
      </c>
    </row>
    <row r="4231">
      <c r="A4231" s="61" t="n">
        <v>77</v>
      </c>
      <c r="B4231" s="62" t="inlineStr">
        <is>
          <t xml:space="preserve">    if body.evidence_id is not None:</t>
        </is>
      </c>
    </row>
    <row r="4232">
      <c r="A4232" s="61" t="n">
        <v>78</v>
      </c>
      <c r="B4232" s="62" t="inlineStr">
        <is>
          <t xml:space="preserve">        evidence = db.get(TacticalEvidence, body.evidence_id)</t>
        </is>
      </c>
    </row>
    <row r="4233">
      <c r="A4233" s="61" t="n">
        <v>79</v>
      </c>
      <c r="B4233" s="62" t="inlineStr">
        <is>
          <t xml:space="preserve">        if evidence is None:</t>
        </is>
      </c>
    </row>
    <row r="4234">
      <c r="A4234" s="61" t="n">
        <v>80</v>
      </c>
      <c r="B4234" s="62" t="inlineStr">
        <is>
          <t xml:space="preserve">            raise ApiError(404, "EVIDENCE_NOT_FOUND", "Finding not found.")</t>
        </is>
      </c>
    </row>
    <row r="4235">
      <c r="A4235" s="61" t="n">
        <v>81</v>
      </c>
      <c r="B4235" s="62" t="inlineStr">
        <is>
          <t xml:space="preserve">        concept = evidence.concept</t>
        </is>
      </c>
    </row>
    <row r="4236">
      <c r="A4236" s="61" t="n">
        <v>82</v>
      </c>
      <c r="B4236" s="62" t="inlineStr">
        <is>
          <t xml:space="preserve">    sel = choose(db, visitor.id, concept, body.mode)</t>
        </is>
      </c>
    </row>
    <row r="4237">
      <c r="A4237" s="61" t="n">
        <v>83</v>
      </c>
      <c r="B4237" s="62" t="inlineStr">
        <is>
          <t xml:space="preserve">    s = PracticeSession(owner_id=visitor.id, puzzle_id=sel.puzzle.id, concept=concept, mode=body.mode,</t>
        </is>
      </c>
    </row>
    <row r="4238">
      <c r="A4238" s="61" t="n">
        <v>84</v>
      </c>
      <c r="B4238" s="62" t="inlineStr">
        <is>
          <t xml:space="preserve">                        source_evidence_id=body.evidence_id, rating_before=sel.rating_before,</t>
        </is>
      </c>
    </row>
    <row r="4239">
      <c r="A4239" s="61" t="n">
        <v>85</v>
      </c>
      <c r="B4239" s="62" t="inlineStr">
        <is>
          <t xml:space="preserve">                        predicted_p=sel.predicted_p, selection_reason=sel.reason, model_version=elo.MODEL_VERSION,</t>
        </is>
      </c>
    </row>
    <row r="4240">
      <c r="A4240" s="61" t="n">
        <v>86</v>
      </c>
      <c r="B4240" s="62" t="inlineStr">
        <is>
          <t xml:space="preserve">                        exposure_count=sel.exposure_count)</t>
        </is>
      </c>
    </row>
    <row r="4241">
      <c r="A4241" s="61" t="n">
        <v>87</v>
      </c>
      <c r="B4241" s="62" t="inlineStr">
        <is>
          <t xml:space="preserve">    db.add(s)</t>
        </is>
      </c>
    </row>
    <row r="4242">
      <c r="A4242" s="61" t="n">
        <v>88</v>
      </c>
      <c r="B4242" s="62" t="inlineStr">
        <is>
          <t xml:space="preserve">    db.commit()</t>
        </is>
      </c>
    </row>
    <row r="4243">
      <c r="A4243" s="61" t="n">
        <v>89</v>
      </c>
      <c r="B4243" s="62" t="inlineStr">
        <is>
          <t xml:space="preserve">    return _session_out(s, sel.puzzle)</t>
        </is>
      </c>
    </row>
    <row r="4244">
      <c r="A4244" s="61" t="n">
        <v>90</v>
      </c>
      <c r="B4244" s="62" t="n"/>
    </row>
    <row r="4245">
      <c r="A4245" s="61" t="n">
        <v>91</v>
      </c>
      <c r="B4245" s="62" t="n"/>
    </row>
    <row r="4246">
      <c r="A4246" s="61" t="n">
        <v>92</v>
      </c>
      <c r="B4246" s="62" t="inlineStr">
        <is>
          <t>@router.get("/sessions/{session_id}", response_model=SessionOut)</t>
        </is>
      </c>
    </row>
    <row r="4247">
      <c r="A4247" s="61" t="n">
        <v>93</v>
      </c>
      <c r="B4247" s="62" t="inlineStr">
        <is>
          <t>def read(session_id: uuid.UUID, visitor: Visitor = Depends(current_visitor), db: Session = Depends(get_db)) -&gt; SessionOut:</t>
        </is>
      </c>
    </row>
    <row r="4248">
      <c r="A4248" s="61" t="n">
        <v>94</v>
      </c>
      <c r="B4248" s="62" t="inlineStr">
        <is>
          <t xml:space="preserve">    s = _owned(db, session_id, visitor)</t>
        </is>
      </c>
    </row>
    <row r="4249">
      <c r="A4249" s="61" t="n">
        <v>95</v>
      </c>
      <c r="B4249" s="62" t="inlineStr">
        <is>
          <t xml:space="preserve">    return _session_out(s, db.get(Puzzle, s.puzzle_id))</t>
        </is>
      </c>
    </row>
    <row r="4250">
      <c r="A4250" s="61" t="n">
        <v>96</v>
      </c>
      <c r="B4250" s="62" t="n"/>
    </row>
    <row r="4251">
      <c r="A4251" s="61" t="n">
        <v>97</v>
      </c>
      <c r="B4251" s="62" t="n"/>
    </row>
    <row r="4252">
      <c r="A4252" s="61" t="n">
        <v>98</v>
      </c>
      <c r="B4252" s="62" t="inlineStr">
        <is>
          <t>def _finish(db: Session, s: PracticeSession, puzzle: Puzzle, solved: bool) -&gt; float | None:</t>
        </is>
      </c>
    </row>
    <row r="4253">
      <c r="A4253" s="61" t="n">
        <v>99</v>
      </c>
      <c r="B4253" s="62" t="inlineStr">
        <is>
          <t xml:space="preserve">    """Applies the rating update exactly once, even if two requests race (guarded UPDATE)."""</t>
        </is>
      </c>
    </row>
    <row r="4254">
      <c r="A4254" s="61" t="n">
        <v>100</v>
      </c>
      <c r="B4254" s="62" t="inlineStr">
        <is>
          <t xml:space="preserve">    s.state = "solved" if solved else "failed"</t>
        </is>
      </c>
    </row>
    <row r="4255">
      <c r="A4255" s="61" t="n">
        <v>101</v>
      </c>
      <c r="B4255" s="62" t="inlineStr">
        <is>
          <t xml:space="preserve">    s.finished_at = datetime.now(timezone.utc)</t>
        </is>
      </c>
    </row>
    <row r="4256">
      <c r="A4256" s="61" t="n">
        <v>102</v>
      </c>
      <c r="B4256" s="62" t="inlineStr">
        <is>
          <t xml:space="preserve">    s.first_try_success = solved and s.mistakes == 0 and s.hints_used == 0</t>
        </is>
      </c>
    </row>
    <row r="4257">
      <c r="A4257" s="61" t="n">
        <v>103</v>
      </c>
      <c r="B4257" s="62" t="inlineStr">
        <is>
          <t xml:space="preserve">    claimed = db.execute(update(PracticeSession).where(PracticeSession.id == s.id, PracticeSession.rating_applied.is_(False))</t>
        </is>
      </c>
    </row>
    <row r="4258">
      <c r="A4258" s="61" t="n">
        <v>104</v>
      </c>
      <c r="B4258" s="62" t="inlineStr">
        <is>
          <t xml:space="preserve">                         .values(rating_applied=True)).rowcount</t>
        </is>
      </c>
    </row>
    <row r="4259">
      <c r="A4259" s="61" t="n">
        <v>105</v>
      </c>
      <c r="B4259" s="62" t="inlineStr">
        <is>
          <t xml:space="preserve">    if claimed != 1:</t>
        </is>
      </c>
    </row>
    <row r="4260">
      <c r="A4260" s="61" t="n">
        <v>106</v>
      </c>
      <c r="B4260" s="62" t="inlineStr">
        <is>
          <t xml:space="preserve">        return None</t>
        </is>
      </c>
    </row>
    <row r="4261">
      <c r="A4261" s="61" t="n">
        <v>107</v>
      </c>
      <c r="B4261" s="62" t="inlineStr">
        <is>
          <t xml:space="preserve">    rating = concept_rating(db, s.owner_id, s.concept, lock=True)</t>
        </is>
      </c>
    </row>
    <row r="4262">
      <c r="A4262" s="61" t="n">
        <v>108</v>
      </c>
      <c r="B4262" s="62" t="inlineStr">
        <is>
          <t xml:space="preserve">    rating.rating = elo.updated_rating(rating.rating, rating.attempts, puzzle.rating, bool(s.first_try_success))</t>
        </is>
      </c>
    </row>
    <row r="4263">
      <c r="A4263" s="61" t="n">
        <v>109</v>
      </c>
      <c r="B4263" s="62" t="inlineStr">
        <is>
          <t xml:space="preserve">    rating.attempts += 1</t>
        </is>
      </c>
    </row>
    <row r="4264">
      <c r="A4264" s="61" t="n">
        <v>110</v>
      </c>
      <c r="B4264" s="62" t="inlineStr">
        <is>
          <t xml:space="preserve">    return rating.rating</t>
        </is>
      </c>
    </row>
    <row r="4265">
      <c r="A4265" s="61" t="n">
        <v>111</v>
      </c>
      <c r="B4265" s="62" t="n"/>
    </row>
    <row r="4266">
      <c r="A4266" s="61" t="n">
        <v>112</v>
      </c>
      <c r="B4266" s="62" t="n"/>
    </row>
    <row r="4267">
      <c r="A4267" s="61" t="n">
        <v>113</v>
      </c>
      <c r="B4267" s="62" t="inlineStr">
        <is>
          <t>@router.post("/sessions/{session_id}/moves", response_model=MoveOut)</t>
        </is>
      </c>
    </row>
    <row r="4268">
      <c r="A4268" s="61" t="n">
        <v>114</v>
      </c>
      <c r="B4268" s="62" t="inlineStr">
        <is>
          <t>def submit_move(session_id: uuid.UUID, body: MoveIn, visitor: Visitor = Depends(current_visitor),</t>
        </is>
      </c>
    </row>
    <row r="4269">
      <c r="A4269" s="61" t="n">
        <v>115</v>
      </c>
      <c r="B4269" s="62" t="inlineStr">
        <is>
          <t xml:space="preserve">                db: Session = Depends(get_db)) -&gt; MoveOut:</t>
        </is>
      </c>
    </row>
    <row r="4270">
      <c r="A4270" s="61" t="n">
        <v>116</v>
      </c>
      <c r="B4270" s="62" t="inlineStr">
        <is>
          <t xml:space="preserve">    s = _owned(db, session_id, visitor)</t>
        </is>
      </c>
    </row>
    <row r="4271">
      <c r="A4271" s="61" t="n">
        <v>117</v>
      </c>
      <c r="B4271" s="62" t="inlineStr">
        <is>
          <t xml:space="preserve">    if s.state != "active":</t>
        </is>
      </c>
    </row>
    <row r="4272">
      <c r="A4272" s="61" t="n">
        <v>118</v>
      </c>
      <c r="B4272" s="62" t="inlineStr">
        <is>
          <t xml:space="preserve">        raise ApiError(409, "SESSION_FINISHED", "This exercise is already finished.")</t>
        </is>
      </c>
    </row>
    <row r="4273">
      <c r="A4273" s="61" t="n">
        <v>119</v>
      </c>
      <c r="B4273" s="62" t="inlineStr">
        <is>
          <t xml:space="preserve">    puzzle = db.get(Puzzle, s.puzzle_id)</t>
        </is>
      </c>
    </row>
    <row r="4274">
      <c r="A4274" s="61" t="n">
        <v>120</v>
      </c>
      <c r="B4274" s="62" t="inlineStr">
        <is>
          <t xml:space="preserve">    try:</t>
        </is>
      </c>
    </row>
    <row r="4275">
      <c r="A4275" s="61" t="n">
        <v>121</v>
      </c>
      <c r="B4275" s="62" t="inlineStr">
        <is>
          <t xml:space="preserve">        result = grade_move(puzzle.playable_fen, puzzle.solution_uci, s.progress_index, body.uci)</t>
        </is>
      </c>
    </row>
    <row r="4276">
      <c r="A4276" s="61" t="n">
        <v>122</v>
      </c>
      <c r="B4276" s="62" t="inlineStr">
        <is>
          <t xml:space="preserve">    except IllegalMove as exc:</t>
        </is>
      </c>
    </row>
    <row r="4277">
      <c r="A4277" s="61" t="n">
        <v>123</v>
      </c>
      <c r="B4277" s="62" t="inlineStr">
        <is>
          <t xml:space="preserve">        raise ApiError(422, "ILLEGAL_MOVE", "That move is not legal in this position.") from exc</t>
        </is>
      </c>
    </row>
    <row r="4278">
      <c r="A4278" s="61" t="n">
        <v>124</v>
      </c>
      <c r="B4278" s="62" t="inlineStr">
        <is>
          <t xml:space="preserve">    db.add(PracticeEvent(session_id=s.id, kind="move", uci=body.uci, correct=result.outcome != "incorrect"))</t>
        </is>
      </c>
    </row>
    <row r="4279">
      <c r="A4279" s="61" t="n">
        <v>125</v>
      </c>
      <c r="B4279" s="62" t="inlineStr">
        <is>
          <t xml:space="preserve">    rating_after = None</t>
        </is>
      </c>
    </row>
    <row r="4280">
      <c r="A4280" s="61" t="n">
        <v>126</v>
      </c>
      <c r="B4280" s="62" t="inlineStr">
        <is>
          <t xml:space="preserve">    if result.outcome == "incorrect":</t>
        </is>
      </c>
    </row>
    <row r="4281">
      <c r="A4281" s="61" t="n">
        <v>127</v>
      </c>
      <c r="B4281" s="62" t="inlineStr">
        <is>
          <t xml:space="preserve">        s.mistakes += 1</t>
        </is>
      </c>
    </row>
    <row r="4282">
      <c r="A4282" s="61" t="n">
        <v>128</v>
      </c>
      <c r="B4282" s="62" t="inlineStr">
        <is>
          <t xml:space="preserve">    else:</t>
        </is>
      </c>
    </row>
    <row r="4283">
      <c r="A4283" s="61" t="n">
        <v>129</v>
      </c>
      <c r="B4283" s="62" t="inlineStr">
        <is>
          <t xml:space="preserve">        s.progress_index = result.next_index</t>
        </is>
      </c>
    </row>
    <row r="4284">
      <c r="A4284" s="61" t="n">
        <v>130</v>
      </c>
      <c r="B4284" s="62" t="inlineStr">
        <is>
          <t xml:space="preserve">        if result.outcome == "solved":</t>
        </is>
      </c>
    </row>
    <row r="4285">
      <c r="A4285" s="61" t="n">
        <v>131</v>
      </c>
      <c r="B4285" s="62" t="inlineStr">
        <is>
          <t xml:space="preserve">            rating_after = _finish(db, s, puzzle, solved=True)</t>
        </is>
      </c>
    </row>
    <row r="4286">
      <c r="A4286" s="61" t="n">
        <v>132</v>
      </c>
      <c r="B4286" s="62" t="inlineStr">
        <is>
          <t xml:space="preserve">    db.commit()</t>
        </is>
      </c>
    </row>
    <row r="4287">
      <c r="A4287" s="61" t="n">
        <v>133</v>
      </c>
      <c r="B4287" s="62" t="inlineStr">
        <is>
          <t xml:space="preserve">    return MoveOut(outcome=result.outcome, fen=result.fen, opponent_reply_uci=result.opponent_reply, state=s.state,</t>
        </is>
      </c>
    </row>
    <row r="4288">
      <c r="A4288" s="61" t="n">
        <v>134</v>
      </c>
      <c r="B4288" s="62" t="inlineStr">
        <is>
          <t xml:space="preserve">                   first_try_success=s.first_try_success, rating_after=rating_after)</t>
        </is>
      </c>
    </row>
    <row r="4289">
      <c r="A4289" s="61" t="n">
        <v>135</v>
      </c>
      <c r="B4289" s="62" t="n"/>
    </row>
    <row r="4290">
      <c r="A4290" s="61" t="n">
        <v>136</v>
      </c>
      <c r="B4290" s="62" t="n"/>
    </row>
    <row r="4291">
      <c r="A4291" s="61" t="n">
        <v>137</v>
      </c>
      <c r="B4291" s="62" t="inlineStr">
        <is>
          <t>@router.post("/sessions/{session_id}/hint", response_model=HintOut)</t>
        </is>
      </c>
    </row>
    <row r="4292">
      <c r="A4292" s="61" t="n">
        <v>138</v>
      </c>
      <c r="B4292" s="62" t="inlineStr">
        <is>
          <t>def hint(session_id: uuid.UUID, visitor: Visitor = Depends(current_visitor), db: Session = Depends(get_db)) -&gt; HintOut:</t>
        </is>
      </c>
    </row>
    <row r="4293">
      <c r="A4293" s="61" t="n">
        <v>139</v>
      </c>
      <c r="B4293" s="62" t="inlineStr">
        <is>
          <t xml:space="preserve">    s = _owned(db, session_id, visitor)</t>
        </is>
      </c>
    </row>
    <row r="4294">
      <c r="A4294" s="61" t="n">
        <v>140</v>
      </c>
      <c r="B4294" s="62" t="inlineStr">
        <is>
          <t xml:space="preserve">    if s.state != "active":</t>
        </is>
      </c>
    </row>
    <row r="4295">
      <c r="A4295" s="61" t="n">
        <v>141</v>
      </c>
      <c r="B4295" s="62" t="inlineStr">
        <is>
          <t xml:space="preserve">        raise ApiError(409, "SESSION_FINISHED", "This exercise is already finished.")</t>
        </is>
      </c>
    </row>
    <row r="4296">
      <c r="A4296" s="61" t="n">
        <v>142</v>
      </c>
      <c r="B4296" s="62" t="inlineStr">
        <is>
          <t xml:space="preserve">    puzzle = db.get(Puzzle, s.puzzle_id)</t>
        </is>
      </c>
    </row>
    <row r="4297">
      <c r="A4297" s="61" t="n">
        <v>143</v>
      </c>
      <c r="B4297" s="62" t="inlineStr">
        <is>
          <t xml:space="preserve">    level = min(s.hints_used + 1, MAX_HINT_LEVEL)</t>
        </is>
      </c>
    </row>
    <row r="4298">
      <c r="A4298" s="61" t="n">
        <v>144</v>
      </c>
      <c r="B4298" s="62" t="inlineStr">
        <is>
          <t xml:space="preserve">    s.hints_used = level</t>
        </is>
      </c>
    </row>
    <row r="4299">
      <c r="A4299" s="61" t="n">
        <v>145</v>
      </c>
      <c r="B4299" s="62" t="inlineStr">
        <is>
          <t xml:space="preserve">    db.add(PracticeEvent(session_id=s.id, kind="hint", hint_level=level))</t>
        </is>
      </c>
    </row>
    <row r="4300">
      <c r="A4300" s="61" t="n">
        <v>146</v>
      </c>
      <c r="B4300" s="62" t="inlineStr">
        <is>
          <t xml:space="preserve">    db.commit()</t>
        </is>
      </c>
    </row>
    <row r="4301">
      <c r="A4301" s="61" t="n">
        <v>147</v>
      </c>
      <c r="B4301" s="62" t="inlineStr">
        <is>
          <t xml:space="preserve">    return HintOut(level=level, text=hint_for(puzzle.playable_fen, puzzle.solution_uci, s.progress_index, level, s.concept))</t>
        </is>
      </c>
    </row>
    <row r="4302">
      <c r="A4302" s="61" t="n">
        <v>148</v>
      </c>
      <c r="B4302" s="62" t="n"/>
    </row>
    <row r="4303">
      <c r="A4303" s="61" t="n">
        <v>149</v>
      </c>
      <c r="B4303" s="62" t="n"/>
    </row>
    <row r="4304">
      <c r="A4304" s="61" t="n">
        <v>150</v>
      </c>
      <c r="B4304" s="62" t="inlineStr">
        <is>
          <t>@router.post("/sessions/{session_id}/give-up", response_model=MoveOut)</t>
        </is>
      </c>
    </row>
    <row r="4305">
      <c r="A4305" s="61" t="n">
        <v>151</v>
      </c>
      <c r="B4305" s="62" t="inlineStr">
        <is>
          <t>def give_up(session_id: uuid.UUID, visitor: Visitor = Depends(current_visitor), db: Session = Depends(get_db)) -&gt; MoveOut:</t>
        </is>
      </c>
    </row>
    <row r="4306">
      <c r="A4306" s="61" t="n">
        <v>152</v>
      </c>
      <c r="B4306" s="62" t="inlineStr">
        <is>
          <t xml:space="preserve">    s = _owned(db, session_id, visitor)</t>
        </is>
      </c>
    </row>
    <row r="4307">
      <c r="A4307" s="61" t="n">
        <v>153</v>
      </c>
      <c r="B4307" s="62" t="inlineStr">
        <is>
          <t xml:space="preserve">    if s.state != "active":</t>
        </is>
      </c>
    </row>
    <row r="4308">
      <c r="A4308" s="61" t="n">
        <v>154</v>
      </c>
      <c r="B4308" s="62" t="inlineStr">
        <is>
          <t xml:space="preserve">        raise ApiError(409, "SESSION_FINISHED", "This exercise is already finished.")</t>
        </is>
      </c>
    </row>
    <row r="4309">
      <c r="A4309" s="61" t="n">
        <v>155</v>
      </c>
      <c r="B4309" s="62" t="inlineStr">
        <is>
          <t xml:space="preserve">    puzzle = db.get(Puzzle, s.puzzle_id)</t>
        </is>
      </c>
    </row>
    <row r="4310">
      <c r="A4310" s="61" t="n">
        <v>156</v>
      </c>
      <c r="B4310" s="62" t="inlineStr">
        <is>
          <t xml:space="preserve">    rating_after = _finish(db, s, puzzle, solved=False)</t>
        </is>
      </c>
    </row>
    <row r="4311">
      <c r="A4311" s="61" t="n">
        <v>157</v>
      </c>
      <c r="B4311" s="62" t="inlineStr">
        <is>
          <t xml:space="preserve">    final = board_at(puzzle.playable_fen, puzzle.solution_uci, len(puzzle.solution_uci))</t>
        </is>
      </c>
    </row>
    <row r="4312">
      <c r="A4312" s="61" t="n">
        <v>158</v>
      </c>
      <c r="B4312" s="62" t="inlineStr">
        <is>
          <t xml:space="preserve">    db.commit()</t>
        </is>
      </c>
    </row>
    <row r="4313">
      <c r="A4313" s="61" t="n">
        <v>159</v>
      </c>
      <c r="B4313" s="62" t="inlineStr">
        <is>
          <t xml:space="preserve">    return MoveOut(outcome="incorrect", fen=final.fen(), opponent_reply_uci=None, state=s.state,</t>
        </is>
      </c>
    </row>
    <row r="4314">
      <c r="A4314" s="61" t="n">
        <v>160</v>
      </c>
      <c r="B4314" s="62" t="inlineStr">
        <is>
          <t xml:space="preserve">                   first_try_success=False, rating_after=rating_after)</t>
        </is>
      </c>
    </row>
    <row r="4317">
      <c r="A4317" s="60" t="inlineStr">
        <is>
          <t>C66</t>
        </is>
      </c>
      <c r="B4317" s="60" t="inlineStr">
        <is>
          <t>apps/web/src/pages/PracticePage.tsx   ·   Phase P10   ·   Exercise board with hints, solution and next exercise.</t>
        </is>
      </c>
    </row>
    <row r="4318">
      <c r="B4318" s="55" t="inlineStr">
        <is>
          <t>↑ back to Code Index</t>
        </is>
      </c>
    </row>
    <row r="4319">
      <c r="A4319" s="61" t="n">
        <v>1</v>
      </c>
      <c r="B4319" s="62" t="inlineStr">
        <is>
          <t>import type { Square } from "chess.js";</t>
        </is>
      </c>
    </row>
    <row r="4320">
      <c r="A4320" s="61" t="n">
        <v>2</v>
      </c>
      <c r="B4320" s="62" t="inlineStr">
        <is>
          <t>import { Chess } from "chess.js";</t>
        </is>
      </c>
    </row>
    <row r="4321">
      <c r="A4321" s="61" t="n">
        <v>3</v>
      </c>
      <c r="B4321" s="62" t="inlineStr">
        <is>
          <t>import { useEffect, useState } from "react";</t>
        </is>
      </c>
    </row>
    <row r="4322">
      <c r="A4322" s="61" t="n">
        <v>4</v>
      </c>
      <c r="B4322" s="62" t="inlineStr">
        <is>
          <t>import { Chessboard } from "react-chessboard";</t>
        </is>
      </c>
    </row>
    <row r="4323">
      <c r="A4323" s="61" t="n">
        <v>5</v>
      </c>
      <c r="B4323" s="62" t="inlineStr">
        <is>
          <t>import { useNavigate, useParams } from "react-router-dom";</t>
        </is>
      </c>
    </row>
    <row r="4324">
      <c r="A4324" s="61" t="n">
        <v>6</v>
      </c>
      <c r="B4324" s="62" t="inlineStr">
        <is>
          <t>import { ApiError, api, post } from "../api/client";</t>
        </is>
      </c>
    </row>
    <row r="4325">
      <c r="A4325" s="61" t="n">
        <v>7</v>
      </c>
      <c r="B4325" s="62" t="inlineStr">
        <is>
          <t>import type { MoveResult, PracticeSession } from "../api/types";</t>
        </is>
      </c>
    </row>
    <row r="4326">
      <c r="A4326" s="61" t="n">
        <v>8</v>
      </c>
      <c r="B4326" s="62" t="inlineStr">
        <is>
          <t>import { PromotionDialog } from "../components/PromotionDialog";</t>
        </is>
      </c>
    </row>
    <row r="4327">
      <c r="A4327" s="61" t="n">
        <v>9</v>
      </c>
      <c r="B4327" s="62" t="inlineStr">
        <is>
          <t>import { isPromotion } from "../game/chessHelpers";</t>
        </is>
      </c>
    </row>
    <row r="4328">
      <c r="A4328" s="61" t="n">
        <v>10</v>
      </c>
      <c r="B4328" s="62" t="n"/>
    </row>
    <row r="4329">
      <c r="A4329" s="61" t="n">
        <v>11</v>
      </c>
      <c r="B4329" s="62" t="inlineStr">
        <is>
          <t>export function PracticePage() {</t>
        </is>
      </c>
    </row>
    <row r="4330">
      <c r="A4330" s="61" t="n">
        <v>12</v>
      </c>
      <c r="B4330" s="62" t="inlineStr">
        <is>
          <t xml:space="preserve">  const { sessionId } = useParams();</t>
        </is>
      </c>
    </row>
    <row r="4331">
      <c r="A4331" s="61" t="n">
        <v>13</v>
      </c>
      <c r="B4331" s="62" t="inlineStr">
        <is>
          <t xml:space="preserve">  // A new key gives a fresh component (fresh state) for every exercise.</t>
        </is>
      </c>
    </row>
    <row r="4332">
      <c r="A4332" s="61" t="n">
        <v>14</v>
      </c>
      <c r="B4332" s="62" t="inlineStr">
        <is>
          <t xml:space="preserve">  return &lt;PracticeSessionView key={sessionId ?? "new"} sessionId={sessionId} /&gt;;</t>
        </is>
      </c>
    </row>
    <row r="4333">
      <c r="A4333" s="61" t="n">
        <v>15</v>
      </c>
      <c r="B4333" s="62" t="inlineStr">
        <is>
          <t>}</t>
        </is>
      </c>
    </row>
    <row r="4334">
      <c r="A4334" s="61" t="n">
        <v>16</v>
      </c>
      <c r="B4334" s="62" t="n"/>
    </row>
    <row r="4335">
      <c r="A4335" s="61" t="n">
        <v>17</v>
      </c>
      <c r="B4335" s="62" t="inlineStr">
        <is>
          <t>function PracticeSessionView({ sessionId }: { sessionId?: string }) {</t>
        </is>
      </c>
    </row>
    <row r="4336">
      <c r="A4336" s="61" t="n">
        <v>18</v>
      </c>
      <c r="B4336" s="62" t="inlineStr">
        <is>
          <t xml:space="preserve">  const navigate = useNavigate();</t>
        </is>
      </c>
    </row>
    <row r="4337">
      <c r="A4337" s="61" t="n">
        <v>19</v>
      </c>
      <c r="B4337" s="62" t="inlineStr">
        <is>
          <t xml:space="preserve">  const [session, setSession] = useState&lt;PracticeSession | null&gt;(null);</t>
        </is>
      </c>
    </row>
    <row r="4338">
      <c r="A4338" s="61" t="n">
        <v>20</v>
      </c>
      <c r="B4338" s="62" t="inlineStr">
        <is>
          <t xml:space="preserve">  const [fen, setFen] = useState&lt;string | null&gt;(null);</t>
        </is>
      </c>
    </row>
    <row r="4339">
      <c r="A4339" s="61" t="n">
        <v>21</v>
      </c>
      <c r="B4339" s="62" t="inlineStr">
        <is>
          <t xml:space="preserve">  const [message, setMessage] = useState&lt;string&gt;("Find the best move.");</t>
        </is>
      </c>
    </row>
    <row r="4340">
      <c r="A4340" s="61" t="n">
        <v>22</v>
      </c>
      <c r="B4340" s="62" t="inlineStr">
        <is>
          <t xml:space="preserve">  const [hints, setHints] = useState&lt;string[]&gt;([]);</t>
        </is>
      </c>
    </row>
    <row r="4341">
      <c r="A4341" s="61" t="n">
        <v>23</v>
      </c>
      <c r="B4341" s="62" t="inlineStr">
        <is>
          <t xml:space="preserve">  const [busy, setBusy] = useState(false);</t>
        </is>
      </c>
    </row>
    <row r="4342">
      <c r="A4342" s="61" t="n">
        <v>24</v>
      </c>
      <c r="B4342" s="62" t="inlineStr">
        <is>
          <t xml:space="preserve">  const [finished, setFinished] = useState(false);</t>
        </is>
      </c>
    </row>
    <row r="4343">
      <c r="A4343" s="61" t="n">
        <v>25</v>
      </c>
      <c r="B4343" s="62" t="inlineStr">
        <is>
          <t xml:space="preserve">  const [promo, setPromo] = useState&lt;{ from: Square; to: Square } | null&gt;(null);</t>
        </is>
      </c>
    </row>
    <row r="4344">
      <c r="A4344" s="61" t="n">
        <v>26</v>
      </c>
      <c r="B4344" s="62" t="inlineStr">
        <is>
          <t xml:space="preserve">  const [error, setError] = useState&lt;string | null&gt;(null);</t>
        </is>
      </c>
    </row>
    <row r="4345">
      <c r="A4345" s="61" t="n">
        <v>27</v>
      </c>
      <c r="B4345" s="62" t="n"/>
    </row>
    <row r="4346">
      <c r="A4346" s="61" t="n">
        <v>28</v>
      </c>
      <c r="B4346" s="62" t="inlineStr">
        <is>
          <t xml:space="preserve">  useEffect(() =&gt; {</t>
        </is>
      </c>
    </row>
    <row r="4347">
      <c r="A4347" s="61" t="n">
        <v>29</v>
      </c>
      <c r="B4347" s="62" t="inlineStr">
        <is>
          <t xml:space="preserve">    const load = sessionId</t>
        </is>
      </c>
    </row>
    <row r="4348">
      <c r="A4348" s="61" t="n">
        <v>30</v>
      </c>
      <c r="B4348" s="62" t="inlineStr">
        <is>
          <t xml:space="preserve">      ? api&lt;PracticeSession&gt;(`/v1/practice/sessions/${sessionId}`)</t>
        </is>
      </c>
    </row>
    <row r="4349">
      <c r="A4349" s="61" t="n">
        <v>31</v>
      </c>
      <c r="B4349" s="62" t="inlineStr">
        <is>
          <t xml:space="preserve">      : post&lt;PracticeSession&gt;("/v1/practice/sessions", { concept: "knight_fork" });</t>
        </is>
      </c>
    </row>
    <row r="4350">
      <c r="A4350" s="61" t="n">
        <v>32</v>
      </c>
      <c r="B4350" s="62" t="inlineStr">
        <is>
          <t xml:space="preserve">    load.then((s) =&gt; {</t>
        </is>
      </c>
    </row>
    <row r="4351">
      <c r="A4351" s="61" t="n">
        <v>33</v>
      </c>
      <c r="B4351" s="62" t="inlineStr">
        <is>
          <t xml:space="preserve">      if (!sessionId) navigate(`/practice/${s.session_id}`, { replace: true });</t>
        </is>
      </c>
    </row>
    <row r="4352">
      <c r="A4352" s="61" t="n">
        <v>34</v>
      </c>
      <c r="B4352" s="62" t="inlineStr">
        <is>
          <t xml:space="preserve">      setSession(s);</t>
        </is>
      </c>
    </row>
    <row r="4353">
      <c r="A4353" s="61" t="n">
        <v>35</v>
      </c>
      <c r="B4353" s="62" t="inlineStr">
        <is>
          <t xml:space="preserve">      setFen(s.fen);</t>
        </is>
      </c>
    </row>
    <row r="4354">
      <c r="A4354" s="61" t="n">
        <v>36</v>
      </c>
      <c r="B4354" s="62" t="inlineStr">
        <is>
          <t xml:space="preserve">      setFinished(s.state !== "active");</t>
        </is>
      </c>
    </row>
    <row r="4355">
      <c r="A4355" s="61" t="n">
        <v>37</v>
      </c>
      <c r="B4355" s="62" t="inlineStr">
        <is>
          <t xml:space="preserve">      setMessage(s.concept ? "Find the knight fork." : "Find the best move.");</t>
        </is>
      </c>
    </row>
    <row r="4356">
      <c r="A4356" s="61" t="n">
        <v>38</v>
      </c>
      <c r="B4356" s="62" t="inlineStr">
        <is>
          <t xml:space="preserve">    }).catch((e) =&gt; setError(e instanceof ApiError ? e.message : "Could not load an exercise."));</t>
        </is>
      </c>
    </row>
    <row r="4357">
      <c r="A4357" s="61" t="n">
        <v>39</v>
      </c>
      <c r="B4357" s="62" t="inlineStr">
        <is>
          <t xml:space="preserve">  }, [sessionId, navigate]);</t>
        </is>
      </c>
    </row>
    <row r="4358">
      <c r="A4358" s="61" t="n">
        <v>40</v>
      </c>
      <c r="B4358" s="62" t="n"/>
    </row>
    <row r="4359">
      <c r="A4359" s="61" t="n">
        <v>41</v>
      </c>
      <c r="B4359" s="62" t="inlineStr">
        <is>
          <t xml:space="preserve">  async function submit(from: Square, to: Square, promotion?: string) {</t>
        </is>
      </c>
    </row>
    <row r="4360">
      <c r="A4360" s="61" t="n">
        <v>42</v>
      </c>
      <c r="B4360" s="62" t="inlineStr">
        <is>
          <t xml:space="preserve">    if (!session || busy || finished) return false;</t>
        </is>
      </c>
    </row>
    <row r="4361">
      <c r="A4361" s="61" t="n">
        <v>43</v>
      </c>
      <c r="B4361" s="62" t="inlineStr">
        <is>
          <t xml:space="preserve">    setBusy(true);</t>
        </is>
      </c>
    </row>
    <row r="4362">
      <c r="A4362" s="61" t="n">
        <v>44</v>
      </c>
      <c r="B4362" s="62" t="inlineStr">
        <is>
          <t xml:space="preserve">    try {</t>
        </is>
      </c>
    </row>
    <row r="4363">
      <c r="A4363" s="61" t="n">
        <v>45</v>
      </c>
      <c r="B4363" s="62" t="inlineStr">
        <is>
          <t xml:space="preserve">      const r = await post&lt;MoveResult&gt;(`/v1/practice/sessions/${session.session_id}/moves`, { uci: from + to + (promotion ?? "") });</t>
        </is>
      </c>
    </row>
    <row r="4364">
      <c r="A4364" s="61" t="n">
        <v>46</v>
      </c>
      <c r="B4364" s="62" t="inlineStr">
        <is>
          <t xml:space="preserve">      setFen(r.fen);</t>
        </is>
      </c>
    </row>
    <row r="4365">
      <c r="A4365" s="61" t="n">
        <v>47</v>
      </c>
      <c r="B4365" s="62" t="inlineStr">
        <is>
          <t xml:space="preserve">      if (r.outcome === "incorrect") setMessage("Not quite. Try again, or take a hint.");</t>
        </is>
      </c>
    </row>
    <row r="4366">
      <c r="A4366" s="61" t="n">
        <v>48</v>
      </c>
      <c r="B4366" s="62" t="inlineStr">
        <is>
          <t xml:space="preserve">      if (r.outcome === "correct") setMessage("Good! Your opponent replied. Keep going.");</t>
        </is>
      </c>
    </row>
    <row r="4367">
      <c r="A4367" s="61" t="n">
        <v>49</v>
      </c>
      <c r="B4367" s="62" t="inlineStr">
        <is>
          <t xml:space="preserve">      if (r.outcome === "solved") {</t>
        </is>
      </c>
    </row>
    <row r="4368">
      <c r="A4368" s="61" t="n">
        <v>50</v>
      </c>
      <c r="B4368" s="62" t="inlineStr">
        <is>
          <t xml:space="preserve">        setFinished(true);</t>
        </is>
      </c>
    </row>
    <row r="4369">
      <c r="A4369" s="61" t="n">
        <v>51</v>
      </c>
      <c r="B4369" s="62" t="inlineStr">
        <is>
          <t xml:space="preserve">        setMessage(r.first_try_success ? "Solved on the first try!" : "Solved. (Counts as assisted because of hints or retries.)");</t>
        </is>
      </c>
    </row>
    <row r="4370">
      <c r="A4370" s="61" t="n">
        <v>52</v>
      </c>
      <c r="B4370" s="62" t="inlineStr">
        <is>
          <t xml:space="preserve">      }</t>
        </is>
      </c>
    </row>
    <row r="4371">
      <c r="A4371" s="61" t="n">
        <v>53</v>
      </c>
      <c r="B4371" s="62" t="inlineStr">
        <is>
          <t xml:space="preserve">    } catch (e) {</t>
        </is>
      </c>
    </row>
    <row r="4372">
      <c r="A4372" s="61" t="n">
        <v>54</v>
      </c>
      <c r="B4372" s="62" t="inlineStr">
        <is>
          <t xml:space="preserve">      setMessage(e instanceof ApiError ? e.message : "Something went wrong.");</t>
        </is>
      </c>
    </row>
    <row r="4373">
      <c r="A4373" s="61" t="n">
        <v>55</v>
      </c>
      <c r="B4373" s="62" t="inlineStr">
        <is>
          <t xml:space="preserve">    } finally {</t>
        </is>
      </c>
    </row>
    <row r="4374">
      <c r="A4374" s="61" t="n">
        <v>56</v>
      </c>
      <c r="B4374" s="62" t="inlineStr">
        <is>
          <t xml:space="preserve">      setBusy(false);</t>
        </is>
      </c>
    </row>
    <row r="4375">
      <c r="A4375" s="61" t="n">
        <v>57</v>
      </c>
      <c r="B4375" s="62" t="inlineStr">
        <is>
          <t xml:space="preserve">    }</t>
        </is>
      </c>
    </row>
    <row r="4376">
      <c r="A4376" s="61" t="n">
        <v>58</v>
      </c>
      <c r="B4376" s="62" t="inlineStr">
        <is>
          <t xml:space="preserve">    return true;</t>
        </is>
      </c>
    </row>
    <row r="4377">
      <c r="A4377" s="61" t="n">
        <v>59</v>
      </c>
      <c r="B4377" s="62" t="inlineStr">
        <is>
          <t xml:space="preserve">  }</t>
        </is>
      </c>
    </row>
    <row r="4378">
      <c r="A4378" s="61" t="n">
        <v>60</v>
      </c>
      <c r="B4378" s="62" t="n"/>
    </row>
    <row r="4379">
      <c r="A4379" s="61" t="n">
        <v>61</v>
      </c>
      <c r="B4379" s="62" t="inlineStr">
        <is>
          <t xml:space="preserve">  function onDrop(from: Square, to: Square) {</t>
        </is>
      </c>
    </row>
    <row r="4380">
      <c r="A4380" s="61" t="n">
        <v>62</v>
      </c>
      <c r="B4380" s="62" t="inlineStr">
        <is>
          <t xml:space="preserve">    if (!fen) return false;</t>
        </is>
      </c>
    </row>
    <row r="4381">
      <c r="A4381" s="61" t="n">
        <v>63</v>
      </c>
      <c r="B4381" s="62" t="inlineStr">
        <is>
          <t xml:space="preserve">    if (isPromotion(new Chess(fen), from, to)) {</t>
        </is>
      </c>
    </row>
    <row r="4382">
      <c r="A4382" s="61" t="n">
        <v>64</v>
      </c>
      <c r="B4382" s="62" t="inlineStr">
        <is>
          <t xml:space="preserve">      setPromo({ from, to });</t>
        </is>
      </c>
    </row>
    <row r="4383">
      <c r="A4383" s="61" t="n">
        <v>65</v>
      </c>
      <c r="B4383" s="62" t="inlineStr">
        <is>
          <t xml:space="preserve">      return false;</t>
        </is>
      </c>
    </row>
    <row r="4384">
      <c r="A4384" s="61" t="n">
        <v>66</v>
      </c>
      <c r="B4384" s="62" t="inlineStr">
        <is>
          <t xml:space="preserve">    }</t>
        </is>
      </c>
    </row>
    <row r="4385">
      <c r="A4385" s="61" t="n">
        <v>67</v>
      </c>
      <c r="B4385" s="62" t="inlineStr">
        <is>
          <t xml:space="preserve">    void submit(from, to);</t>
        </is>
      </c>
    </row>
    <row r="4386">
      <c r="A4386" s="61" t="n">
        <v>68</v>
      </c>
      <c r="B4386" s="62" t="inlineStr">
        <is>
          <t xml:space="preserve">    return true;</t>
        </is>
      </c>
    </row>
    <row r="4387">
      <c r="A4387" s="61" t="n">
        <v>69</v>
      </c>
      <c r="B4387" s="62" t="inlineStr">
        <is>
          <t xml:space="preserve">  }</t>
        </is>
      </c>
    </row>
    <row r="4388">
      <c r="A4388" s="61" t="n">
        <v>70</v>
      </c>
      <c r="B4388" s="62" t="n"/>
    </row>
    <row r="4389">
      <c r="A4389" s="61" t="n">
        <v>71</v>
      </c>
      <c r="B4389" s="62" t="inlineStr">
        <is>
          <t xml:space="preserve">  async function hint() {</t>
        </is>
      </c>
    </row>
    <row r="4390">
      <c r="A4390" s="61" t="n">
        <v>72</v>
      </c>
      <c r="B4390" s="62" t="inlineStr">
        <is>
          <t xml:space="preserve">    if (!session) return;</t>
        </is>
      </c>
    </row>
    <row r="4391">
      <c r="A4391" s="61" t="n">
        <v>73</v>
      </c>
      <c r="B4391" s="62" t="inlineStr">
        <is>
          <t xml:space="preserve">    const h = await post&lt;{ level: number; text: string }&gt;(`/v1/practice/sessions/${session.session_id}/hint`);</t>
        </is>
      </c>
    </row>
    <row r="4392">
      <c r="A4392" s="61" t="n">
        <v>74</v>
      </c>
      <c r="B4392" s="62" t="inlineStr">
        <is>
          <t xml:space="preserve">    setHints((prev) =&gt; (prev.includes(h.text) ? prev : [...prev, h.text]));</t>
        </is>
      </c>
    </row>
    <row r="4393">
      <c r="A4393" s="61" t="n">
        <v>75</v>
      </c>
      <c r="B4393" s="62" t="inlineStr">
        <is>
          <t xml:space="preserve">  }</t>
        </is>
      </c>
    </row>
    <row r="4394">
      <c r="A4394" s="61" t="n">
        <v>76</v>
      </c>
      <c r="B4394" s="62" t="n"/>
    </row>
    <row r="4395">
      <c r="A4395" s="61" t="n">
        <v>77</v>
      </c>
      <c r="B4395" s="62" t="inlineStr">
        <is>
          <t xml:space="preserve">  async function giveUp() {</t>
        </is>
      </c>
    </row>
    <row r="4396">
      <c r="A4396" s="61" t="n">
        <v>78</v>
      </c>
      <c r="B4396" s="62" t="inlineStr">
        <is>
          <t xml:space="preserve">    if (!session) return;</t>
        </is>
      </c>
    </row>
    <row r="4397">
      <c r="A4397" s="61" t="n">
        <v>79</v>
      </c>
      <c r="B4397" s="62" t="inlineStr">
        <is>
          <t xml:space="preserve">    const r = await post&lt;MoveResult&gt;(`/v1/practice/sessions/${session.session_id}/give-up`);</t>
        </is>
      </c>
    </row>
    <row r="4398">
      <c r="A4398" s="61" t="n">
        <v>80</v>
      </c>
      <c r="B4398" s="62" t="inlineStr">
        <is>
          <t xml:space="preserve">    setFen(r.fen);</t>
        </is>
      </c>
    </row>
    <row r="4399">
      <c r="A4399" s="61" t="n">
        <v>81</v>
      </c>
      <c r="B4399" s="62" t="inlineStr">
        <is>
          <t xml:space="preserve">    setFinished(true);</t>
        </is>
      </c>
    </row>
    <row r="4400">
      <c r="A4400" s="61" t="n">
        <v>82</v>
      </c>
      <c r="B4400" s="62" t="inlineStr">
        <is>
          <t xml:space="preserve">    setMessage("Here is the final position of the solution.");</t>
        </is>
      </c>
    </row>
    <row r="4401">
      <c r="A4401" s="61" t="n">
        <v>83</v>
      </c>
      <c r="B4401" s="62" t="inlineStr">
        <is>
          <t xml:space="preserve">  }</t>
        </is>
      </c>
    </row>
    <row r="4402">
      <c r="A4402" s="61" t="n">
        <v>84</v>
      </c>
      <c r="B4402" s="62" t="n"/>
    </row>
    <row r="4403">
      <c r="A4403" s="61" t="n">
        <v>85</v>
      </c>
      <c r="B4403" s="62" t="inlineStr">
        <is>
          <t xml:space="preserve">  if (error) return &lt;p className="error" role="alert"&gt;{error}&lt;/p&gt;;</t>
        </is>
      </c>
    </row>
    <row r="4404">
      <c r="A4404" s="61" t="n">
        <v>86</v>
      </c>
      <c r="B4404" s="62" t="inlineStr">
        <is>
          <t xml:space="preserve">  if (!session || !fen) return &lt;p&gt;Choosing an exercise…&lt;/p&gt;;</t>
        </is>
      </c>
    </row>
    <row r="4405">
      <c r="A4405" s="61" t="n">
        <v>87</v>
      </c>
      <c r="B4405" s="62" t="inlineStr">
        <is>
          <t xml:space="preserve">  return (</t>
        </is>
      </c>
    </row>
    <row r="4406">
      <c r="A4406" s="61" t="n">
        <v>88</v>
      </c>
      <c r="B4406" s="62" t="inlineStr">
        <is>
          <t xml:space="preserve">    &lt;section className="practice"&gt;</t>
        </is>
      </c>
    </row>
    <row r="4407">
      <c r="A4407" s="61" t="n">
        <v>89</v>
      </c>
      <c r="B4407" s="62" t="inlineStr">
        <is>
          <t xml:space="preserve">      &lt;div className="board-wrap"&gt;</t>
        </is>
      </c>
    </row>
    <row r="4408">
      <c r="A4408" s="61" t="n">
        <v>90</v>
      </c>
      <c r="B4408" s="62" t="inlineStr">
        <is>
          <t xml:space="preserve">        &lt;Chessboard id="practice-board" position={fen} boardOrientation={session.solver_color}</t>
        </is>
      </c>
    </row>
    <row r="4409">
      <c r="A4409" s="61" t="n">
        <v>91</v>
      </c>
      <c r="B4409" s="62" t="inlineStr">
        <is>
          <t xml:space="preserve">          onPieceDrop={(f, t) =&gt; onDrop(f as Square, t as Square)} onPromotionCheck={() =&gt; false}</t>
        </is>
      </c>
    </row>
    <row r="4410">
      <c r="A4410" s="61" t="n">
        <v>92</v>
      </c>
      <c r="B4410" s="62" t="inlineStr">
        <is>
          <t xml:space="preserve">          arePiecesDraggable={!busy &amp;&amp; !finished} /&gt;</t>
        </is>
      </c>
    </row>
    <row r="4411">
      <c r="A4411" s="61" t="n">
        <v>93</v>
      </c>
      <c r="B4411" s="62" t="inlineStr">
        <is>
          <t xml:space="preserve">      &lt;/div&gt;</t>
        </is>
      </c>
    </row>
    <row r="4412">
      <c r="A4412" s="61" t="n">
        <v>94</v>
      </c>
      <c r="B4412" s="62" t="inlineStr">
        <is>
          <t xml:space="preserve">      &lt;aside className="panel"&gt;</t>
        </is>
      </c>
    </row>
    <row r="4413">
      <c r="A4413" s="61" t="n">
        <v>95</v>
      </c>
      <c r="B4413" s="62" t="inlineStr">
        <is>
          <t xml:space="preserve">        &lt;h1&gt;{session.mode === "assessment" ? "Assessment" : "Practice"}&lt;/h1&gt;</t>
        </is>
      </c>
    </row>
    <row r="4414">
      <c r="A4414" s="61" t="n">
        <v>96</v>
      </c>
      <c r="B4414" s="62" t="inlineStr">
        <is>
          <t xml:space="preserve">        &lt;p className="status" aria-live="polite"&gt;{message}&lt;/p&gt;</t>
        </is>
      </c>
    </row>
    <row r="4415">
      <c r="A4415" s="61" t="n">
        <v>97</v>
      </c>
      <c r="B4415" s="62" t="inlineStr">
        <is>
          <t xml:space="preserve">        &lt;p className="muted"&gt;</t>
        </is>
      </c>
    </row>
    <row r="4416">
      <c r="A4416" s="61" t="n">
        <v>98</v>
      </c>
      <c r="B4416" s="62" t="inlineStr">
        <is>
          <t xml:space="preserve">          You play {session.solver_color}. Exercise rating {session.puzzle_rating} · predicted chance {Math.round(session.predicted_p * 100)}%</t>
        </is>
      </c>
    </row>
    <row r="4417">
      <c r="A4417" s="61" t="n">
        <v>99</v>
      </c>
      <c r="B4417" s="62" t="inlineStr">
        <is>
          <t xml:space="preserve">        &lt;/p&gt;</t>
        </is>
      </c>
    </row>
    <row r="4418">
      <c r="A4418" s="61" t="n">
        <v>100</v>
      </c>
      <c r="B4418" s="62" t="inlineStr">
        <is>
          <t xml:space="preserve">        {hints.length &gt; 0 &amp;&amp; &lt;ul className="hints"&gt;{hints.map((h) =&gt; &lt;li key={h}&gt;{h}&lt;/li&gt;)}&lt;/ul&gt;}</t>
        </is>
      </c>
    </row>
    <row r="4419">
      <c r="A4419" s="61" t="n">
        <v>101</v>
      </c>
      <c r="B4419" s="62" t="inlineStr">
        <is>
          <t xml:space="preserve">        &lt;div className="actions"&gt;</t>
        </is>
      </c>
    </row>
    <row r="4420">
      <c r="A4420" s="61" t="n">
        <v>102</v>
      </c>
      <c r="B4420" s="62" t="inlineStr">
        <is>
          <t xml:space="preserve">          {!finished &amp;&amp; &lt;button onClick={hint} disabled={hints.length &gt;= 3}&gt;Hint&lt;/button&gt;}</t>
        </is>
      </c>
    </row>
    <row r="4421">
      <c r="A4421" s="61" t="n">
        <v>103</v>
      </c>
      <c r="B4421" s="62" t="inlineStr">
        <is>
          <t xml:space="preserve">          {!finished &amp;&amp; &lt;button onClick={giveUp}&gt;Show solution&lt;/button&gt;}</t>
        </is>
      </c>
    </row>
    <row r="4422">
      <c r="A4422" s="61" t="n">
        <v>104</v>
      </c>
      <c r="B4422" s="62" t="inlineStr">
        <is>
          <t xml:space="preserve">          {finished &amp;&amp; &lt;button className="primary" onClick={() =&gt; navigate("/practice")}&gt;Next exercise&lt;/button&gt;}</t>
        </is>
      </c>
    </row>
    <row r="4423">
      <c r="A4423" s="61" t="n">
        <v>105</v>
      </c>
      <c r="B4423" s="62" t="inlineStr">
        <is>
          <t xml:space="preserve">        &lt;/div&gt;</t>
        </is>
      </c>
    </row>
    <row r="4424">
      <c r="A4424" s="61" t="n">
        <v>106</v>
      </c>
      <c r="B4424" s="62" t="inlineStr">
        <is>
          <t xml:space="preserve">      &lt;/aside&gt;</t>
        </is>
      </c>
    </row>
    <row r="4425">
      <c r="A4425" s="61" t="n">
        <v>107</v>
      </c>
      <c r="B4425" s="62" t="inlineStr">
        <is>
          <t xml:space="preserve">      {promo &amp;&amp; (</t>
        </is>
      </c>
    </row>
    <row r="4426">
      <c r="A4426" s="61" t="n">
        <v>108</v>
      </c>
      <c r="B4426" s="62" t="inlineStr">
        <is>
          <t xml:space="preserve">        &lt;PromotionDialog color={session.solver_color === "white" ? "w" : "b"} onCancel={() =&gt; setPromo(null)}</t>
        </is>
      </c>
    </row>
    <row r="4427">
      <c r="A4427" s="61" t="n">
        <v>109</v>
      </c>
      <c r="B4427" s="62" t="inlineStr">
        <is>
          <t xml:space="preserve">          onPick={(p) =&gt; { void submit(promo.from, promo.to, p); setPromo(null); }} /&gt;</t>
        </is>
      </c>
    </row>
    <row r="4428">
      <c r="A4428" s="61" t="n">
        <v>110</v>
      </c>
      <c r="B4428" s="62" t="inlineStr">
        <is>
          <t xml:space="preserve">      )}</t>
        </is>
      </c>
    </row>
    <row r="4429">
      <c r="A4429" s="61" t="n">
        <v>111</v>
      </c>
      <c r="B4429" s="62" t="inlineStr">
        <is>
          <t xml:space="preserve">    &lt;/section&gt;</t>
        </is>
      </c>
    </row>
    <row r="4430">
      <c r="A4430" s="61" t="n">
        <v>112</v>
      </c>
      <c r="B4430" s="62" t="inlineStr">
        <is>
          <t xml:space="preserve">  );</t>
        </is>
      </c>
    </row>
    <row r="4431">
      <c r="A4431" s="61" t="n">
        <v>113</v>
      </c>
      <c r="B4431" s="62" t="inlineStr">
        <is>
          <t>}</t>
        </is>
      </c>
    </row>
    <row r="4434">
      <c r="A4434" s="60" t="inlineStr">
        <is>
          <t>C67</t>
        </is>
      </c>
      <c r="B4434" s="60" t="inlineStr">
        <is>
          <t>apps/web/e2e/fullstack.spec.ts   ·   Phase P10   ·   E2E: play, resign, review, practice, progress, demo.</t>
        </is>
      </c>
    </row>
    <row r="4435">
      <c r="B4435" s="55" t="inlineStr">
        <is>
          <t>↑ back to Code Index</t>
        </is>
      </c>
    </row>
    <row r="4436">
      <c r="A4436" s="61" t="n">
        <v>1</v>
      </c>
      <c r="B4436" s="62" t="inlineStr">
        <is>
          <t>import { expect, test } from "@playwright/test";</t>
        </is>
      </c>
    </row>
    <row r="4437">
      <c r="A4437" s="61" t="n">
        <v>2</v>
      </c>
      <c r="B4437" s="62" t="n"/>
    </row>
    <row r="4438">
      <c r="A4438" s="61" t="n">
        <v>3</v>
      </c>
      <c r="B4438" s="62" t="inlineStr">
        <is>
          <t>// Needs the whole stack: `docker compose up` (db + api + worker) and VITE_API_BASE_URL pointing at the API.</t>
        </is>
      </c>
    </row>
    <row r="4439">
      <c r="A4439" s="61" t="n">
        <v>4</v>
      </c>
      <c r="B4439" s="62" t="inlineStr">
        <is>
          <t>// Journey: play -&gt; finish (resign) -&gt; save -&gt; background analysis -&gt; review -&gt; practice -&gt; progress.</t>
        </is>
      </c>
    </row>
    <row r="4440">
      <c r="A4440" s="61" t="n">
        <v>5</v>
      </c>
      <c r="B4440" s="62" t="n"/>
    </row>
    <row r="4441">
      <c r="A4441" s="61" t="n">
        <v>6</v>
      </c>
      <c r="B4441" s="62" t="inlineStr">
        <is>
          <t>test("play, resign, review, practice", async ({ page }) =&gt; {</t>
        </is>
      </c>
    </row>
    <row r="4442">
      <c r="A4442" s="61" t="n">
        <v>7</v>
      </c>
      <c r="B4442" s="62" t="inlineStr">
        <is>
          <t xml:space="preserve">  await page.goto("/play");</t>
        </is>
      </c>
    </row>
    <row r="4443">
      <c r="A4443" s="61" t="n">
        <v>8</v>
      </c>
      <c r="B4443" s="62" t="inlineStr">
        <is>
          <t xml:space="preserve">  await page.getByRole("button", { name: "Start game" }).click();</t>
        </is>
      </c>
    </row>
    <row r="4444">
      <c r="A4444" s="61" t="n">
        <v>9</v>
      </c>
      <c r="B4444" s="62" t="inlineStr">
        <is>
          <t xml:space="preserve">  await page.locator('[data-square="e2"]').click(); // click-to-move: select the pawn...</t>
        </is>
      </c>
    </row>
    <row r="4445">
      <c r="A4445" s="61" t="n">
        <v>10</v>
      </c>
      <c r="B4445" s="62" t="inlineStr">
        <is>
          <t xml:space="preserve">  await page.locator('[data-square="e4"]').click(); // ...then its destination</t>
        </is>
      </c>
    </row>
    <row r="4446">
      <c r="A4446" s="61" t="n">
        <v>11</v>
      </c>
      <c r="B4446" s="62" t="inlineStr">
        <is>
          <t xml:space="preserve">  await expect(page.getByRole("table", { name: "Moves" }).getByRole("button")).toHaveCount(2, { timeout: 20_000 });</t>
        </is>
      </c>
    </row>
    <row r="4447">
      <c r="A4447" s="61" t="n">
        <v>12</v>
      </c>
      <c r="B4447" s="62" t="inlineStr">
        <is>
          <t xml:space="preserve">  await page.getByRole("button", { name: "Resign" }).click();</t>
        </is>
      </c>
    </row>
    <row r="4448">
      <c r="A4448" s="61" t="n">
        <v>13</v>
      </c>
      <c r="B4448" s="62" t="inlineStr">
        <is>
          <t xml:space="preserve">  await page.getByRole("button", { name: "Review game" }).click();</t>
        </is>
      </c>
    </row>
    <row r="4449">
      <c r="A4449" s="61" t="n">
        <v>14</v>
      </c>
      <c r="B4449" s="62" t="inlineStr">
        <is>
          <t xml:space="preserve">  await page.getByRole("link", { name: "Open review →" }).click();</t>
        </is>
      </c>
    </row>
    <row r="4450">
      <c r="A4450" s="61" t="n">
        <v>15</v>
      </c>
      <c r="B4450" s="62" t="inlineStr">
        <is>
          <t xml:space="preserve">  await expect(page.getByText(/Analysed \d+ of \d+ of your moves/)).toBeVisible({ timeout: 60_000 });</t>
        </is>
      </c>
    </row>
    <row r="4451">
      <c r="A4451" s="61" t="n">
        <v>16</v>
      </c>
      <c r="B4451" s="62" t="n"/>
    </row>
    <row r="4452">
      <c r="A4452" s="61" t="n">
        <v>17</v>
      </c>
      <c r="B4452" s="62" t="inlineStr">
        <is>
          <t xml:space="preserve">  await page.goto("/practice");</t>
        </is>
      </c>
    </row>
    <row r="4453">
      <c r="A4453" s="61" t="n">
        <v>18</v>
      </c>
      <c r="B4453" s="62" t="inlineStr">
        <is>
          <t xml:space="preserve">  await expect(page.getByText(/Exercise rating/)).toBeVisible({ timeout: 15_000 });</t>
        </is>
      </c>
    </row>
    <row r="4454">
      <c r="A4454" s="61" t="n">
        <v>19</v>
      </c>
      <c r="B4454" s="62" t="inlineStr">
        <is>
          <t xml:space="preserve">  await page.getByRole("button", { name: "Hint" }).click();</t>
        </is>
      </c>
    </row>
    <row r="4455">
      <c r="A4455" s="61" t="n">
        <v>20</v>
      </c>
      <c r="B4455" s="62" t="inlineStr">
        <is>
          <t xml:space="preserve">  await expect(page.getByText(/knight move that attacks two pieces/)).toBeVisible();</t>
        </is>
      </c>
    </row>
    <row r="4456">
      <c r="A4456" s="61" t="n">
        <v>21</v>
      </c>
      <c r="B4456" s="62" t="n"/>
    </row>
    <row r="4457">
      <c r="A4457" s="61" t="n">
        <v>22</v>
      </c>
      <c r="B4457" s="62" t="inlineStr">
        <is>
          <t xml:space="preserve">  await page.goto("/progress");</t>
        </is>
      </c>
    </row>
    <row r="4458">
      <c r="A4458" s="61" t="n">
        <v>23</v>
      </c>
      <c r="B4458" s="62" t="inlineStr">
        <is>
          <t xml:space="preserve">  await expect(page.getByRole("heading", { name: "Your progress" })).toBeVisible();</t>
        </is>
      </c>
    </row>
    <row r="4459">
      <c r="A4459" s="61" t="n">
        <v>24</v>
      </c>
      <c r="B4459" s="62" t="inlineStr">
        <is>
          <t>});</t>
        </is>
      </c>
    </row>
    <row r="4460">
      <c r="A4460" s="61" t="n">
        <v>25</v>
      </c>
      <c r="B4460" s="62" t="n"/>
    </row>
    <row r="4461">
      <c r="A4461" s="61" t="n">
        <v>26</v>
      </c>
      <c r="B4461" s="62" t="inlineStr">
        <is>
          <t>test("public demo works without a session", async ({ page }) =&gt; {</t>
        </is>
      </c>
    </row>
    <row r="4462">
      <c r="A4462" s="61" t="n">
        <v>27</v>
      </c>
      <c r="B4462" s="62" t="inlineStr">
        <is>
          <t xml:space="preserve">  await page.goto("/demo");</t>
        </is>
      </c>
    </row>
    <row r="4463">
      <c r="A4463" s="61" t="n">
        <v>28</v>
      </c>
      <c r="B4463" s="62" t="inlineStr">
        <is>
          <t xml:space="preserve">  await expect(page.getByText("Sample game.", { exact: false })).toBeVisible();</t>
        </is>
      </c>
    </row>
    <row r="4464">
      <c r="A4464" s="61" t="n">
        <v>29</v>
      </c>
      <c r="B4464" s="62" t="inlineStr">
        <is>
          <t xml:space="preserve">  await expect(page.getByRole("button", { name: /missed N/ })).toBeVisible();</t>
        </is>
      </c>
    </row>
    <row r="4465">
      <c r="A4465" s="61" t="n">
        <v>30</v>
      </c>
      <c r="B4465" s="62" t="inlineStr">
        <is>
          <t>});</t>
        </is>
      </c>
    </row>
    <row r="4468">
      <c r="A4468" s="60" t="inlineStr">
        <is>
          <t>C68</t>
        </is>
      </c>
      <c r="B4468" s="60" t="inlineStr">
        <is>
          <t>services/backend/app/learning/elo.py   ·   Phase P11   ·   Elo expected score, K schedule, update, target difficulty.</t>
        </is>
      </c>
    </row>
    <row r="4469">
      <c r="B4469" s="55" t="inlineStr">
        <is>
          <t>↑ back to Code Index</t>
        </is>
      </c>
    </row>
    <row r="4470">
      <c r="A4470" s="61" t="n">
        <v>1</v>
      </c>
      <c r="B4470" s="62" t="inlineStr">
        <is>
          <t>"""Provisional per-concept rating. Interpretable, cheap, and a baseline that fancier models must beat."""</t>
        </is>
      </c>
    </row>
    <row r="4471">
      <c r="A4471" s="61" t="n">
        <v>2</v>
      </c>
      <c r="B4471" s="62" t="inlineStr">
        <is>
          <t>import math</t>
        </is>
      </c>
    </row>
    <row r="4472">
      <c r="A4472" s="61" t="n">
        <v>3</v>
      </c>
      <c r="B4472" s="62" t="n"/>
    </row>
    <row r="4473">
      <c r="A4473" s="61" t="n">
        <v>4</v>
      </c>
      <c r="B4473" s="62" t="inlineStr">
        <is>
          <t>MODEL_VERSION = "elo-v1"</t>
        </is>
      </c>
    </row>
    <row r="4474">
      <c r="A4474" s="61" t="n">
        <v>5</v>
      </c>
      <c r="B4474" s="62" t="inlineStr">
        <is>
          <t>DEFAULT_RATING = 1500.0</t>
        </is>
      </c>
    </row>
    <row r="4475">
      <c r="A4475" s="61" t="n">
        <v>6</v>
      </c>
      <c r="B4475" s="62" t="inlineStr">
        <is>
          <t>PROVISIONAL_ATTEMPTS = 10</t>
        </is>
      </c>
    </row>
    <row r="4476">
      <c r="A4476" s="61" t="n">
        <v>7</v>
      </c>
      <c r="B4476" s="62" t="inlineStr">
        <is>
          <t>TARGET_SUCCESS = 0.70  # tunable product choice: "challenging but usually solvable"</t>
        </is>
      </c>
    </row>
    <row r="4477">
      <c r="A4477" s="61" t="n">
        <v>8</v>
      </c>
      <c r="B4477" s="62" t="n"/>
    </row>
    <row r="4478">
      <c r="A4478" s="61" t="n">
        <v>9</v>
      </c>
      <c r="B4478" s="62" t="n"/>
    </row>
    <row r="4479">
      <c r="A4479" s="61" t="n">
        <v>10</v>
      </c>
      <c r="B4479" s="62" t="inlineStr">
        <is>
          <t>def expected_score(concept_rating: float, puzzle_rating: float) -&gt; float:</t>
        </is>
      </c>
    </row>
    <row r="4480">
      <c r="A4480" s="61" t="n">
        <v>11</v>
      </c>
      <c r="B4480" s="62" t="inlineStr">
        <is>
          <t xml:space="preserve">    """P(solve) = 1 / (1 + 10 ** ((puzzle_rating - concept_rating) / 400))"""</t>
        </is>
      </c>
    </row>
    <row r="4481">
      <c r="A4481" s="61" t="n">
        <v>12</v>
      </c>
      <c r="B4481" s="62" t="inlineStr">
        <is>
          <t xml:space="preserve">    return 1.0 / (1.0 + 10 ** ((puzzle_rating - concept_rating) / 400.0))</t>
        </is>
      </c>
    </row>
    <row r="4482">
      <c r="A4482" s="61" t="n">
        <v>13</v>
      </c>
      <c r="B4482" s="62" t="n"/>
    </row>
    <row r="4483">
      <c r="A4483" s="61" t="n">
        <v>14</v>
      </c>
      <c r="B4483" s="62" t="n"/>
    </row>
    <row r="4484">
      <c r="A4484" s="61" t="n">
        <v>15</v>
      </c>
      <c r="B4484" s="62" t="inlineStr">
        <is>
          <t>def k_factor(attempts: int) -&gt; float:</t>
        </is>
      </c>
    </row>
    <row r="4485">
      <c r="A4485" s="61" t="n">
        <v>16</v>
      </c>
      <c r="B4485" s="62" t="inlineStr">
        <is>
          <t xml:space="preserve">    # Move fast while we know little about the player, then settle down.</t>
        </is>
      </c>
    </row>
    <row r="4486">
      <c r="A4486" s="61" t="n">
        <v>17</v>
      </c>
      <c r="B4486" s="62" t="inlineStr">
        <is>
          <t xml:space="preserve">    return 40.0 if attempts &lt; PROVISIONAL_ATTEMPTS else 20.0</t>
        </is>
      </c>
    </row>
    <row r="4487">
      <c r="A4487" s="61" t="n">
        <v>18</v>
      </c>
      <c r="B4487" s="62" t="n"/>
    </row>
    <row r="4488">
      <c r="A4488" s="61" t="n">
        <v>19</v>
      </c>
      <c r="B4488" s="62" t="n"/>
    </row>
    <row r="4489">
      <c r="A4489" s="61" t="n">
        <v>20</v>
      </c>
      <c r="B4489" s="62" t="inlineStr">
        <is>
          <t>def updated_rating(concept_rating: float, attempts: int, puzzle_rating: float, success: bool) -&gt; float:</t>
        </is>
      </c>
    </row>
    <row r="4490">
      <c r="A4490" s="61" t="n">
        <v>21</v>
      </c>
      <c r="B4490" s="62" t="inlineStr">
        <is>
          <t xml:space="preserve">    expected = expected_score(concept_rating, puzzle_rating)</t>
        </is>
      </c>
    </row>
    <row r="4491">
      <c r="A4491" s="61" t="n">
        <v>22</v>
      </c>
      <c r="B4491" s="62" t="inlineStr">
        <is>
          <t xml:space="preserve">    return concept_rating + k_factor(attempts) * ((1.0 if success else 0.0) - expected)</t>
        </is>
      </c>
    </row>
    <row r="4492">
      <c r="A4492" s="61" t="n">
        <v>23</v>
      </c>
      <c r="B4492" s="62" t="n"/>
    </row>
    <row r="4493">
      <c r="A4493" s="61" t="n">
        <v>24</v>
      </c>
      <c r="B4493" s="62" t="n"/>
    </row>
    <row r="4494">
      <c r="A4494" s="61" t="n">
        <v>25</v>
      </c>
      <c r="B4494" s="62" t="inlineStr">
        <is>
          <t>def target_puzzle_rating(concept_rating: float, target_p: float = TARGET_SUCCESS) -&gt; float:</t>
        </is>
      </c>
    </row>
    <row r="4495">
      <c r="A4495" s="61" t="n">
        <v>26</v>
      </c>
      <c r="B4495" s="62" t="inlineStr">
        <is>
          <t xml:space="preserve">    """Inverse of expected_score: the puzzle rating at which P(solve) == target_p."""</t>
        </is>
      </c>
    </row>
    <row r="4496">
      <c r="A4496" s="61" t="n">
        <v>27</v>
      </c>
      <c r="B4496" s="62" t="inlineStr">
        <is>
          <t xml:space="preserve">    return concept_rating + 400.0 * math.log10(1.0 / target_p - 1.0)</t>
        </is>
      </c>
    </row>
    <row r="4497">
      <c r="A4497" s="61" t="n">
        <v>28</v>
      </c>
      <c r="B4497" s="62" t="n"/>
    </row>
    <row r="4498">
      <c r="A4498" s="61" t="n">
        <v>29</v>
      </c>
      <c r="B4498" s="62" t="n"/>
    </row>
    <row r="4499">
      <c r="A4499" s="61" t="n">
        <v>30</v>
      </c>
      <c r="B4499" s="62" t="inlineStr">
        <is>
          <t>def is_provisional(attempts: int) -&gt; bool:</t>
        </is>
      </c>
    </row>
    <row r="4500">
      <c r="A4500" s="61" t="n">
        <v>31</v>
      </c>
      <c r="B4500" s="62" t="inlineStr">
        <is>
          <t xml:space="preserve">    return attempts &lt; PROVISIONAL_ATTEMPTS</t>
        </is>
      </c>
    </row>
    <row r="4503">
      <c r="A4503" s="60" t="inlineStr">
        <is>
          <t>C69</t>
        </is>
      </c>
      <c r="B4503" s="60" t="inlineStr">
        <is>
          <t>services/backend/app/learning/selector.py   ·   Phase P11   ·   Race-safe ratings and adaptive puzzle selection.</t>
        </is>
      </c>
    </row>
    <row r="4504">
      <c r="B4504" s="55" t="inlineStr">
        <is>
          <t>↑ back to Code Index</t>
        </is>
      </c>
    </row>
    <row r="4505">
      <c r="A4505" s="61" t="n">
        <v>1</v>
      </c>
      <c r="B4505" s="62" t="inlineStr">
        <is>
          <t>"""Chooses the next exercise. Every choice is logged with its reason and predicted probability."""</t>
        </is>
      </c>
    </row>
    <row r="4506">
      <c r="A4506" s="61" t="n">
        <v>2</v>
      </c>
      <c r="B4506" s="62" t="inlineStr">
        <is>
          <t>import random</t>
        </is>
      </c>
    </row>
    <row r="4507">
      <c r="A4507" s="61" t="n">
        <v>3</v>
      </c>
      <c r="B4507" s="62" t="inlineStr">
        <is>
          <t>import uuid</t>
        </is>
      </c>
    </row>
    <row r="4508">
      <c r="A4508" s="61" t="n">
        <v>4</v>
      </c>
      <c r="B4508" s="62" t="inlineStr">
        <is>
          <t>from dataclasses import dataclass</t>
        </is>
      </c>
    </row>
    <row r="4509">
      <c r="A4509" s="61" t="n">
        <v>5</v>
      </c>
      <c r="B4509" s="62" t="n"/>
    </row>
    <row r="4510">
      <c r="A4510" s="61" t="n">
        <v>6</v>
      </c>
      <c r="B4510" s="62" t="inlineStr">
        <is>
          <t>from sqlalchemy import func, select</t>
        </is>
      </c>
    </row>
    <row r="4511">
      <c r="A4511" s="61" t="n">
        <v>7</v>
      </c>
      <c r="B4511" s="62" t="inlineStr">
        <is>
          <t>from sqlalchemy.dialects.postgresql import insert as pg_insert</t>
        </is>
      </c>
    </row>
    <row r="4512">
      <c r="A4512" s="61" t="n">
        <v>8</v>
      </c>
      <c r="B4512" s="62" t="inlineStr">
        <is>
          <t>from sqlalchemy.orm import Session</t>
        </is>
      </c>
    </row>
    <row r="4513">
      <c r="A4513" s="61" t="n">
        <v>9</v>
      </c>
      <c r="B4513" s="62" t="n"/>
    </row>
    <row r="4514">
      <c r="A4514" s="61" t="n">
        <v>10</v>
      </c>
      <c r="B4514" s="62" t="inlineStr">
        <is>
          <t>from app.errors import ApiError</t>
        </is>
      </c>
    </row>
    <row r="4515">
      <c r="A4515" s="61" t="n">
        <v>11</v>
      </c>
      <c r="B4515" s="62" t="inlineStr">
        <is>
          <t>from app.learning.elo import DEFAULT_RATING, MODEL_VERSION, TARGET_SUCCESS, expected_score, target_puzzle_rating</t>
        </is>
      </c>
    </row>
    <row r="4516">
      <c r="A4516" s="61" t="n">
        <v>12</v>
      </c>
      <c r="B4516" s="62" t="inlineStr">
        <is>
          <t>from app.models import ConceptRating, PracticeSession, Puzzle</t>
        </is>
      </c>
    </row>
    <row r="4517">
      <c r="A4517" s="61" t="n">
        <v>13</v>
      </c>
      <c r="B4517" s="62" t="n"/>
    </row>
    <row r="4518">
      <c r="A4518" s="61" t="n">
        <v>14</v>
      </c>
      <c r="B4518" s="62" t="inlineStr">
        <is>
          <t>EXPLORE_RATE = 0.15  # sometimes try a harder puzzle so the rating can move up</t>
        </is>
      </c>
    </row>
    <row r="4519">
      <c r="A4519" s="61" t="n">
        <v>15</v>
      </c>
      <c r="B4519" s="62" t="inlineStr">
        <is>
          <t>CONCEPTS = ("knight_fork",)  # add "hanging_piece" in stretch phase S2</t>
        </is>
      </c>
    </row>
    <row r="4520">
      <c r="A4520" s="61" t="n">
        <v>16</v>
      </c>
      <c r="B4520" s="62" t="n"/>
    </row>
    <row r="4521">
      <c r="A4521" s="61" t="n">
        <v>17</v>
      </c>
      <c r="B4521" s="62" t="n"/>
    </row>
    <row r="4522">
      <c r="A4522" s="61" t="n">
        <v>18</v>
      </c>
      <c r="B4522" s="62" t="inlineStr">
        <is>
          <t>@dataclass</t>
        </is>
      </c>
    </row>
    <row r="4523">
      <c r="A4523" s="61" t="n">
        <v>19</v>
      </c>
      <c r="B4523" s="62" t="inlineStr">
        <is>
          <t>class Selection:</t>
        </is>
      </c>
    </row>
    <row r="4524">
      <c r="A4524" s="61" t="n">
        <v>20</v>
      </c>
      <c r="B4524" s="62" t="inlineStr">
        <is>
          <t xml:space="preserve">    puzzle: Puzzle</t>
        </is>
      </c>
    </row>
    <row r="4525">
      <c r="A4525" s="61" t="n">
        <v>21</v>
      </c>
      <c r="B4525" s="62" t="inlineStr">
        <is>
          <t xml:space="preserve">    rating_before: float</t>
        </is>
      </c>
    </row>
    <row r="4526">
      <c r="A4526" s="61" t="n">
        <v>22</v>
      </c>
      <c r="B4526" s="62" t="inlineStr">
        <is>
          <t xml:space="preserve">    predicted_p: float</t>
        </is>
      </c>
    </row>
    <row r="4527">
      <c r="A4527" s="61" t="n">
        <v>23</v>
      </c>
      <c r="B4527" s="62" t="inlineStr">
        <is>
          <t xml:space="preserve">    reason: str</t>
        </is>
      </c>
    </row>
    <row r="4528">
      <c r="A4528" s="61" t="n">
        <v>24</v>
      </c>
      <c r="B4528" s="62" t="inlineStr">
        <is>
          <t xml:space="preserve">    exposure_count: int</t>
        </is>
      </c>
    </row>
    <row r="4529">
      <c r="A4529" s="61" t="n">
        <v>25</v>
      </c>
      <c r="B4529" s="62" t="n"/>
    </row>
    <row r="4530">
      <c r="A4530" s="61" t="n">
        <v>26</v>
      </c>
      <c r="B4530" s="62" t="n"/>
    </row>
    <row r="4531">
      <c r="A4531" s="61" t="n">
        <v>27</v>
      </c>
      <c r="B4531" s="62" t="inlineStr">
        <is>
          <t>def concept_rating(db: Session, owner_id: uuid.UUID, concept: str, lock: bool = False) -&gt; ConceptRating:</t>
        </is>
      </c>
    </row>
    <row r="4532">
      <c r="A4532" s="61" t="n">
        <v>28</v>
      </c>
      <c r="B4532" s="62" t="inlineStr">
        <is>
          <t xml:space="preserve">    """Get-or-create without a race: two simultaneous requests cannot both insert the same row.</t>
        </is>
      </c>
    </row>
    <row r="4533">
      <c r="A4533" s="61" t="n">
        <v>29</v>
      </c>
      <c r="B4533" s="62" t="inlineStr">
        <is>
          <t xml:space="preserve">    (A Python "if row is None: add()" check is NOT safe: both requests see None, then one crashes.)</t>
        </is>
      </c>
    </row>
    <row r="4534">
      <c r="A4534" s="61" t="n">
        <v>30</v>
      </c>
      <c r="B4534" s="62" t="inlineStr">
        <is>
          <t xml:space="preserve">    With lock=True the row stays locked until commit, so concurrent rating updates cannot overwrite each other."""</t>
        </is>
      </c>
    </row>
    <row r="4535">
      <c r="A4535" s="61" t="n">
        <v>31</v>
      </c>
      <c r="B4535" s="62" t="inlineStr">
        <is>
          <t xml:space="preserve">    db.execute(pg_insert(ConceptRating)</t>
        </is>
      </c>
    </row>
    <row r="4536">
      <c r="A4536" s="61" t="n">
        <v>32</v>
      </c>
      <c r="B4536" s="62" t="inlineStr">
        <is>
          <t xml:space="preserve">               .values(owner_id=owner_id, concept=concept, rating=DEFAULT_RATING, attempts=0, model_version=MODEL_VERSION)</t>
        </is>
      </c>
    </row>
    <row r="4537">
      <c r="A4537" s="61" t="n">
        <v>33</v>
      </c>
      <c r="B4537" s="62" t="inlineStr">
        <is>
          <t xml:space="preserve">               .on_conflict_do_nothing(index_elements=["owner_id", "concept"]))</t>
        </is>
      </c>
    </row>
    <row r="4538">
      <c r="A4538" s="61" t="n">
        <v>34</v>
      </c>
      <c r="B4538" s="62" t="inlineStr">
        <is>
          <t xml:space="preserve">    return db.get(ConceptRating, (owner_id, concept), with_for_update=lock, populate_existing=True)</t>
        </is>
      </c>
    </row>
    <row r="4539">
      <c r="A4539" s="61" t="n">
        <v>35</v>
      </c>
      <c r="B4539" s="62" t="n"/>
    </row>
    <row r="4540">
      <c r="A4540" s="61" t="n">
        <v>36</v>
      </c>
      <c r="B4540" s="62" t="n"/>
    </row>
    <row r="4541">
      <c r="A4541" s="61" t="n">
        <v>37</v>
      </c>
      <c r="B4541" s="62" t="inlineStr">
        <is>
          <t>def choose(db: Session, owner_id: uuid.UUID, concept: str, mode: str, rng: random.Random | None = None) -&gt; Selection:</t>
        </is>
      </c>
    </row>
    <row r="4542">
      <c r="A4542" s="61" t="n">
        <v>38</v>
      </c>
      <c r="B4542" s="62" t="inlineStr">
        <is>
          <t xml:space="preserve">    rng = rng or random.Random()</t>
        </is>
      </c>
    </row>
    <row r="4543">
      <c r="A4543" s="61" t="n">
        <v>39</v>
      </c>
      <c r="B4543" s="62" t="inlineStr">
        <is>
          <t xml:space="preserve">    rating = concept_rating(db, owner_id, concept)</t>
        </is>
      </c>
    </row>
    <row r="4544">
      <c r="A4544" s="61" t="n">
        <v>40</v>
      </c>
      <c r="B4544" s="62" t="inlineStr">
        <is>
          <t xml:space="preserve">    explore = rng.random() &lt; EXPLORE_RATE</t>
        </is>
      </c>
    </row>
    <row r="4545">
      <c r="A4545" s="61" t="n">
        <v>41</v>
      </c>
      <c r="B4545" s="62" t="inlineStr">
        <is>
          <t xml:space="preserve">    target_p = 0.5 if explore else TARGET_SUCCESS</t>
        </is>
      </c>
    </row>
    <row r="4546">
      <c r="A4546" s="61" t="n">
        <v>42</v>
      </c>
      <c r="B4546" s="62" t="inlineStr">
        <is>
          <t xml:space="preserve">    target = target_puzzle_rating(rating.rating, target_p)</t>
        </is>
      </c>
    </row>
    <row r="4547">
      <c r="A4547" s="61" t="n">
        <v>43</v>
      </c>
      <c r="B4547" s="62" t="inlineStr">
        <is>
          <t xml:space="preserve">    pool = "assessment" if mode == "assessment" else "practice"</t>
        </is>
      </c>
    </row>
    <row r="4548">
      <c r="A4548" s="61" t="n">
        <v>44</v>
      </c>
      <c r="B4548" s="62" t="inlineStr">
        <is>
          <t xml:space="preserve">    seen = select(PracticeSession.puzzle_id).where(PracticeSession.owner_id == owner_id)</t>
        </is>
      </c>
    </row>
    <row r="4549">
      <c r="A4549" s="61" t="n">
        <v>45</v>
      </c>
      <c r="B4549" s="62" t="inlineStr">
        <is>
          <t xml:space="preserve">    for window in (75, 150, 300, 600, 1200):</t>
        </is>
      </c>
    </row>
    <row r="4550">
      <c r="A4550" s="61" t="n">
        <v>46</v>
      </c>
      <c r="B4550" s="62" t="inlineStr">
        <is>
          <t xml:space="preserve">        puzzle = db.scalar(</t>
        </is>
      </c>
    </row>
    <row r="4551">
      <c r="A4551" s="61" t="n">
        <v>47</v>
      </c>
      <c r="B4551" s="62" t="inlineStr">
        <is>
          <t xml:space="preserve">            select(Puzzle).where(Puzzle.pool == pool, Puzzle.concept == concept,</t>
        </is>
      </c>
    </row>
    <row r="4552">
      <c r="A4552" s="61" t="n">
        <v>48</v>
      </c>
      <c r="B4552" s="62" t="inlineStr">
        <is>
          <t xml:space="preserve">                                 Puzzle.rating.between(target - window, target + window),</t>
        </is>
      </c>
    </row>
    <row r="4553">
      <c r="A4553" s="61" t="n">
        <v>49</v>
      </c>
      <c r="B4553" s="62" t="inlineStr">
        <is>
          <t xml:space="preserve">                                 Puzzle.id.not_in(seen))</t>
        </is>
      </c>
    </row>
    <row r="4554">
      <c r="A4554" s="61" t="n">
        <v>50</v>
      </c>
      <c r="B4554" s="62" t="inlineStr">
        <is>
          <t xml:space="preserve">            .order_by(func.random()).limit(1))</t>
        </is>
      </c>
    </row>
    <row r="4555">
      <c r="A4555" s="61" t="n">
        <v>51</v>
      </c>
      <c r="B4555" s="62" t="inlineStr">
        <is>
          <t xml:space="preserve">        if puzzle is not None:</t>
        </is>
      </c>
    </row>
    <row r="4556">
      <c r="A4556" s="61" t="n">
        <v>52</v>
      </c>
      <c r="B4556" s="62" t="inlineStr">
        <is>
          <t xml:space="preserve">            exposures = db.scalar(select(func.count()).select_from(PracticeSession).where(</t>
        </is>
      </c>
    </row>
    <row r="4557">
      <c r="A4557" s="61" t="n">
        <v>53</v>
      </c>
      <c r="B4557" s="62" t="inlineStr">
        <is>
          <t xml:space="preserve">                PracticeSession.owner_id == owner_id, PracticeSession.concept == concept)) or 0</t>
        </is>
      </c>
    </row>
    <row r="4558">
      <c r="A4558" s="61" t="n">
        <v>54</v>
      </c>
      <c r="B4558" s="62" t="inlineStr">
        <is>
          <t xml:space="preserve">            reason = f"{'explore' if explore else 'target'}_p{int(target_p * 100)}_window{window}"</t>
        </is>
      </c>
    </row>
    <row r="4559">
      <c r="A4559" s="61" t="n">
        <v>55</v>
      </c>
      <c r="B4559" s="62" t="inlineStr">
        <is>
          <t xml:space="preserve">            return Selection(puzzle, rating.rating, expected_score(rating.rating, puzzle.rating), reason, exposures)</t>
        </is>
      </c>
    </row>
    <row r="4560">
      <c r="A4560" s="61" t="n">
        <v>56</v>
      </c>
      <c r="B4560" s="62" t="inlineStr">
        <is>
          <t xml:space="preserve">    raise ApiError(404, "NO_PUZZLE_AVAILABLE", "You have solved every available exercise for this idea.")</t>
        </is>
      </c>
    </row>
    <row r="4563">
      <c r="A4563" s="60" t="inlineStr">
        <is>
          <t>C70</t>
        </is>
      </c>
      <c r="B4563" s="60" t="inlineStr">
        <is>
          <t>services/backend/app/api/progress.py   ·   Phase P11   ·   Progress separated into practice, assessment and real games.</t>
        </is>
      </c>
    </row>
    <row r="4564">
      <c r="B4564" s="55" t="inlineStr">
        <is>
          <t>↑ back to Code Index</t>
        </is>
      </c>
    </row>
    <row r="4565">
      <c r="A4565" s="61" t="n">
        <v>1</v>
      </c>
      <c r="B4565" s="62" t="inlineStr">
        <is>
          <t>"""Progress that tells the truth: separate practice from real games, always show sample sizes."""</t>
        </is>
      </c>
    </row>
    <row r="4566">
      <c r="A4566" s="61" t="n">
        <v>2</v>
      </c>
      <c r="B4566" s="62" t="inlineStr">
        <is>
          <t>from datetime import datetime</t>
        </is>
      </c>
    </row>
    <row r="4567">
      <c r="A4567" s="61" t="n">
        <v>3</v>
      </c>
      <c r="B4567" s="62" t="n"/>
    </row>
    <row r="4568">
      <c r="A4568" s="61" t="n">
        <v>4</v>
      </c>
      <c r="B4568" s="62" t="inlineStr">
        <is>
          <t>from fastapi import APIRouter, Depends</t>
        </is>
      </c>
    </row>
    <row r="4569">
      <c r="A4569" s="61" t="n">
        <v>5</v>
      </c>
      <c r="B4569" s="62" t="inlineStr">
        <is>
          <t>from pydantic import BaseModel</t>
        </is>
      </c>
    </row>
    <row r="4570">
      <c r="A4570" s="61" t="n">
        <v>6</v>
      </c>
      <c r="B4570" s="62" t="inlineStr">
        <is>
          <t>from sqlalchemy import func, select</t>
        </is>
      </c>
    </row>
    <row r="4571">
      <c r="A4571" s="61" t="n">
        <v>7</v>
      </c>
      <c r="B4571" s="62" t="inlineStr">
        <is>
          <t>from sqlalchemy.orm import Session</t>
        </is>
      </c>
    </row>
    <row r="4572">
      <c r="A4572" s="61" t="n">
        <v>8</v>
      </c>
      <c r="B4572" s="62" t="n"/>
    </row>
    <row r="4573">
      <c r="A4573" s="61" t="n">
        <v>9</v>
      </c>
      <c r="B4573" s="62" t="inlineStr">
        <is>
          <t>from app.analysis.pipeline import PIPELINE_VERSION</t>
        </is>
      </c>
    </row>
    <row r="4574">
      <c r="A4574" s="61" t="n">
        <v>10</v>
      </c>
      <c r="B4574" s="62" t="inlineStr">
        <is>
          <t>from app.db import get_db</t>
        </is>
      </c>
    </row>
    <row r="4575">
      <c r="A4575" s="61" t="n">
        <v>11</v>
      </c>
      <c r="B4575" s="62" t="inlineStr">
        <is>
          <t>from app.learning.elo import is_provisional</t>
        </is>
      </c>
    </row>
    <row r="4576">
      <c r="A4576" s="61" t="n">
        <v>12</v>
      </c>
      <c r="B4576" s="62" t="inlineStr">
        <is>
          <t>from app.learning.selector import CONCEPTS</t>
        </is>
      </c>
    </row>
    <row r="4577">
      <c r="A4577" s="61" t="n">
        <v>13</v>
      </c>
      <c r="B4577" s="62" t="inlineStr">
        <is>
          <t>from app.models import AnalysisRun, ConceptRating, Game, PracticeSession, Puzzle, TacticalEvidence, Visitor</t>
        </is>
      </c>
    </row>
    <row r="4578">
      <c r="A4578" s="61" t="n">
        <v>14</v>
      </c>
      <c r="B4578" s="62" t="inlineStr">
        <is>
          <t>from app.security import current_visitor</t>
        </is>
      </c>
    </row>
    <row r="4579">
      <c r="A4579" s="61" t="n">
        <v>15</v>
      </c>
      <c r="B4579" s="62" t="n"/>
    </row>
    <row r="4580">
      <c r="A4580" s="61" t="n">
        <v>16</v>
      </c>
      <c r="B4580" s="62" t="inlineStr">
        <is>
          <t>router = APIRouter(prefix="/v1", tags=["progress"])</t>
        </is>
      </c>
    </row>
    <row r="4581">
      <c r="A4581" s="61" t="n">
        <v>17</v>
      </c>
      <c r="B4581" s="62" t="n"/>
    </row>
    <row r="4582">
      <c r="A4582" s="61" t="n">
        <v>18</v>
      </c>
      <c r="B4582" s="62" t="n"/>
    </row>
    <row r="4583">
      <c r="A4583" s="61" t="n">
        <v>19</v>
      </c>
      <c r="B4583" s="62" t="inlineStr">
        <is>
          <t>class PracticeStats(BaseModel):</t>
        </is>
      </c>
    </row>
    <row r="4584">
      <c r="A4584" s="61" t="n">
        <v>20</v>
      </c>
      <c r="B4584" s="62" t="inlineStr">
        <is>
          <t xml:space="preserve">    concept: str</t>
        </is>
      </c>
    </row>
    <row r="4585">
      <c r="A4585" s="61" t="n">
        <v>21</v>
      </c>
      <c r="B4585" s="62" t="inlineStr">
        <is>
          <t xml:space="preserve">    mode: str</t>
        </is>
      </c>
    </row>
    <row r="4586">
      <c r="A4586" s="61" t="n">
        <v>22</v>
      </c>
      <c r="B4586" s="62" t="inlineStr">
        <is>
          <t xml:space="preserve">    attempts: int</t>
        </is>
      </c>
    </row>
    <row r="4587">
      <c r="A4587" s="61" t="n">
        <v>23</v>
      </c>
      <c r="B4587" s="62" t="inlineStr">
        <is>
          <t xml:space="preserve">    first_try_unassisted: int</t>
        </is>
      </c>
    </row>
    <row r="4588">
      <c r="A4588" s="61" t="n">
        <v>24</v>
      </c>
      <c r="B4588" s="62" t="inlineStr">
        <is>
          <t xml:space="preserve">    rate: float | None</t>
        </is>
      </c>
    </row>
    <row r="4589">
      <c r="A4589" s="61" t="n">
        <v>25</v>
      </c>
      <c r="B4589" s="62" t="inlineStr">
        <is>
          <t xml:space="preserve">    small_sample: bool</t>
        </is>
      </c>
    </row>
    <row r="4590">
      <c r="A4590" s="61" t="n">
        <v>26</v>
      </c>
      <c r="B4590" s="62" t="inlineStr">
        <is>
          <t xml:space="preserve">    mean_puzzle_rating: float | None</t>
        </is>
      </c>
    </row>
    <row r="4591">
      <c r="A4591" s="61" t="n">
        <v>27</v>
      </c>
      <c r="B4591" s="62" t="inlineStr">
        <is>
          <t xml:space="preserve">    first_at: datetime | None</t>
        </is>
      </c>
    </row>
    <row r="4592">
      <c r="A4592" s="61" t="n">
        <v>28</v>
      </c>
      <c r="B4592" s="62" t="inlineStr">
        <is>
          <t xml:space="preserve">    last_at: datetime | None</t>
        </is>
      </c>
    </row>
    <row r="4593">
      <c r="A4593" s="61" t="n">
        <v>29</v>
      </c>
      <c r="B4593" s="62" t="n"/>
    </row>
    <row r="4594">
      <c r="A4594" s="61" t="n">
        <v>30</v>
      </c>
      <c r="B4594" s="62" t="n"/>
    </row>
    <row r="4595">
      <c r="A4595" s="61" t="n">
        <v>31</v>
      </c>
      <c r="B4595" s="62" t="inlineStr">
        <is>
          <t>class ConceptProgress(BaseModel):</t>
        </is>
      </c>
    </row>
    <row r="4596">
      <c r="A4596" s="61" t="n">
        <v>32</v>
      </c>
      <c r="B4596" s="62" t="inlineStr">
        <is>
          <t xml:space="preserve">    concept: str</t>
        </is>
      </c>
    </row>
    <row r="4597">
      <c r="A4597" s="61" t="n">
        <v>33</v>
      </c>
      <c r="B4597" s="62" t="inlineStr">
        <is>
          <t xml:space="preserve">    rating: float | None</t>
        </is>
      </c>
    </row>
    <row r="4598">
      <c r="A4598" s="61" t="n">
        <v>34</v>
      </c>
      <c r="B4598" s="62" t="inlineStr">
        <is>
          <t xml:space="preserve">    rating_attempts: int</t>
        </is>
      </c>
    </row>
    <row r="4599">
      <c r="A4599" s="61" t="n">
        <v>35</v>
      </c>
      <c r="B4599" s="62" t="inlineStr">
        <is>
          <t xml:space="preserve">    provisional: bool</t>
        </is>
      </c>
    </row>
    <row r="4600">
      <c r="A4600" s="61" t="n">
        <v>36</v>
      </c>
      <c r="B4600" s="62" t="inlineStr">
        <is>
          <t xml:space="preserve">    practice: PracticeStats</t>
        </is>
      </c>
    </row>
    <row r="4601">
      <c r="A4601" s="61" t="n">
        <v>37</v>
      </c>
      <c r="B4601" s="62" t="inlineStr">
        <is>
          <t xml:space="preserve">    assessment: PracticeStats</t>
        </is>
      </c>
    </row>
    <row r="4602">
      <c r="A4602" s="61" t="n">
        <v>38</v>
      </c>
      <c r="B4602" s="62" t="inlineStr">
        <is>
          <t xml:space="preserve">    games_analyzed: int</t>
        </is>
      </c>
    </row>
    <row r="4603">
      <c r="A4603" s="61" t="n">
        <v>39</v>
      </c>
      <c r="B4603" s="62" t="inlineStr">
        <is>
          <t xml:space="preserve">    missed_in_games: int</t>
        </is>
      </c>
    </row>
    <row r="4604">
      <c r="A4604" s="61" t="n">
        <v>40</v>
      </c>
      <c r="B4604" s="62" t="inlineStr">
        <is>
          <t xml:space="preserve">    missed_per_10_games: float | None</t>
        </is>
      </c>
    </row>
    <row r="4605">
      <c r="A4605" s="61" t="n">
        <v>41</v>
      </c>
      <c r="B4605" s="62" t="n"/>
    </row>
    <row r="4606">
      <c r="A4606" s="61" t="n">
        <v>42</v>
      </c>
      <c r="B4606" s="62" t="n"/>
    </row>
    <row r="4607">
      <c r="A4607" s="61" t="n">
        <v>43</v>
      </c>
      <c r="B4607" s="62" t="inlineStr">
        <is>
          <t>class ProgressOut(BaseModel):</t>
        </is>
      </c>
    </row>
    <row r="4608">
      <c r="A4608" s="61" t="n">
        <v>44</v>
      </c>
      <c r="B4608" s="62" t="inlineStr">
        <is>
          <t xml:space="preserve">    concepts: list[ConceptProgress]</t>
        </is>
      </c>
    </row>
    <row r="4609">
      <c r="A4609" s="61" t="n">
        <v>45</v>
      </c>
      <c r="B4609" s="62" t="inlineStr">
        <is>
          <t xml:space="preserve">    note: str</t>
        </is>
      </c>
    </row>
    <row r="4610">
      <c r="A4610" s="61" t="n">
        <v>46</v>
      </c>
      <c r="B4610" s="62" t="n"/>
    </row>
    <row r="4611">
      <c r="A4611" s="61" t="n">
        <v>47</v>
      </c>
      <c r="B4611" s="62" t="n"/>
    </row>
    <row r="4612">
      <c r="A4612" s="61" t="n">
        <v>48</v>
      </c>
      <c r="B4612" s="62" t="inlineStr">
        <is>
          <t>def _stats(db: Session, visitor: Visitor, concept: str, mode: str) -&gt; PracticeStats:</t>
        </is>
      </c>
    </row>
    <row r="4613">
      <c r="A4613" s="61" t="n">
        <v>49</v>
      </c>
      <c r="B4613" s="62" t="inlineStr">
        <is>
          <t xml:space="preserve">    row = db.execute(</t>
        </is>
      </c>
    </row>
    <row r="4614">
      <c r="A4614" s="61" t="n">
        <v>50</v>
      </c>
      <c r="B4614" s="62" t="inlineStr">
        <is>
          <t xml:space="preserve">        select(func.count(), func.count().filter(PracticeSession.first_try_success.is_(True)),</t>
        </is>
      </c>
    </row>
    <row r="4615">
      <c r="A4615" s="61" t="n">
        <v>51</v>
      </c>
      <c r="B4615" s="62" t="inlineStr">
        <is>
          <t xml:space="preserve">               func.avg(Puzzle.rating), func.min(PracticeSession.finished_at), func.max(PracticeSession.finished_at))</t>
        </is>
      </c>
    </row>
    <row r="4616">
      <c r="A4616" s="61" t="n">
        <v>52</v>
      </c>
      <c r="B4616" s="62" t="inlineStr">
        <is>
          <t xml:space="preserve">        .select_from(PracticeSession).join(Puzzle, Puzzle.id == PracticeSession.puzzle_id)</t>
        </is>
      </c>
    </row>
    <row r="4617">
      <c r="A4617" s="61" t="n">
        <v>53</v>
      </c>
      <c r="B4617" s="62" t="inlineStr">
        <is>
          <t xml:space="preserve">        .where(PracticeSession.owner_id == visitor.id, PracticeSession.concept == concept,</t>
        </is>
      </c>
    </row>
    <row r="4618">
      <c r="A4618" s="61" t="n">
        <v>54</v>
      </c>
      <c r="B4618" s="62" t="inlineStr">
        <is>
          <t xml:space="preserve">               PracticeSession.mode == mode, PracticeSession.state.in_(("solved", "failed")))).one()</t>
        </is>
      </c>
    </row>
    <row r="4619">
      <c r="A4619" s="61" t="n">
        <v>55</v>
      </c>
      <c r="B4619" s="62" t="inlineStr">
        <is>
          <t xml:space="preserve">    attempts, good, mean_rating, first, last = row</t>
        </is>
      </c>
    </row>
    <row r="4620">
      <c r="A4620" s="61" t="n">
        <v>56</v>
      </c>
      <c r="B4620" s="62" t="inlineStr">
        <is>
          <t xml:space="preserve">    return PracticeStats(concept=concept, mode=mode, attempts=attempts, first_try_unassisted=good,</t>
        </is>
      </c>
    </row>
    <row r="4621">
      <c r="A4621" s="61" t="n">
        <v>57</v>
      </c>
      <c r="B4621" s="62" t="inlineStr">
        <is>
          <t xml:space="preserve">                         rate=(good / attempts) if attempts else None, small_sample=attempts &lt; 20,</t>
        </is>
      </c>
    </row>
    <row r="4622">
      <c r="A4622" s="61" t="n">
        <v>58</v>
      </c>
      <c r="B4622" s="62" t="inlineStr">
        <is>
          <t xml:space="preserve">                         mean_puzzle_rating=float(mean_rating) if mean_rating is not None else None,</t>
        </is>
      </c>
    </row>
    <row r="4623">
      <c r="A4623" s="61" t="n">
        <v>59</v>
      </c>
      <c r="B4623" s="62" t="inlineStr">
        <is>
          <t xml:space="preserve">                         first_at=first, last_at=last)</t>
        </is>
      </c>
    </row>
    <row r="4624">
      <c r="A4624" s="61" t="n">
        <v>60</v>
      </c>
      <c r="B4624" s="62" t="n"/>
    </row>
    <row r="4625">
      <c r="A4625" s="61" t="n">
        <v>61</v>
      </c>
      <c r="B4625" s="62" t="n"/>
    </row>
    <row r="4626">
      <c r="A4626" s="61" t="n">
        <v>62</v>
      </c>
      <c r="B4626" s="62" t="inlineStr">
        <is>
          <t>@router.get("/progress", response_model=ProgressOut)</t>
        </is>
      </c>
    </row>
    <row r="4627">
      <c r="A4627" s="61" t="n">
        <v>63</v>
      </c>
      <c r="B4627" s="62" t="inlineStr">
        <is>
          <t>def progress(visitor: Visitor = Depends(current_visitor), db: Session = Depends(get_db)) -&gt; ProgressOut:</t>
        </is>
      </c>
    </row>
    <row r="4628">
      <c r="A4628" s="61" t="n">
        <v>64</v>
      </c>
      <c r="B4628" s="62" t="inlineStr">
        <is>
          <t xml:space="preserve">    games_analyzed = db.scalar(select(func.count()).select_from(AnalysisRun).join(Game, Game.id == AnalysisRun.game_id)</t>
        </is>
      </c>
    </row>
    <row r="4629">
      <c r="A4629" s="61" t="n">
        <v>65</v>
      </c>
      <c r="B4629" s="62" t="inlineStr">
        <is>
          <t xml:space="preserve">                               .where(Game.owner_id == visitor.id, AnalysisRun.pipeline_version == PIPELINE_VERSION,</t>
        </is>
      </c>
    </row>
    <row r="4630">
      <c r="A4630" s="61" t="n">
        <v>66</v>
      </c>
      <c r="B4630" s="62" t="inlineStr">
        <is>
          <t xml:space="preserve">                                      AnalysisRun.state.in_(("succeeded", "partial")))) or 0</t>
        </is>
      </c>
    </row>
    <row r="4631">
      <c r="A4631" s="61" t="n">
        <v>67</v>
      </c>
      <c r="B4631" s="62" t="inlineStr">
        <is>
          <t xml:space="preserve">    out = []</t>
        </is>
      </c>
    </row>
    <row r="4632">
      <c r="A4632" s="61" t="n">
        <v>68</v>
      </c>
      <c r="B4632" s="62" t="inlineStr">
        <is>
          <t xml:space="preserve">    for concept in CONCEPTS:</t>
        </is>
      </c>
    </row>
    <row r="4633">
      <c r="A4633" s="61" t="n">
        <v>69</v>
      </c>
      <c r="B4633" s="62" t="inlineStr">
        <is>
          <t xml:space="preserve">        rating = db.get(ConceptRating, (visitor.id, concept))</t>
        </is>
      </c>
    </row>
    <row r="4634">
      <c r="A4634" s="61" t="n">
        <v>70</v>
      </c>
      <c r="B4634" s="62" t="inlineStr">
        <is>
          <t xml:space="preserve">        missed = db.scalar(select(func.count()).select_from(TacticalEvidence).join(Game, Game.id == TacticalEvidence.game_id)</t>
        </is>
      </c>
    </row>
    <row r="4635">
      <c r="A4635" s="61" t="n">
        <v>71</v>
      </c>
      <c r="B4635" s="62" t="inlineStr">
        <is>
          <t xml:space="preserve">                           .where(Game.owner_id == visitor.id, TacticalEvidence.concept == concept)) or 0</t>
        </is>
      </c>
    </row>
    <row r="4636">
      <c r="A4636" s="61" t="n">
        <v>72</v>
      </c>
      <c r="B4636" s="62" t="inlineStr">
        <is>
          <t xml:space="preserve">        out.append(ConceptProgress(</t>
        </is>
      </c>
    </row>
    <row r="4637">
      <c r="A4637" s="61" t="n">
        <v>73</v>
      </c>
      <c r="B4637" s="62" t="inlineStr">
        <is>
          <t xml:space="preserve">            concept=concept, rating=rating.rating if rating else None,</t>
        </is>
      </c>
    </row>
    <row r="4638">
      <c r="A4638" s="61" t="n">
        <v>74</v>
      </c>
      <c r="B4638" s="62" t="inlineStr">
        <is>
          <t xml:space="preserve">            rating_attempts=rating.attempts if rating else 0,</t>
        </is>
      </c>
    </row>
    <row r="4639">
      <c r="A4639" s="61" t="n">
        <v>75</v>
      </c>
      <c r="B4639" s="62" t="inlineStr">
        <is>
          <t xml:space="preserve">            provisional=is_provisional(rating.attempts if rating else 0),</t>
        </is>
      </c>
    </row>
    <row r="4640">
      <c r="A4640" s="61" t="n">
        <v>76</v>
      </c>
      <c r="B4640" s="62" t="inlineStr">
        <is>
          <t xml:space="preserve">            practice=_stats(db, visitor, concept, "practice"), assessment=_stats(db, visitor, concept, "assessment"),</t>
        </is>
      </c>
    </row>
    <row r="4641">
      <c r="A4641" s="61" t="n">
        <v>77</v>
      </c>
      <c r="B4641" s="62" t="inlineStr">
        <is>
          <t xml:space="preserve">            games_analyzed=games_analyzed, missed_in_games=missed,</t>
        </is>
      </c>
    </row>
    <row r="4642">
      <c r="A4642" s="61" t="n">
        <v>78</v>
      </c>
      <c r="B4642" s="62" t="inlineStr">
        <is>
          <t xml:space="preserve">            missed_per_10_games=(10 * missed / games_analyzed) if games_analyzed else None))</t>
        </is>
      </c>
    </row>
    <row r="4643">
      <c r="A4643" s="61" t="n">
        <v>79</v>
      </c>
      <c r="B4643" s="62" t="inlineStr">
        <is>
          <t xml:space="preserve">    return ProgressOut(concepts=out, note=(</t>
        </is>
      </c>
    </row>
    <row r="4644">
      <c r="A4644" s="61" t="n">
        <v>80</v>
      </c>
      <c r="B4644" s="62" t="inlineStr">
        <is>
          <t xml:space="preserve">        "Practice ratings are a provisional local scale, not your playing Elo or Lichess rating. "</t>
        </is>
      </c>
    </row>
    <row r="4645">
      <c r="A4645" s="61" t="n">
        <v>81</v>
      </c>
      <c r="B4645" s="62" t="inlineStr">
        <is>
          <t xml:space="preserve">        "Missed-in-games counts are detections at our analysis budget, not a complete census."))</t>
        </is>
      </c>
    </row>
    <row r="4648">
      <c r="A4648" s="60" t="inlineStr">
        <is>
          <t>C71</t>
        </is>
      </c>
      <c r="B4648" s="60" t="inlineStr">
        <is>
          <t>apps/web/src/pages/ProgressPage.tsx   ·   Phase P11   ·   Honest progress view with sample-size warnings.</t>
        </is>
      </c>
    </row>
    <row r="4649">
      <c r="B4649" s="55" t="inlineStr">
        <is>
          <t>↑ back to Code Index</t>
        </is>
      </c>
    </row>
    <row r="4650">
      <c r="A4650" s="61" t="n">
        <v>1</v>
      </c>
      <c r="B4650" s="62" t="inlineStr">
        <is>
          <t>import { useEffect, useState } from "react";</t>
        </is>
      </c>
    </row>
    <row r="4651">
      <c r="A4651" s="61" t="n">
        <v>2</v>
      </c>
      <c r="B4651" s="62" t="inlineStr">
        <is>
          <t>import { ApiError, api } from "../api/client";</t>
        </is>
      </c>
    </row>
    <row r="4652">
      <c r="A4652" s="61" t="n">
        <v>3</v>
      </c>
      <c r="B4652" s="62" t="inlineStr">
        <is>
          <t>import type { Progress } from "../api/types";</t>
        </is>
      </c>
    </row>
    <row r="4653">
      <c r="A4653" s="61" t="n">
        <v>4</v>
      </c>
      <c r="B4653" s="62" t="n"/>
    </row>
    <row r="4654">
      <c r="A4654" s="61" t="n">
        <v>5</v>
      </c>
      <c r="B4654" s="62" t="inlineStr">
        <is>
          <t>const pct = (v: number | null) =&gt; (v === null ? "–" : `${Math.round(v * 100)}%`);</t>
        </is>
      </c>
    </row>
    <row r="4655">
      <c r="A4655" s="61" t="n">
        <v>6</v>
      </c>
      <c r="B4655" s="62" t="n"/>
    </row>
    <row r="4656">
      <c r="A4656" s="61" t="n">
        <v>7</v>
      </c>
      <c r="B4656" s="62" t="inlineStr">
        <is>
          <t>export function ProgressPage() {</t>
        </is>
      </c>
    </row>
    <row r="4657">
      <c r="A4657" s="61" t="n">
        <v>8</v>
      </c>
      <c r="B4657" s="62" t="inlineStr">
        <is>
          <t xml:space="preserve">  const [data, setData] = useState&lt;Progress | null&gt;(null);</t>
        </is>
      </c>
    </row>
    <row r="4658">
      <c r="A4658" s="61" t="n">
        <v>9</v>
      </c>
      <c r="B4658" s="62" t="inlineStr">
        <is>
          <t xml:space="preserve">  const [error, setError] = useState&lt;string | null&gt;(null);</t>
        </is>
      </c>
    </row>
    <row r="4659">
      <c r="A4659" s="61" t="n">
        <v>10</v>
      </c>
      <c r="B4659" s="62" t="inlineStr">
        <is>
          <t xml:space="preserve">  useEffect(() =&gt; {</t>
        </is>
      </c>
    </row>
    <row r="4660">
      <c r="A4660" s="61" t="n">
        <v>11</v>
      </c>
      <c r="B4660" s="62" t="inlineStr">
        <is>
          <t xml:space="preserve">    api&lt;Progress&gt;("/v1/progress").then(setData).catch((e) =&gt; setError(e instanceof ApiError ? e.message : "Error"));</t>
        </is>
      </c>
    </row>
    <row r="4661">
      <c r="A4661" s="61" t="n">
        <v>12</v>
      </c>
      <c r="B4661" s="62" t="inlineStr">
        <is>
          <t xml:space="preserve">  }, []);</t>
        </is>
      </c>
    </row>
    <row r="4662">
      <c r="A4662" s="61" t="n">
        <v>13</v>
      </c>
      <c r="B4662" s="62" t="inlineStr">
        <is>
          <t xml:space="preserve">  if (error) return &lt;p className="error" role="alert"&gt;{error}&lt;/p&gt;;</t>
        </is>
      </c>
    </row>
    <row r="4663">
      <c r="A4663" s="61" t="n">
        <v>14</v>
      </c>
      <c r="B4663" s="62" t="inlineStr">
        <is>
          <t xml:space="preserve">  if (!data) return &lt;p&gt;Loading…&lt;/p&gt;;</t>
        </is>
      </c>
    </row>
    <row r="4664">
      <c r="A4664" s="61" t="n">
        <v>15</v>
      </c>
      <c r="B4664" s="62" t="inlineStr">
        <is>
          <t xml:space="preserve">  return (</t>
        </is>
      </c>
    </row>
    <row r="4665">
      <c r="A4665" s="61" t="n">
        <v>16</v>
      </c>
      <c r="B4665" s="62" t="inlineStr">
        <is>
          <t xml:space="preserve">    &lt;section&gt;</t>
        </is>
      </c>
    </row>
    <row r="4666">
      <c r="A4666" s="61" t="n">
        <v>17</v>
      </c>
      <c r="B4666" s="62" t="inlineStr">
        <is>
          <t xml:space="preserve">      &lt;h1&gt;Your progress&lt;/h1&gt;</t>
        </is>
      </c>
    </row>
    <row r="4667">
      <c r="A4667" s="61" t="n">
        <v>18</v>
      </c>
      <c r="B4667" s="62" t="inlineStr">
        <is>
          <t xml:space="preserve">      &lt;p className="muted"&gt;{data.note}&lt;/p&gt;</t>
        </is>
      </c>
    </row>
    <row r="4668">
      <c r="A4668" s="61" t="n">
        <v>19</v>
      </c>
      <c r="B4668" s="62" t="inlineStr">
        <is>
          <t xml:space="preserve">      {data.concepts.map((c) =&gt; (</t>
        </is>
      </c>
    </row>
    <row r="4669">
      <c r="A4669" s="61" t="n">
        <v>20</v>
      </c>
      <c r="B4669" s="62" t="inlineStr">
        <is>
          <t xml:space="preserve">        &lt;div key={c.concept} className="concept-card"&gt;</t>
        </is>
      </c>
    </row>
    <row r="4670">
      <c r="A4670" s="61" t="n">
        <v>21</v>
      </c>
      <c r="B4670" s="62" t="inlineStr">
        <is>
          <t xml:space="preserve">          &lt;h2&gt;{c.concept.replace("_", " ")}&lt;/h2&gt;</t>
        </is>
      </c>
    </row>
    <row r="4671">
      <c r="A4671" s="61" t="n">
        <v>22</v>
      </c>
      <c r="B4671" s="62" t="inlineStr">
        <is>
          <t xml:space="preserve">          &lt;p&gt;</t>
        </is>
      </c>
    </row>
    <row r="4672">
      <c r="A4672" s="61" t="n">
        <v>23</v>
      </c>
      <c r="B4672" s="62" t="inlineStr">
        <is>
          <t xml:space="preserve">            Practice rating: &lt;strong&gt;{c.rating === null ? "not rated yet" : Math.round(c.rating)}&lt;/strong&gt;</t>
        </is>
      </c>
    </row>
    <row r="4673">
      <c r="A4673" s="61" t="n">
        <v>24</v>
      </c>
      <c r="B4673" s="62" t="inlineStr">
        <is>
          <t xml:space="preserve">            {c.provisional &amp;&amp; " (provisional)"} · based on {c.rating_attempts} exercises</t>
        </is>
      </c>
    </row>
    <row r="4674">
      <c r="A4674" s="61" t="n">
        <v>25</v>
      </c>
      <c r="B4674" s="62" t="inlineStr">
        <is>
          <t xml:space="preserve">          &lt;/p&gt;</t>
        </is>
      </c>
    </row>
    <row r="4675">
      <c r="A4675" s="61" t="n">
        <v>26</v>
      </c>
      <c r="B4675" s="62" t="inlineStr">
        <is>
          <t xml:space="preserve">          &lt;table&gt;</t>
        </is>
      </c>
    </row>
    <row r="4676">
      <c r="A4676" s="61" t="n">
        <v>27</v>
      </c>
      <c r="B4676" s="62" t="inlineStr">
        <is>
          <t xml:space="preserve">            &lt;thead&gt;&lt;tr&gt;&lt;th /&gt;&lt;th&gt;Attempts&lt;/th&gt;&lt;th&gt;First try, no hints&lt;/th&gt;&lt;th&gt;Avg. difficulty&lt;/th&gt;&lt;/tr&gt;&lt;/thead&gt;</t>
        </is>
      </c>
    </row>
    <row r="4677">
      <c r="A4677" s="61" t="n">
        <v>28</v>
      </c>
      <c r="B4677" s="62" t="inlineStr">
        <is>
          <t xml:space="preserve">            &lt;tbody&gt;</t>
        </is>
      </c>
    </row>
    <row r="4678">
      <c r="A4678" s="61" t="n">
        <v>29</v>
      </c>
      <c r="B4678" s="62" t="inlineStr">
        <is>
          <t xml:space="preserve">              &lt;tr&gt;&lt;th scope="row"&gt;Labelled practice&lt;/th&gt;&lt;td&gt;{c.practice.attempts}&lt;/td&gt;</t>
        </is>
      </c>
    </row>
    <row r="4679">
      <c r="A4679" s="61" t="n">
        <v>30</v>
      </c>
      <c r="B4679" s="62" t="inlineStr">
        <is>
          <t xml:space="preserve">                &lt;td&gt;{pct(c.practice.rate)}{c.practice.small_sample &amp;&amp; " · small sample"}&lt;/td&gt;</t>
        </is>
      </c>
    </row>
    <row r="4680">
      <c r="A4680" s="61" t="n">
        <v>31</v>
      </c>
      <c r="B4680" s="62" t="inlineStr">
        <is>
          <t xml:space="preserve">                &lt;td&gt;{c.practice.mean_puzzle_rating ? Math.round(c.practice.mean_puzzle_rating) : "–"}&lt;/td&gt;&lt;/tr&gt;</t>
        </is>
      </c>
    </row>
    <row r="4681">
      <c r="A4681" s="61" t="n">
        <v>32</v>
      </c>
      <c r="B4681" s="62" t="inlineStr">
        <is>
          <t xml:space="preserve">              &lt;tr&gt;&lt;th scope="row"&gt;Blind assessment&lt;/th&gt;&lt;td&gt;{c.assessment.attempts}&lt;/td&gt;</t>
        </is>
      </c>
    </row>
    <row r="4682">
      <c r="A4682" s="61" t="n">
        <v>33</v>
      </c>
      <c r="B4682" s="62" t="inlineStr">
        <is>
          <t xml:space="preserve">                &lt;td&gt;{pct(c.assessment.rate)}{c.assessment.small_sample &amp;&amp; " · small sample"}&lt;/td&gt;</t>
        </is>
      </c>
    </row>
    <row r="4683">
      <c r="A4683" s="61" t="n">
        <v>34</v>
      </c>
      <c r="B4683" s="62" t="inlineStr">
        <is>
          <t xml:space="preserve">                &lt;td&gt;{c.assessment.mean_puzzle_rating ? Math.round(c.assessment.mean_puzzle_rating) : "–"}&lt;/td&gt;&lt;/tr&gt;</t>
        </is>
      </c>
    </row>
    <row r="4684">
      <c r="A4684" s="61" t="n">
        <v>35</v>
      </c>
      <c r="B4684" s="62" t="inlineStr">
        <is>
          <t xml:space="preserve">            &lt;/tbody&gt;</t>
        </is>
      </c>
    </row>
    <row r="4685">
      <c r="A4685" s="61" t="n">
        <v>36</v>
      </c>
      <c r="B4685" s="62" t="inlineStr">
        <is>
          <t xml:space="preserve">          &lt;/table&gt;</t>
        </is>
      </c>
    </row>
    <row r="4686">
      <c r="A4686" s="61" t="n">
        <v>37</v>
      </c>
      <c r="B4686" s="62" t="inlineStr">
        <is>
          <t xml:space="preserve">          &lt;p&gt;</t>
        </is>
      </c>
    </row>
    <row r="4687">
      <c r="A4687" s="61" t="n">
        <v>38</v>
      </c>
      <c r="B4687" s="62" t="inlineStr">
        <is>
          <t xml:space="preserve">            In your real games: {c.missed_in_games} missed in {c.games_analyzed} analysed games</t>
        </is>
      </c>
    </row>
    <row r="4688">
      <c r="A4688" s="61" t="n">
        <v>39</v>
      </c>
      <c r="B4688" s="62" t="inlineStr">
        <is>
          <t xml:space="preserve">            {c.missed_per_10_games !== null &amp;&amp; ` (${c.missed_per_10_games.toFixed(1)} per 10 games)`}.</t>
        </is>
      </c>
    </row>
    <row r="4689">
      <c r="A4689" s="61" t="n">
        <v>40</v>
      </c>
      <c r="B4689" s="62" t="inlineStr">
        <is>
          <t xml:space="preserve">          &lt;/p&gt;</t>
        </is>
      </c>
    </row>
    <row r="4690">
      <c r="A4690" s="61" t="n">
        <v>41</v>
      </c>
      <c r="B4690" s="62" t="inlineStr">
        <is>
          <t xml:space="preserve">        &lt;/div&gt;</t>
        </is>
      </c>
    </row>
    <row r="4691">
      <c r="A4691" s="61" t="n">
        <v>42</v>
      </c>
      <c r="B4691" s="62" t="inlineStr">
        <is>
          <t xml:space="preserve">      ))}</t>
        </is>
      </c>
    </row>
    <row r="4692">
      <c r="A4692" s="61" t="n">
        <v>43</v>
      </c>
      <c r="B4692" s="62" t="inlineStr">
        <is>
          <t xml:space="preserve">    &lt;/section&gt;</t>
        </is>
      </c>
    </row>
    <row r="4693">
      <c r="A4693" s="61" t="n">
        <v>44</v>
      </c>
      <c r="B4693" s="62" t="inlineStr">
        <is>
          <t xml:space="preserve">  );</t>
        </is>
      </c>
    </row>
    <row r="4694">
      <c r="A4694" s="61" t="n">
        <v>45</v>
      </c>
      <c r="B4694" s="62" t="inlineStr">
        <is>
          <t>}</t>
        </is>
      </c>
    </row>
    <row r="4697">
      <c r="A4697" s="60" t="inlineStr">
        <is>
          <t>C72</t>
        </is>
      </c>
      <c r="B4697" s="60" t="inlineStr">
        <is>
          <t>services/backend/tests/test_learning_and_pgn.py   ·   Phase P11   ·   Elo, template label and PGN tests.</t>
        </is>
      </c>
    </row>
    <row r="4698">
      <c r="B4698" s="55" t="inlineStr">
        <is>
          <t>↑ back to Code Index</t>
        </is>
      </c>
    </row>
    <row r="4699">
      <c r="A4699" s="61" t="n">
        <v>1</v>
      </c>
      <c r="B4699" s="62" t="inlineStr">
        <is>
          <t>import math</t>
        </is>
      </c>
    </row>
    <row r="4700">
      <c r="A4700" s="61" t="n">
        <v>2</v>
      </c>
      <c r="B4700" s="62" t="n"/>
    </row>
    <row r="4701">
      <c r="A4701" s="61" t="n">
        <v>3</v>
      </c>
      <c r="B4701" s="62" t="inlineStr">
        <is>
          <t>import pytest</t>
        </is>
      </c>
    </row>
    <row r="4702">
      <c r="A4702" s="61" t="n">
        <v>4</v>
      </c>
      <c r="B4702" s="62" t="n"/>
    </row>
    <row r="4703">
      <c r="A4703" s="61" t="n">
        <v>5</v>
      </c>
      <c r="B4703" s="62" t="inlineStr">
        <is>
          <t>from app.domain.pgn import PgnError, iter_games, parse_single, player_color_for</t>
        </is>
      </c>
    </row>
    <row r="4704">
      <c r="A4704" s="61" t="n">
        <v>6</v>
      </c>
      <c r="B4704" s="62" t="inlineStr">
        <is>
          <t>from app.explain.templates import move_label, move_phrase</t>
        </is>
      </c>
    </row>
    <row r="4705">
      <c r="A4705" s="61" t="n">
        <v>7</v>
      </c>
      <c r="B4705" s="62" t="inlineStr">
        <is>
          <t>from app.learning.elo import expected_score, target_puzzle_rating, updated_rating</t>
        </is>
      </c>
    </row>
    <row r="4706">
      <c r="A4706" s="61" t="n">
        <v>8</v>
      </c>
      <c r="B4706" s="62" t="n"/>
    </row>
    <row r="4707">
      <c r="A4707" s="61" t="n">
        <v>9</v>
      </c>
      <c r="B4707" s="62" t="n"/>
    </row>
    <row r="4708">
      <c r="A4708" s="61" t="n">
        <v>10</v>
      </c>
      <c r="B4708" s="62" t="inlineStr">
        <is>
          <t>def test_equal_ratings_mean_fifty_percent():</t>
        </is>
      </c>
    </row>
    <row r="4709">
      <c r="A4709" s="61" t="n">
        <v>11</v>
      </c>
      <c r="B4709" s="62" t="inlineStr">
        <is>
          <t xml:space="preserve">    assert expected_score(1500, 1500) == pytest.approx(0.5)</t>
        </is>
      </c>
    </row>
    <row r="4710">
      <c r="A4710" s="61" t="n">
        <v>12</v>
      </c>
      <c r="B4710" s="62" t="n"/>
    </row>
    <row r="4711">
      <c r="A4711" s="61" t="n">
        <v>13</v>
      </c>
      <c r="B4711" s="62" t="n"/>
    </row>
    <row r="4712">
      <c r="A4712" s="61" t="n">
        <v>14</v>
      </c>
      <c r="B4712" s="62" t="inlineStr">
        <is>
          <t>def test_400_points_is_ten_to_one():</t>
        </is>
      </c>
    </row>
    <row r="4713">
      <c r="A4713" s="61" t="n">
        <v>15</v>
      </c>
      <c r="B4713" s="62" t="inlineStr">
        <is>
          <t xml:space="preserve">    assert expected_score(1900, 1500) == pytest.approx(10 / 11)</t>
        </is>
      </c>
    </row>
    <row r="4714">
      <c r="A4714" s="61" t="n">
        <v>16</v>
      </c>
      <c r="B4714" s="62" t="n"/>
    </row>
    <row r="4715">
      <c r="A4715" s="61" t="n">
        <v>17</v>
      </c>
      <c r="B4715" s="62" t="n"/>
    </row>
    <row r="4716">
      <c r="A4716" s="61" t="n">
        <v>18</v>
      </c>
      <c r="B4716" s="62" t="inlineStr">
        <is>
          <t>def test_target_rating_inverts_expected_score():</t>
        </is>
      </c>
    </row>
    <row r="4717">
      <c r="A4717" s="61" t="n">
        <v>19</v>
      </c>
      <c r="B4717" s="62" t="inlineStr">
        <is>
          <t xml:space="preserve">    puzzle = target_puzzle_rating(1500, 0.7)</t>
        </is>
      </c>
    </row>
    <row r="4718">
      <c r="A4718" s="61" t="n">
        <v>20</v>
      </c>
      <c r="B4718" s="62" t="inlineStr">
        <is>
          <t xml:space="preserve">    assert expected_score(1500, puzzle) == pytest.approx(0.7)</t>
        </is>
      </c>
    </row>
    <row r="4719">
      <c r="A4719" s="61" t="n">
        <v>21</v>
      </c>
      <c r="B4719" s="62" t="inlineStr">
        <is>
          <t xml:space="preserve">    assert puzzle &lt; 1500  # 70% success means a slightly easier puzzle</t>
        </is>
      </c>
    </row>
    <row r="4720">
      <c r="A4720" s="61" t="n">
        <v>22</v>
      </c>
      <c r="B4720" s="62" t="n"/>
    </row>
    <row r="4721">
      <c r="A4721" s="61" t="n">
        <v>23</v>
      </c>
      <c r="B4721" s="62" t="n"/>
    </row>
    <row r="4722">
      <c r="A4722" s="61" t="n">
        <v>24</v>
      </c>
      <c r="B4722" s="62" t="inlineStr">
        <is>
          <t>def test_success_raises_failure_lowers():</t>
        </is>
      </c>
    </row>
    <row r="4723">
      <c r="A4723" s="61" t="n">
        <v>25</v>
      </c>
      <c r="B4723" s="62" t="inlineStr">
        <is>
          <t xml:space="preserve">    assert updated_rating(1500, 0, 1500, True) == pytest.approx(1520)</t>
        </is>
      </c>
    </row>
    <row r="4724">
      <c r="A4724" s="61" t="n">
        <v>26</v>
      </c>
      <c r="B4724" s="62" t="inlineStr">
        <is>
          <t xml:space="preserve">    assert updated_rating(1500, 0, 1500, False) == pytest.approx(1480)</t>
        </is>
      </c>
    </row>
    <row r="4725">
      <c r="A4725" s="61" t="n">
        <v>27</v>
      </c>
      <c r="B4725" s="62" t="inlineStr">
        <is>
          <t xml:space="preserve">    assert updated_rating(1500, 50, 1500, True) == pytest.approx(1510)  # smaller K later</t>
        </is>
      </c>
    </row>
    <row r="4726">
      <c r="A4726" s="61" t="n">
        <v>28</v>
      </c>
      <c r="B4726" s="62" t="n"/>
    </row>
    <row r="4727">
      <c r="A4727" s="61" t="n">
        <v>29</v>
      </c>
      <c r="B4727" s="62" t="n"/>
    </row>
    <row r="4728">
      <c r="A4728" s="61" t="n">
        <v>30</v>
      </c>
      <c r="B4728" s="62" t="inlineStr">
        <is>
          <t>def test_move_labels():</t>
        </is>
      </c>
    </row>
    <row r="4729">
      <c r="A4729" s="61" t="n">
        <v>31</v>
      </c>
      <c r="B4729" s="62" t="inlineStr">
        <is>
          <t xml:space="preserve">    assert [move_label(p) for p in range(4)] == ["1.", "1...", "2.", "2..."]</t>
        </is>
      </c>
    </row>
    <row r="4730">
      <c r="A4730" s="61" t="n">
        <v>32</v>
      </c>
      <c r="B4730" s="62" t="inlineStr">
        <is>
          <t xml:space="preserve">    assert move_phrase(35) == "move 18 (Black)"</t>
        </is>
      </c>
    </row>
    <row r="4731">
      <c r="A4731" s="61" t="n">
        <v>33</v>
      </c>
      <c r="B4731" s="62" t="n"/>
    </row>
    <row r="4732">
      <c r="A4732" s="61" t="n">
        <v>34</v>
      </c>
      <c r="B4732" s="62" t="n"/>
    </row>
    <row r="4733">
      <c r="A4733" s="61" t="n">
        <v>35</v>
      </c>
      <c r="B4733" s="62" t="inlineStr">
        <is>
          <t>GOOD = '[White "alice"]\n[Black "bob"]\n[Result "1-0"]\n\n1. e4 e5 2. Qh5 Nc6 3. Bc4 Nf6 4. Qxf7# 1-0\n'</t>
        </is>
      </c>
    </row>
    <row r="4734">
      <c r="A4734" s="61" t="n">
        <v>36</v>
      </c>
      <c r="B4734" s="62" t="inlineStr">
        <is>
          <t>ILLEGAL = '[White "a"]\n[Black "b"]\n\n1. e4 e5 2. Ke3 Ke6 3. Kd5 *\n'</t>
        </is>
      </c>
    </row>
    <row r="4735">
      <c r="A4735" s="61" t="n">
        <v>37</v>
      </c>
      <c r="B4735" s="62" t="n"/>
    </row>
    <row r="4736">
      <c r="A4736" s="61" t="n">
        <v>38</v>
      </c>
      <c r="B4736" s="62" t="n"/>
    </row>
    <row r="4737">
      <c r="A4737" s="61" t="n">
        <v>39</v>
      </c>
      <c r="B4737" s="62" t="inlineStr">
        <is>
          <t>def test_parse_good_game():</t>
        </is>
      </c>
    </row>
    <row r="4738">
      <c r="A4738" s="61" t="n">
        <v>40</v>
      </c>
      <c r="B4738" s="62" t="inlineStr">
        <is>
          <t xml:space="preserve">    parsed = parse_single(GOOD)</t>
        </is>
      </c>
    </row>
    <row r="4739">
      <c r="A4739" s="61" t="n">
        <v>41</v>
      </c>
      <c r="B4739" s="62" t="inlineStr">
        <is>
          <t xml:space="preserve">    assert parsed.ply_count == 7</t>
        </is>
      </c>
    </row>
    <row r="4740">
      <c r="A4740" s="61" t="n">
        <v>42</v>
      </c>
      <c r="B4740" s="62" t="inlineStr">
        <is>
          <t xml:space="preserve">    assert parsed.moves_uci[0] == "e2e4"</t>
        </is>
      </c>
    </row>
    <row r="4741">
      <c r="A4741" s="61" t="n">
        <v>43</v>
      </c>
      <c r="B4741" s="62" t="inlineStr">
        <is>
          <t xml:space="preserve">    assert player_color_for(parsed, "Bob") == "black"</t>
        </is>
      </c>
    </row>
    <row r="4742">
      <c r="A4742" s="61" t="n">
        <v>44</v>
      </c>
      <c r="B4742" s="62" t="inlineStr">
        <is>
          <t xml:space="preserve">    assert len(parsed.fingerprint) == 40</t>
        </is>
      </c>
    </row>
    <row r="4743">
      <c r="A4743" s="61" t="n">
        <v>45</v>
      </c>
      <c r="B4743" s="62" t="n"/>
    </row>
    <row r="4744">
      <c r="A4744" s="61" t="n">
        <v>46</v>
      </c>
      <c r="B4744" s="62" t="n"/>
    </row>
    <row r="4745">
      <c r="A4745" s="61" t="n">
        <v>47</v>
      </c>
      <c r="B4745" s="62" t="inlineStr">
        <is>
          <t>def test_illegal_move_rejected():</t>
        </is>
      </c>
    </row>
    <row r="4746">
      <c r="A4746" s="61" t="n">
        <v>48</v>
      </c>
      <c r="B4746" s="62" t="inlineStr">
        <is>
          <t xml:space="preserve">    with pytest.raises(PgnError):</t>
        </is>
      </c>
    </row>
    <row r="4747">
      <c r="A4747" s="61" t="n">
        <v>49</v>
      </c>
      <c r="B4747" s="62" t="inlineStr">
        <is>
          <t xml:space="preserve">        parse_single(ILLEGAL)</t>
        </is>
      </c>
    </row>
    <row r="4748">
      <c r="A4748" s="61" t="n">
        <v>50</v>
      </c>
      <c r="B4748" s="62" t="n"/>
    </row>
    <row r="4749">
      <c r="A4749" s="61" t="n">
        <v>51</v>
      </c>
      <c r="B4749" s="62" t="n"/>
    </row>
    <row r="4750">
      <c r="A4750" s="61" t="n">
        <v>52</v>
      </c>
      <c r="B4750" s="62" t="inlineStr">
        <is>
          <t>def test_variant_rejected():</t>
        </is>
      </c>
    </row>
    <row r="4751">
      <c r="A4751" s="61" t="n">
        <v>53</v>
      </c>
      <c r="B4751" s="62" t="inlineStr">
        <is>
          <t xml:space="preserve">    with pytest.raises(PgnError):</t>
        </is>
      </c>
    </row>
    <row r="4752">
      <c r="A4752" s="61" t="n">
        <v>54</v>
      </c>
      <c r="B4752" s="62" t="inlineStr">
        <is>
          <t xml:space="preserve">        parse_single('[Variant "Atomic"]\n\n1. e4 e5 *\n')</t>
        </is>
      </c>
    </row>
    <row r="4753">
      <c r="A4753" s="61" t="n">
        <v>55</v>
      </c>
      <c r="B4753" s="62" t="n"/>
    </row>
    <row r="4754">
      <c r="A4754" s="61" t="n">
        <v>56</v>
      </c>
      <c r="B4754" s="62" t="n"/>
    </row>
    <row r="4755">
      <c r="A4755" s="61" t="n">
        <v>57</v>
      </c>
      <c r="B4755" s="62" t="inlineStr">
        <is>
          <t>def test_upload_reports_errors_per_game():</t>
        </is>
      </c>
    </row>
    <row r="4756">
      <c r="A4756" s="61" t="n">
        <v>58</v>
      </c>
      <c r="B4756" s="62" t="inlineStr">
        <is>
          <t xml:space="preserve">    results = list(iter_games(GOOD + "\n" + ILLEGAL + "\n" + GOOD, max_games=10))</t>
        </is>
      </c>
    </row>
    <row r="4757">
      <c r="A4757" s="61" t="n">
        <v>59</v>
      </c>
      <c r="B4757" s="62" t="inlineStr">
        <is>
          <t xml:space="preserve">    assert [err is None for _, _, err in results] == [True, False, True]</t>
        </is>
      </c>
    </row>
    <row r="4758">
      <c r="A4758" s="61" t="n">
        <v>60</v>
      </c>
      <c r="B4758" s="62" t="inlineStr">
        <is>
          <t xml:space="preserve">    assert not math.isnan(len(results))</t>
        </is>
      </c>
    </row>
    <row r="4761">
      <c r="A4761" s="60" t="inlineStr">
        <is>
          <t>C73</t>
        </is>
      </c>
      <c r="B4761" s="60" t="inlineStr">
        <is>
          <t>services/backend/tests/test_api.py   ·   Phase P6   ·   Postgres integration tests: ownership, idempotency, queue, practice, deletion.</t>
        </is>
      </c>
    </row>
    <row r="4762">
      <c r="B4762" s="55" t="inlineStr">
        <is>
          <t>↑ back to Code Index</t>
        </is>
      </c>
    </row>
    <row r="4763">
      <c r="A4763" s="61" t="n">
        <v>1</v>
      </c>
      <c r="B4763" s="62" t="inlineStr">
        <is>
          <t>"""End-to-end API behaviour against a real database."""</t>
        </is>
      </c>
    </row>
    <row r="4764">
      <c r="A4764" s="61" t="n">
        <v>2</v>
      </c>
      <c r="B4764" s="62" t="inlineStr">
        <is>
          <t>import threading</t>
        </is>
      </c>
    </row>
    <row r="4765">
      <c r="A4765" s="61" t="n">
        <v>3</v>
      </c>
      <c r="B4765" s="62" t="n"/>
    </row>
    <row r="4766">
      <c r="A4766" s="61" t="n">
        <v>4</v>
      </c>
      <c r="B4766" s="62" t="inlineStr">
        <is>
          <t>from app.jobs import queue</t>
        </is>
      </c>
    </row>
    <row r="4767">
      <c r="A4767" s="61" t="n">
        <v>5</v>
      </c>
      <c r="B4767" s="62" t="n"/>
    </row>
    <row r="4768">
      <c r="A4768" s="61" t="n">
        <v>6</v>
      </c>
      <c r="B4768" s="62" t="inlineStr">
        <is>
          <t>GAME = '[White "me"]\n[Black "Stockfish"]\n[Result "1-0"]\n\n1. e4 e5 2. Qh5 Nc6 3. Bc4 Nf6 4. Qxf7# 1-0\n'</t>
        </is>
      </c>
    </row>
    <row r="4769">
      <c r="A4769" s="61" t="n">
        <v>7</v>
      </c>
      <c r="B4769" s="62" t="n"/>
    </row>
    <row r="4770">
      <c r="A4770" s="61" t="n">
        <v>8</v>
      </c>
      <c r="B4770" s="62" t="n"/>
    </row>
    <row r="4771">
      <c r="A4771" s="61" t="n">
        <v>9</v>
      </c>
      <c r="B4771" s="62" t="inlineStr">
        <is>
          <t>def test_health(client):</t>
        </is>
      </c>
    </row>
    <row r="4772">
      <c r="A4772" s="61" t="n">
        <v>10</v>
      </c>
      <c r="B4772" s="62" t="inlineStr">
        <is>
          <t xml:space="preserve">    assert client.get("/health/live").json() == {"status": "ok"}</t>
        </is>
      </c>
    </row>
    <row r="4773">
      <c r="A4773" s="61" t="n">
        <v>11</v>
      </c>
      <c r="B4773" s="62" t="inlineStr">
        <is>
          <t xml:space="preserve">    assert client.get("/health/ready").status_code == 200</t>
        </is>
      </c>
    </row>
    <row r="4774">
      <c r="A4774" s="61" t="n">
        <v>12</v>
      </c>
      <c r="B4774" s="62" t="n"/>
    </row>
    <row r="4775">
      <c r="A4775" s="61" t="n">
        <v>13</v>
      </c>
      <c r="B4775" s="62" t="n"/>
    </row>
    <row r="4776">
      <c r="A4776" s="61" t="n">
        <v>14</v>
      </c>
      <c r="B4776" s="62" t="inlineStr">
        <is>
          <t>def test_private_routes_need_a_token(client):</t>
        </is>
      </c>
    </row>
    <row r="4777">
      <c r="A4777" s="61" t="n">
        <v>15</v>
      </c>
      <c r="B4777" s="62" t="inlineStr">
        <is>
          <t xml:space="preserve">    response = client.get("/v1/games")</t>
        </is>
      </c>
    </row>
    <row r="4778">
      <c r="A4778" s="61" t="n">
        <v>16</v>
      </c>
      <c r="B4778" s="62" t="inlineStr">
        <is>
          <t xml:space="preserve">    assert response.status_code == 401</t>
        </is>
      </c>
    </row>
    <row r="4779">
      <c r="A4779" s="61" t="n">
        <v>17</v>
      </c>
      <c r="B4779" s="62" t="inlineStr">
        <is>
          <t xml:space="preserve">    assert response.json()["error"]["code"] == "AUTH_REQUIRED"</t>
        </is>
      </c>
    </row>
    <row r="4780">
      <c r="A4780" s="61" t="n">
        <v>18</v>
      </c>
      <c r="B4780" s="62" t="n"/>
    </row>
    <row r="4781">
      <c r="A4781" s="61" t="n">
        <v>19</v>
      </c>
      <c r="B4781" s="62" t="n"/>
    </row>
    <row r="4782">
      <c r="A4782" s="61" t="n">
        <v>20</v>
      </c>
      <c r="B4782" s="62" t="inlineStr">
        <is>
          <t>def test_save_game_is_idempotent_and_queues_one_job(client, auth):</t>
        </is>
      </c>
    </row>
    <row r="4783">
      <c r="A4783" s="61" t="n">
        <v>21</v>
      </c>
      <c r="B4783" s="62" t="inlineStr">
        <is>
          <t xml:space="preserve">    headers = auth()</t>
        </is>
      </c>
    </row>
    <row r="4784">
      <c r="A4784" s="61" t="n">
        <v>22</v>
      </c>
      <c r="B4784" s="62" t="inlineStr">
        <is>
          <t xml:space="preserve">    body = {"pgn": GAME, "player_color": "white"}</t>
        </is>
      </c>
    </row>
    <row r="4785">
      <c r="A4785" s="61" t="n">
        <v>23</v>
      </c>
      <c r="B4785" s="62" t="inlineStr">
        <is>
          <t xml:space="preserve">    first = client.post("/v1/games", json=body, headers=headers).json()</t>
        </is>
      </c>
    </row>
    <row r="4786">
      <c r="A4786" s="61" t="n">
        <v>24</v>
      </c>
      <c r="B4786" s="62" t="inlineStr">
        <is>
          <t xml:space="preserve">    second = client.post("/v1/games", json=body, headers=headers).json()  # double click</t>
        </is>
      </c>
    </row>
    <row r="4787">
      <c r="A4787" s="61" t="n">
        <v>25</v>
      </c>
      <c r="B4787" s="62" t="inlineStr">
        <is>
          <t xml:space="preserve">    assert first == second</t>
        </is>
      </c>
    </row>
    <row r="4788">
      <c r="A4788" s="61" t="n">
        <v>26</v>
      </c>
      <c r="B4788" s="62" t="inlineStr">
        <is>
          <t xml:space="preserve">    assert len(client.get("/v1/games", headers=headers).json()) == 1</t>
        </is>
      </c>
    </row>
    <row r="4789">
      <c r="A4789" s="61" t="n">
        <v>27</v>
      </c>
      <c r="B4789" s="62" t="n"/>
    </row>
    <row r="4790">
      <c r="A4790" s="61" t="n">
        <v>28</v>
      </c>
      <c r="B4790" s="62" t="n"/>
    </row>
    <row r="4791">
      <c r="A4791" s="61" t="n">
        <v>29</v>
      </c>
      <c r="B4791" s="62" t="inlineStr">
        <is>
          <t>def test_illegal_pgn_is_rejected(client, auth):</t>
        </is>
      </c>
    </row>
    <row r="4792">
      <c r="A4792" s="61" t="n">
        <v>30</v>
      </c>
      <c r="B4792" s="62" t="inlineStr">
        <is>
          <t xml:space="preserve">    response = client.post("/v1/games", json={"pgn": "1. e4 e5 2. Ke3 *", "player_color": "white"}, headers=auth())</t>
        </is>
      </c>
    </row>
    <row r="4793">
      <c r="A4793" s="61" t="n">
        <v>31</v>
      </c>
      <c r="B4793" s="62" t="inlineStr">
        <is>
          <t xml:space="preserve">    assert response.status_code == 422</t>
        </is>
      </c>
    </row>
    <row r="4794">
      <c r="A4794" s="61" t="n">
        <v>32</v>
      </c>
      <c r="B4794" s="62" t="inlineStr">
        <is>
          <t xml:space="preserve">    assert response.json()["error"]["code"] == "INVALID_PGN"</t>
        </is>
      </c>
    </row>
    <row r="4795">
      <c r="A4795" s="61" t="n">
        <v>33</v>
      </c>
      <c r="B4795" s="62" t="n"/>
    </row>
    <row r="4796">
      <c r="A4796" s="61" t="n">
        <v>34</v>
      </c>
      <c r="B4796" s="62" t="n"/>
    </row>
    <row r="4797">
      <c r="A4797" s="61" t="n">
        <v>35</v>
      </c>
      <c r="B4797" s="62" t="inlineStr">
        <is>
          <t>def test_other_guests_cannot_read_my_game(client, auth):</t>
        </is>
      </c>
    </row>
    <row r="4798">
      <c r="A4798" s="61" t="n">
        <v>36</v>
      </c>
      <c r="B4798" s="62" t="inlineStr">
        <is>
          <t xml:space="preserve">    alice, bob = auth(), auth()</t>
        </is>
      </c>
    </row>
    <row r="4799">
      <c r="A4799" s="61" t="n">
        <v>37</v>
      </c>
      <c r="B4799" s="62" t="inlineStr">
        <is>
          <t xml:space="preserve">    created = client.post("/v1/games", json={"pgn": GAME, "player_color": "white"}, headers=alice).json()</t>
        </is>
      </c>
    </row>
    <row r="4800">
      <c r="A4800" s="61" t="n">
        <v>38</v>
      </c>
      <c r="B4800" s="62" t="inlineStr">
        <is>
          <t xml:space="preserve">    assert client.get(f"/v1/games/{created['game_id']}", headers=bob).status_code == 404</t>
        </is>
      </c>
    </row>
    <row r="4801">
      <c r="A4801" s="61" t="n">
        <v>39</v>
      </c>
      <c r="B4801" s="62" t="inlineStr">
        <is>
          <t xml:space="preserve">    assert client.get(f"/v1/jobs/{created['analysis_job_id']}", headers=bob).status_code == 404</t>
        </is>
      </c>
    </row>
    <row r="4802">
      <c r="A4802" s="61" t="n">
        <v>40</v>
      </c>
      <c r="B4802" s="62" t="inlineStr">
        <is>
          <t xml:space="preserve">    assert client.get(f"/v1/games/{created['game_id']}/review", headers=alice).status_code == 200</t>
        </is>
      </c>
    </row>
    <row r="4803">
      <c r="A4803" s="61" t="n">
        <v>41</v>
      </c>
      <c r="B4803" s="62" t="n"/>
    </row>
    <row r="4804">
      <c r="A4804" s="61" t="n">
        <v>42</v>
      </c>
      <c r="B4804" s="62" t="n"/>
    </row>
    <row r="4805">
      <c r="A4805" s="61" t="n">
        <v>43</v>
      </c>
      <c r="B4805" s="62" t="inlineStr">
        <is>
          <t>def test_two_workers_never_claim_the_same_job():</t>
        </is>
      </c>
    </row>
    <row r="4806">
      <c r="A4806" s="61" t="n">
        <v>44</v>
      </c>
      <c r="B4806" s="62" t="inlineStr">
        <is>
          <t xml:space="preserve">    from app.db import SessionLocal</t>
        </is>
      </c>
    </row>
    <row r="4807">
      <c r="A4807" s="61" t="n">
        <v>45</v>
      </c>
      <c r="B4807" s="62" t="n"/>
    </row>
    <row r="4808">
      <c r="A4808" s="61" t="n">
        <v>46</v>
      </c>
      <c r="B4808" s="62" t="inlineStr">
        <is>
          <t xml:space="preserve">    with SessionLocal() as db:</t>
        </is>
      </c>
    </row>
    <row r="4809">
      <c r="A4809" s="61" t="n">
        <v>47</v>
      </c>
      <c r="B4809" s="62" t="inlineStr">
        <is>
          <t xml:space="preserve">        for i in range(30):</t>
        </is>
      </c>
    </row>
    <row r="4810">
      <c r="A4810" s="61" t="n">
        <v>48</v>
      </c>
      <c r="B4810" s="62" t="inlineStr">
        <is>
          <t xml:space="preserve">            queue.enqueue(db, kind="noop", payload={"i": i})</t>
        </is>
      </c>
    </row>
    <row r="4811">
      <c r="A4811" s="61" t="n">
        <v>49</v>
      </c>
      <c r="B4811" s="62" t="inlineStr">
        <is>
          <t xml:space="preserve">        db.commit()</t>
        </is>
      </c>
    </row>
    <row r="4812">
      <c r="A4812" s="61" t="n">
        <v>50</v>
      </c>
      <c r="B4812" s="62" t="inlineStr">
        <is>
          <t xml:space="preserve">    claimed: list[int] = []</t>
        </is>
      </c>
    </row>
    <row r="4813">
      <c r="A4813" s="61" t="n">
        <v>51</v>
      </c>
      <c r="B4813" s="62" t="inlineStr">
        <is>
          <t xml:space="preserve">    lock = threading.Lock()</t>
        </is>
      </c>
    </row>
    <row r="4814">
      <c r="A4814" s="61" t="n">
        <v>52</v>
      </c>
      <c r="B4814" s="62" t="n"/>
    </row>
    <row r="4815">
      <c r="A4815" s="61" t="n">
        <v>53</v>
      </c>
      <c r="B4815" s="62" t="inlineStr">
        <is>
          <t xml:space="preserve">    def worker():</t>
        </is>
      </c>
    </row>
    <row r="4816">
      <c r="A4816" s="61" t="n">
        <v>54</v>
      </c>
      <c r="B4816" s="62" t="inlineStr">
        <is>
          <t xml:space="preserve">        while (job := queue.claim()) is not None:</t>
        </is>
      </c>
    </row>
    <row r="4817">
      <c r="A4817" s="61" t="n">
        <v>55</v>
      </c>
      <c r="B4817" s="62" t="inlineStr">
        <is>
          <t xml:space="preserve">            with lock:</t>
        </is>
      </c>
    </row>
    <row r="4818">
      <c r="A4818" s="61" t="n">
        <v>56</v>
      </c>
      <c r="B4818" s="62" t="inlineStr">
        <is>
          <t xml:space="preserve">                claimed.append(job.id)</t>
        </is>
      </c>
    </row>
    <row r="4819">
      <c r="A4819" s="61" t="n">
        <v>57</v>
      </c>
      <c r="B4819" s="62" t="n"/>
    </row>
    <row r="4820">
      <c r="A4820" s="61" t="n">
        <v>58</v>
      </c>
      <c r="B4820" s="62" t="inlineStr">
        <is>
          <t xml:space="preserve">    threads = [threading.Thread(target=worker) for _ in range(4)]</t>
        </is>
      </c>
    </row>
    <row r="4821">
      <c r="A4821" s="61" t="n">
        <v>59</v>
      </c>
      <c r="B4821" s="62" t="inlineStr">
        <is>
          <t xml:space="preserve">    for t in threads:</t>
        </is>
      </c>
    </row>
    <row r="4822">
      <c r="A4822" s="61" t="n">
        <v>60</v>
      </c>
      <c r="B4822" s="62" t="inlineStr">
        <is>
          <t xml:space="preserve">        t.start()</t>
        </is>
      </c>
    </row>
    <row r="4823">
      <c r="A4823" s="61" t="n">
        <v>61</v>
      </c>
      <c r="B4823" s="62" t="inlineStr">
        <is>
          <t xml:space="preserve">    for t in threads:</t>
        </is>
      </c>
    </row>
    <row r="4824">
      <c r="A4824" s="61" t="n">
        <v>62</v>
      </c>
      <c r="B4824" s="62" t="inlineStr">
        <is>
          <t xml:space="preserve">        t.join()</t>
        </is>
      </c>
    </row>
    <row r="4825">
      <c r="A4825" s="61" t="n">
        <v>63</v>
      </c>
      <c r="B4825" s="62" t="inlineStr">
        <is>
          <t xml:space="preserve">    assert len(claimed) == 30</t>
        </is>
      </c>
    </row>
    <row r="4826">
      <c r="A4826" s="61" t="n">
        <v>64</v>
      </c>
      <c r="B4826" s="62" t="inlineStr">
        <is>
          <t xml:space="preserve">    assert len(set(claimed)) == 30  # SKIP LOCKED: no job delivered twice</t>
        </is>
      </c>
    </row>
    <row r="4827">
      <c r="A4827" s="61" t="n">
        <v>65</v>
      </c>
      <c r="B4827" s="62" t="n"/>
    </row>
    <row r="4828">
      <c r="A4828" s="61" t="n">
        <v>66</v>
      </c>
      <c r="B4828" s="62" t="n"/>
    </row>
    <row r="4829">
      <c r="A4829" s="61" t="n">
        <v>67</v>
      </c>
      <c r="B4829" s="62" t="inlineStr">
        <is>
          <t>def test_stale_worker_cannot_overwrite(client, auth):</t>
        </is>
      </c>
    </row>
    <row r="4830">
      <c r="A4830" s="61" t="n">
        <v>68</v>
      </c>
      <c r="B4830" s="62" t="inlineStr">
        <is>
          <t xml:space="preserve">    headers = auth()</t>
        </is>
      </c>
    </row>
    <row r="4831">
      <c r="A4831" s="61" t="n">
        <v>69</v>
      </c>
      <c r="B4831" s="62" t="inlineStr">
        <is>
          <t xml:space="preserve">    client.post("/v1/games", json={"pgn": GAME, "player_color": "white"}, headers=headers)</t>
        </is>
      </c>
    </row>
    <row r="4832">
      <c r="A4832" s="61" t="n">
        <v>70</v>
      </c>
      <c r="B4832" s="62" t="inlineStr">
        <is>
          <t xml:space="preserve">    job = queue.claim()</t>
        </is>
      </c>
    </row>
    <row r="4833">
      <c r="A4833" s="61" t="n">
        <v>71</v>
      </c>
      <c r="B4833" s="62" t="inlineStr">
        <is>
          <t xml:space="preserve">    stale = queue.ClaimedJob(**{**job.__dict__, "attempts": job.attempts - 1})</t>
        </is>
      </c>
    </row>
    <row r="4834">
      <c r="A4834" s="61" t="n">
        <v>72</v>
      </c>
      <c r="B4834" s="62" t="inlineStr">
        <is>
          <t xml:space="preserve">    assert queue.complete(stale, {"x": 1}) is False</t>
        </is>
      </c>
    </row>
    <row r="4835">
      <c r="A4835" s="61" t="n">
        <v>73</v>
      </c>
      <c r="B4835" s="62" t="inlineStr">
        <is>
          <t xml:space="preserve">    assert queue.complete(job, {"x": 1}) is True</t>
        </is>
      </c>
    </row>
    <row r="4836">
      <c r="A4836" s="61" t="n">
        <v>74</v>
      </c>
      <c r="B4836" s="62" t="n"/>
    </row>
    <row r="4837">
      <c r="A4837" s="61" t="n">
        <v>75</v>
      </c>
      <c r="B4837" s="62" t="n"/>
    </row>
    <row r="4838">
      <c r="A4838" s="61" t="n">
        <v>76</v>
      </c>
      <c r="B4838" s="62" t="inlineStr">
        <is>
          <t>def test_cancel_queued_job(client, auth):</t>
        </is>
      </c>
    </row>
    <row r="4839">
      <c r="A4839" s="61" t="n">
        <v>77</v>
      </c>
      <c r="B4839" s="62" t="inlineStr">
        <is>
          <t xml:space="preserve">    headers = auth()</t>
        </is>
      </c>
    </row>
    <row r="4840">
      <c r="A4840" s="61" t="n">
        <v>78</v>
      </c>
      <c r="B4840" s="62" t="inlineStr">
        <is>
          <t xml:space="preserve">    created = client.post("/v1/games", json={"pgn": GAME, "player_color": "white"}, headers=headers).json()</t>
        </is>
      </c>
    </row>
    <row r="4841">
      <c r="A4841" s="61" t="n">
        <v>79</v>
      </c>
      <c r="B4841" s="62" t="inlineStr">
        <is>
          <t xml:space="preserve">    response = client.post(f"/v1/jobs/{created['analysis_job_id']}/cancel", headers=headers)</t>
        </is>
      </c>
    </row>
    <row r="4842">
      <c r="A4842" s="61" t="n">
        <v>80</v>
      </c>
      <c r="B4842" s="62" t="inlineStr">
        <is>
          <t xml:space="preserve">    assert response.json() == {"status": "cancelled"}</t>
        </is>
      </c>
    </row>
    <row r="4843">
      <c r="A4843" s="61" t="n">
        <v>81</v>
      </c>
      <c r="B4843" s="62" t="inlineStr">
        <is>
          <t xml:space="preserve">    assert queue.claim() is None</t>
        </is>
      </c>
    </row>
    <row r="4844">
      <c r="A4844" s="61" t="n">
        <v>82</v>
      </c>
      <c r="B4844" s="62" t="n"/>
    </row>
    <row r="4845">
      <c r="A4845" s="61" t="n">
        <v>83</v>
      </c>
      <c r="B4845" s="62" t="n"/>
    </row>
    <row r="4846">
      <c r="A4846" s="61" t="n">
        <v>84</v>
      </c>
      <c r="B4846" s="62" t="inlineStr">
        <is>
          <t>def test_practice_flow_updates_rating_once(client, auth, fork_puzzle):</t>
        </is>
      </c>
    </row>
    <row r="4847">
      <c r="A4847" s="61" t="n">
        <v>85</v>
      </c>
      <c r="B4847" s="62" t="inlineStr">
        <is>
          <t xml:space="preserve">    headers = auth()</t>
        </is>
      </c>
    </row>
    <row r="4848">
      <c r="A4848" s="61" t="n">
        <v>86</v>
      </c>
      <c r="B4848" s="62" t="inlineStr">
        <is>
          <t xml:space="preserve">    session = client.post("/v1/practice/sessions", json={"concept": "knight_fork"}, headers=headers).json()</t>
        </is>
      </c>
    </row>
    <row r="4849">
      <c r="A4849" s="61" t="n">
        <v>87</v>
      </c>
      <c r="B4849" s="62" t="inlineStr">
        <is>
          <t xml:space="preserve">    assert "solution_uci" not in session  # the answer is never sent to the browser</t>
        </is>
      </c>
    </row>
    <row r="4850">
      <c r="A4850" s="61" t="n">
        <v>88</v>
      </c>
      <c r="B4850" s="62" t="inlineStr">
        <is>
          <t xml:space="preserve">    sid = session["session_id"]</t>
        </is>
      </c>
    </row>
    <row r="4851">
      <c r="A4851" s="61" t="n">
        <v>89</v>
      </c>
      <c r="B4851" s="62" t="inlineStr">
        <is>
          <t xml:space="preserve">    first = client.post(f"/v1/practice/sessions/{sid}/moves", json={"uci": "d5c7"}, headers=headers).json()</t>
        </is>
      </c>
    </row>
    <row r="4852">
      <c r="A4852" s="61" t="n">
        <v>90</v>
      </c>
      <c r="B4852" s="62" t="inlineStr">
        <is>
          <t xml:space="preserve">    assert first["outcome"] == "correct" and first["opponent_reply_uci"] == "e8d7"</t>
        </is>
      </c>
    </row>
    <row r="4853">
      <c r="A4853" s="61" t="n">
        <v>91</v>
      </c>
      <c r="B4853" s="62" t="inlineStr">
        <is>
          <t xml:space="preserve">    final = client.post(f"/v1/practice/sessions/{sid}/moves", json={"uci": "c7a8"}, headers=headers).json()</t>
        </is>
      </c>
    </row>
    <row r="4854">
      <c r="A4854" s="61" t="n">
        <v>92</v>
      </c>
      <c r="B4854" s="62" t="inlineStr">
        <is>
          <t xml:space="preserve">    assert final["outcome"] == "solved" and final["first_try_success"] is True</t>
        </is>
      </c>
    </row>
    <row r="4855">
      <c r="A4855" s="61" t="n">
        <v>93</v>
      </c>
      <c r="B4855" s="62" t="inlineStr">
        <is>
          <t xml:space="preserve">    again = client.post(f"/v1/practice/sessions/{sid}/moves", json={"uci": "c7a8"}, headers=headers)</t>
        </is>
      </c>
    </row>
    <row r="4856">
      <c r="A4856" s="61" t="n">
        <v>94</v>
      </c>
      <c r="B4856" s="62" t="inlineStr">
        <is>
          <t xml:space="preserve">    assert again.status_code == 409  # resubmitting cannot inflate the rating</t>
        </is>
      </c>
    </row>
    <row r="4857">
      <c r="A4857" s="61" t="n">
        <v>95</v>
      </c>
      <c r="B4857" s="62" t="inlineStr">
        <is>
          <t xml:space="preserve">    progress = client.get("/v1/progress", headers=headers).json()["concepts"][0]</t>
        </is>
      </c>
    </row>
    <row r="4858">
      <c r="A4858" s="61" t="n">
        <v>96</v>
      </c>
      <c r="B4858" s="62" t="inlineStr">
        <is>
          <t xml:space="preserve">    assert progress["rating_attempts"] == 1 and progress["practice"]["attempts"] == 1</t>
        </is>
      </c>
    </row>
    <row r="4859">
      <c r="A4859" s="61" t="n">
        <v>97</v>
      </c>
      <c r="B4859" s="62" t="n"/>
    </row>
    <row r="4860">
      <c r="A4860" s="61" t="n">
        <v>98</v>
      </c>
      <c r="B4860" s="62" t="n"/>
    </row>
    <row r="4861">
      <c r="A4861" s="61" t="n">
        <v>99</v>
      </c>
      <c r="B4861" s="62" t="inlineStr">
        <is>
          <t>def test_delete_my_data(client, auth):</t>
        </is>
      </c>
    </row>
    <row r="4862">
      <c r="A4862" s="61" t="n">
        <v>100</v>
      </c>
      <c r="B4862" s="62" t="inlineStr">
        <is>
          <t xml:space="preserve">    headers = auth()</t>
        </is>
      </c>
    </row>
    <row r="4863">
      <c r="A4863" s="61" t="n">
        <v>101</v>
      </c>
      <c r="B4863" s="62" t="inlineStr">
        <is>
          <t xml:space="preserve">    client.post("/v1/games", json={"pgn": GAME, "player_color": "white"}, headers=headers)</t>
        </is>
      </c>
    </row>
    <row r="4864">
      <c r="A4864" s="61" t="n">
        <v>102</v>
      </c>
      <c r="B4864" s="62" t="inlineStr">
        <is>
          <t xml:space="preserve">    assert client.delete("/v1/me/data", headers=headers).status_code == 204</t>
        </is>
      </c>
    </row>
    <row r="4865">
      <c r="A4865" s="61" t="n">
        <v>103</v>
      </c>
      <c r="B4865" s="62" t="inlineStr">
        <is>
          <t xml:space="preserve">    assert client.get("/v1/games", headers=headers).status_code == 401  # the token no longer works</t>
        </is>
      </c>
    </row>
    <row r="4866">
      <c r="A4866" s="61" t="n">
        <v>104</v>
      </c>
      <c r="B4866" s="62" t="n"/>
    </row>
    <row r="4867">
      <c r="A4867" s="61" t="n">
        <v>105</v>
      </c>
      <c r="B4867" s="62" t="n"/>
    </row>
    <row r="4868">
      <c r="A4868" s="61" t="n">
        <v>106</v>
      </c>
      <c r="B4868" s="62" t="inlineStr">
        <is>
          <t>def test_simultaneous_practice_starts_do_not_crash(client, auth, fork_puzzle):</t>
        </is>
      </c>
    </row>
    <row r="4869">
      <c r="A4869" s="61" t="n">
        <v>107</v>
      </c>
      <c r="B4869" s="62" t="inlineStr">
        <is>
          <t xml:space="preserve">    """Regression test: React StrictMode fires the start request twice at the same moment."""</t>
        </is>
      </c>
    </row>
    <row r="4870">
      <c r="A4870" s="61" t="n">
        <v>108</v>
      </c>
      <c r="B4870" s="62" t="inlineStr">
        <is>
          <t xml:space="preserve">    from concurrent.futures import ThreadPoolExecutor</t>
        </is>
      </c>
    </row>
    <row r="4871">
      <c r="A4871" s="61" t="n">
        <v>109</v>
      </c>
      <c r="B4871" s="62" t="n"/>
    </row>
    <row r="4872">
      <c r="A4872" s="61" t="n">
        <v>110</v>
      </c>
      <c r="B4872" s="62" t="inlineStr">
        <is>
          <t xml:space="preserve">    headers = auth()</t>
        </is>
      </c>
    </row>
    <row r="4873">
      <c r="A4873" s="61" t="n">
        <v>111</v>
      </c>
      <c r="B4873" s="62" t="inlineStr">
        <is>
          <t xml:space="preserve">    with ThreadPoolExecutor(max_workers=4) as pool:</t>
        </is>
      </c>
    </row>
    <row r="4874">
      <c r="A4874" s="61" t="n">
        <v>112</v>
      </c>
      <c r="B4874" s="62" t="inlineStr">
        <is>
          <t xml:space="preserve">        codes = list(pool.map(lambda _: client.post("/v1/practice/sessions", json={}, headers=headers).status_code,</t>
        </is>
      </c>
    </row>
    <row r="4875">
      <c r="A4875" s="61" t="n">
        <v>113</v>
      </c>
      <c r="B4875" s="62" t="inlineStr">
        <is>
          <t xml:space="preserve">                              range(4)))</t>
        </is>
      </c>
    </row>
    <row r="4876">
      <c r="A4876" s="61" t="n">
        <v>114</v>
      </c>
      <c r="B4876" s="62" t="inlineStr">
        <is>
          <t xml:space="preserve">    assert set(codes) &lt;= {201, 404}  # 404 = only one test puzzle exists and it is already taken</t>
        </is>
      </c>
    </row>
    <row r="4877">
      <c r="A4877" s="61" t="n">
        <v>115</v>
      </c>
      <c r="B4877" s="62" t="inlineStr">
        <is>
          <t xml:space="preserve">    assert 500 not in codes</t>
        </is>
      </c>
    </row>
    <row r="4880">
      <c r="A4880" s="60" t="inlineStr">
        <is>
          <t>C74</t>
        </is>
      </c>
      <c r="B4880" s="60" t="inlineStr">
        <is>
          <t>evaluation/metrics.py   ·   Phase P12   ·   Confusion matrix, Wilson interval, Brier, log loss, calibration.</t>
        </is>
      </c>
    </row>
    <row r="4881">
      <c r="B4881" s="55" t="inlineStr">
        <is>
          <t>↑ back to Code Index</t>
        </is>
      </c>
    </row>
    <row r="4882">
      <c r="A4882" s="61" t="n">
        <v>1</v>
      </c>
      <c r="B4882" s="62" t="inlineStr">
        <is>
          <t>"""Evaluation metrics with honest uncertainty. Small samples get wide intervals; report them."""</t>
        </is>
      </c>
    </row>
    <row r="4883">
      <c r="A4883" s="61" t="n">
        <v>2</v>
      </c>
      <c r="B4883" s="62" t="inlineStr">
        <is>
          <t>import math</t>
        </is>
      </c>
    </row>
    <row r="4884">
      <c r="A4884" s="61" t="n">
        <v>3</v>
      </c>
      <c r="B4884" s="62" t="inlineStr">
        <is>
          <t>from dataclasses import dataclass</t>
        </is>
      </c>
    </row>
    <row r="4885">
      <c r="A4885" s="61" t="n">
        <v>4</v>
      </c>
      <c r="B4885" s="62" t="n"/>
    </row>
    <row r="4886">
      <c r="A4886" s="61" t="n">
        <v>5</v>
      </c>
      <c r="B4886" s="62" t="n"/>
    </row>
    <row r="4887">
      <c r="A4887" s="61" t="n">
        <v>6</v>
      </c>
      <c r="B4887" s="62" t="inlineStr">
        <is>
          <t>def wilson_interval(successes: int, n: int, z: float = 1.96) -&gt; tuple[float, float]:</t>
        </is>
      </c>
    </row>
    <row r="4888">
      <c r="A4888" s="61" t="n">
        <v>7</v>
      </c>
      <c r="B4888" s="62" t="inlineStr">
        <is>
          <t xml:space="preserve">    """95% Wilson score interval for a proportion. Better than p +/- 1.96*sqrt(p(1-p)/n) for small n."""</t>
        </is>
      </c>
    </row>
    <row r="4889">
      <c r="A4889" s="61" t="n">
        <v>8</v>
      </c>
      <c r="B4889" s="62" t="inlineStr">
        <is>
          <t xml:space="preserve">    if n == 0:</t>
        </is>
      </c>
    </row>
    <row r="4890">
      <c r="A4890" s="61" t="n">
        <v>9</v>
      </c>
      <c r="B4890" s="62" t="inlineStr">
        <is>
          <t xml:space="preserve">        return (0.0, 1.0)</t>
        </is>
      </c>
    </row>
    <row r="4891">
      <c r="A4891" s="61" t="n">
        <v>10</v>
      </c>
      <c r="B4891" s="62" t="inlineStr">
        <is>
          <t xml:space="preserve">    p = successes / n</t>
        </is>
      </c>
    </row>
    <row r="4892">
      <c r="A4892" s="61" t="n">
        <v>11</v>
      </c>
      <c r="B4892" s="62" t="inlineStr">
        <is>
          <t xml:space="preserve">    denom = 1 + z * z / n</t>
        </is>
      </c>
    </row>
    <row r="4893">
      <c r="A4893" s="61" t="n">
        <v>12</v>
      </c>
      <c r="B4893" s="62" t="inlineStr">
        <is>
          <t xml:space="preserve">    centre = (p + z * z / (2 * n)) / denom</t>
        </is>
      </c>
    </row>
    <row r="4894">
      <c r="A4894" s="61" t="n">
        <v>13</v>
      </c>
      <c r="B4894" s="62" t="inlineStr">
        <is>
          <t xml:space="preserve">    half = z * math.sqrt(p * (1 - p) / n + z * z / (4 * n * n)) / denom</t>
        </is>
      </c>
    </row>
    <row r="4895">
      <c r="A4895" s="61" t="n">
        <v>14</v>
      </c>
      <c r="B4895" s="62" t="inlineStr">
        <is>
          <t xml:space="preserve">    return (max(0.0, centre - half), min(1.0, centre + half))</t>
        </is>
      </c>
    </row>
    <row r="4896">
      <c r="A4896" s="61" t="n">
        <v>15</v>
      </c>
      <c r="B4896" s="62" t="n"/>
    </row>
    <row r="4897">
      <c r="A4897" s="61" t="n">
        <v>16</v>
      </c>
      <c r="B4897" s="62" t="n"/>
    </row>
    <row r="4898">
      <c r="A4898" s="61" t="n">
        <v>17</v>
      </c>
      <c r="B4898" s="62" t="inlineStr">
        <is>
          <t>@dataclass</t>
        </is>
      </c>
    </row>
    <row r="4899">
      <c r="A4899" s="61" t="n">
        <v>18</v>
      </c>
      <c r="B4899" s="62" t="inlineStr">
        <is>
          <t>class Confusion:</t>
        </is>
      </c>
    </row>
    <row r="4900">
      <c r="A4900" s="61" t="n">
        <v>19</v>
      </c>
      <c r="B4900" s="62" t="inlineStr">
        <is>
          <t xml:space="preserve">    tp: int = 0</t>
        </is>
      </c>
    </row>
    <row r="4901">
      <c r="A4901" s="61" t="n">
        <v>20</v>
      </c>
      <c r="B4901" s="62" t="inlineStr">
        <is>
          <t xml:space="preserve">    fp: int = 0</t>
        </is>
      </c>
    </row>
    <row r="4902">
      <c r="A4902" s="61" t="n">
        <v>21</v>
      </c>
      <c r="B4902" s="62" t="inlineStr">
        <is>
          <t xml:space="preserve">    fn: int = 0</t>
        </is>
      </c>
    </row>
    <row r="4903">
      <c r="A4903" s="61" t="n">
        <v>22</v>
      </c>
      <c r="B4903" s="62" t="inlineStr">
        <is>
          <t xml:space="preserve">    tn: int = 0</t>
        </is>
      </c>
    </row>
    <row r="4904">
      <c r="A4904" s="61" t="n">
        <v>23</v>
      </c>
      <c r="B4904" s="62" t="n"/>
    </row>
    <row r="4905">
      <c r="A4905" s="61" t="n">
        <v>24</v>
      </c>
      <c r="B4905" s="62" t="inlineStr">
        <is>
          <t xml:space="preserve">    def add(self, predicted: bool, actual: bool) -&gt; None:</t>
        </is>
      </c>
    </row>
    <row r="4906">
      <c r="A4906" s="61" t="n">
        <v>25</v>
      </c>
      <c r="B4906" s="62" t="inlineStr">
        <is>
          <t xml:space="preserve">        if predicted and actual:</t>
        </is>
      </c>
    </row>
    <row r="4907">
      <c r="A4907" s="61" t="n">
        <v>26</v>
      </c>
      <c r="B4907" s="62" t="inlineStr">
        <is>
          <t xml:space="preserve">            self.tp += 1</t>
        </is>
      </c>
    </row>
    <row r="4908">
      <c r="A4908" s="61" t="n">
        <v>27</v>
      </c>
      <c r="B4908" s="62" t="inlineStr">
        <is>
          <t xml:space="preserve">        elif predicted and not actual:</t>
        </is>
      </c>
    </row>
    <row r="4909">
      <c r="A4909" s="61" t="n">
        <v>28</v>
      </c>
      <c r="B4909" s="62" t="inlineStr">
        <is>
          <t xml:space="preserve">            self.fp += 1</t>
        </is>
      </c>
    </row>
    <row r="4910">
      <c r="A4910" s="61" t="n">
        <v>29</v>
      </c>
      <c r="B4910" s="62" t="inlineStr">
        <is>
          <t xml:space="preserve">        elif not predicted and actual:</t>
        </is>
      </c>
    </row>
    <row r="4911">
      <c r="A4911" s="61" t="n">
        <v>30</v>
      </c>
      <c r="B4911" s="62" t="inlineStr">
        <is>
          <t xml:space="preserve">            self.fn += 1</t>
        </is>
      </c>
    </row>
    <row r="4912">
      <c r="A4912" s="61" t="n">
        <v>31</v>
      </c>
      <c r="B4912" s="62" t="inlineStr">
        <is>
          <t xml:space="preserve">        else:</t>
        </is>
      </c>
    </row>
    <row r="4913">
      <c r="A4913" s="61" t="n">
        <v>32</v>
      </c>
      <c r="B4913" s="62" t="inlineStr">
        <is>
          <t xml:space="preserve">            self.tn += 1</t>
        </is>
      </c>
    </row>
    <row r="4914">
      <c r="A4914" s="61" t="n">
        <v>33</v>
      </c>
      <c r="B4914" s="62" t="n"/>
    </row>
    <row r="4915">
      <c r="A4915" s="61" t="n">
        <v>34</v>
      </c>
      <c r="B4915" s="62" t="inlineStr">
        <is>
          <t xml:space="preserve">    @property</t>
        </is>
      </c>
    </row>
    <row r="4916">
      <c r="A4916" s="61" t="n">
        <v>35</v>
      </c>
      <c r="B4916" s="62" t="inlineStr">
        <is>
          <t xml:space="preserve">    def precision(self) -&gt; float:</t>
        </is>
      </c>
    </row>
    <row r="4917">
      <c r="A4917" s="61" t="n">
        <v>36</v>
      </c>
      <c r="B4917" s="62" t="inlineStr">
        <is>
          <t xml:space="preserve">        return self.tp / (self.tp + self.fp) if self.tp + self.fp else float("nan")</t>
        </is>
      </c>
    </row>
    <row r="4918">
      <c r="A4918" s="61" t="n">
        <v>37</v>
      </c>
      <c r="B4918" s="62" t="n"/>
    </row>
    <row r="4919">
      <c r="A4919" s="61" t="n">
        <v>38</v>
      </c>
      <c r="B4919" s="62" t="inlineStr">
        <is>
          <t xml:space="preserve">    @property</t>
        </is>
      </c>
    </row>
    <row r="4920">
      <c r="A4920" s="61" t="n">
        <v>39</v>
      </c>
      <c r="B4920" s="62" t="inlineStr">
        <is>
          <t xml:space="preserve">    def recall(self) -&gt; float:</t>
        </is>
      </c>
    </row>
    <row r="4921">
      <c r="A4921" s="61" t="n">
        <v>40</v>
      </c>
      <c r="B4921" s="62" t="inlineStr">
        <is>
          <t xml:space="preserve">        return self.tp / (self.tp + self.fn) if self.tp + self.fn else float("nan")</t>
        </is>
      </c>
    </row>
    <row r="4922">
      <c r="A4922" s="61" t="n">
        <v>41</v>
      </c>
      <c r="B4922" s="62" t="n"/>
    </row>
    <row r="4923">
      <c r="A4923" s="61" t="n">
        <v>42</v>
      </c>
      <c r="B4923" s="62" t="inlineStr">
        <is>
          <t xml:space="preserve">    @property</t>
        </is>
      </c>
    </row>
    <row r="4924">
      <c r="A4924" s="61" t="n">
        <v>43</v>
      </c>
      <c r="B4924" s="62" t="inlineStr">
        <is>
          <t xml:space="preserve">    def f1(self) -&gt; float:</t>
        </is>
      </c>
    </row>
    <row r="4925">
      <c r="A4925" s="61" t="n">
        <v>44</v>
      </c>
      <c r="B4925" s="62" t="inlineStr">
        <is>
          <t xml:space="preserve">        p, r = self.precision, self.recall</t>
        </is>
      </c>
    </row>
    <row r="4926">
      <c r="A4926" s="61" t="n">
        <v>45</v>
      </c>
      <c r="B4926" s="62" t="inlineStr">
        <is>
          <t xml:space="preserve">        return 2 * p * r / (p + r) if p + r else float("nan")</t>
        </is>
      </c>
    </row>
    <row r="4927">
      <c r="A4927" s="61" t="n">
        <v>46</v>
      </c>
      <c r="B4927" s="62" t="n"/>
    </row>
    <row r="4928">
      <c r="A4928" s="61" t="n">
        <v>47</v>
      </c>
      <c r="B4928" s="62" t="inlineStr">
        <is>
          <t xml:space="preserve">    def report(self) -&gt; dict:</t>
        </is>
      </c>
    </row>
    <row r="4929">
      <c r="A4929" s="61" t="n">
        <v>48</v>
      </c>
      <c r="B4929" s="62" t="inlineStr">
        <is>
          <t xml:space="preserve">        return {</t>
        </is>
      </c>
    </row>
    <row r="4930">
      <c r="A4930" s="61" t="n">
        <v>49</v>
      </c>
      <c r="B4930" s="62" t="inlineStr">
        <is>
          <t xml:space="preserve">            "n": self.tp + self.fp + self.fn + self.tn,</t>
        </is>
      </c>
    </row>
    <row r="4931">
      <c r="A4931" s="61" t="n">
        <v>50</v>
      </c>
      <c r="B4931" s="62" t="inlineStr">
        <is>
          <t xml:space="preserve">            "tp": self.tp, "fp": self.fp, "fn": self.fn, "tn": self.tn,</t>
        </is>
      </c>
    </row>
    <row r="4932">
      <c r="A4932" s="61" t="n">
        <v>51</v>
      </c>
      <c r="B4932" s="62" t="inlineStr">
        <is>
          <t xml:space="preserve">            "precision": self.precision,</t>
        </is>
      </c>
    </row>
    <row r="4933">
      <c r="A4933" s="61" t="n">
        <v>52</v>
      </c>
      <c r="B4933" s="62" t="inlineStr">
        <is>
          <t xml:space="preserve">            "precision_95ci": wilson_interval(self.tp, self.tp + self.fp),</t>
        </is>
      </c>
    </row>
    <row r="4934">
      <c r="A4934" s="61" t="n">
        <v>53</v>
      </c>
      <c r="B4934" s="62" t="inlineStr">
        <is>
          <t xml:space="preserve">            "recall": self.recall,</t>
        </is>
      </c>
    </row>
    <row r="4935">
      <c r="A4935" s="61" t="n">
        <v>54</v>
      </c>
      <c r="B4935" s="62" t="inlineStr">
        <is>
          <t xml:space="preserve">            "recall_95ci": wilson_interval(self.tp, self.tp + self.fn),</t>
        </is>
      </c>
    </row>
    <row r="4936">
      <c r="A4936" s="61" t="n">
        <v>55</v>
      </c>
      <c r="B4936" s="62" t="inlineStr">
        <is>
          <t xml:space="preserve">            "f1": self.f1,</t>
        </is>
      </c>
    </row>
    <row r="4937">
      <c r="A4937" s="61" t="n">
        <v>56</v>
      </c>
      <c r="B4937" s="62" t="inlineStr">
        <is>
          <t xml:space="preserve">        }</t>
        </is>
      </c>
    </row>
    <row r="4938">
      <c r="A4938" s="61" t="n">
        <v>57</v>
      </c>
      <c r="B4938" s="62" t="n"/>
    </row>
    <row r="4939">
      <c r="A4939" s="61" t="n">
        <v>58</v>
      </c>
      <c r="B4939" s="62" t="n"/>
    </row>
    <row r="4940">
      <c r="A4940" s="61" t="n">
        <v>59</v>
      </c>
      <c r="B4940" s="62" t="inlineStr">
        <is>
          <t>def brier_score(predictions: list[float], outcomes: list[int]) -&gt; float:</t>
        </is>
      </c>
    </row>
    <row r="4941">
      <c r="A4941" s="61" t="n">
        <v>60</v>
      </c>
      <c r="B4941" s="62" t="inlineStr">
        <is>
          <t xml:space="preserve">    """Mean squared error of probabilities. 0 is perfect; always predicting 0.5 scores 0.25."""</t>
        </is>
      </c>
    </row>
    <row r="4942">
      <c r="A4942" s="61" t="n">
        <v>61</v>
      </c>
      <c r="B4942" s="62" t="inlineStr">
        <is>
          <t xml:space="preserve">    return sum((p - y) ** 2 for p, y in zip(predictions, outcomes)) / len(predictions)</t>
        </is>
      </c>
    </row>
    <row r="4943">
      <c r="A4943" s="61" t="n">
        <v>62</v>
      </c>
      <c r="B4943" s="62" t="n"/>
    </row>
    <row r="4944">
      <c r="A4944" s="61" t="n">
        <v>63</v>
      </c>
      <c r="B4944" s="62" t="n"/>
    </row>
    <row r="4945">
      <c r="A4945" s="61" t="n">
        <v>64</v>
      </c>
      <c r="B4945" s="62" t="inlineStr">
        <is>
          <t>def log_loss(predictions: list[float], outcomes: list[int], eps: float = 1e-6) -&gt; float:</t>
        </is>
      </c>
    </row>
    <row r="4946">
      <c r="A4946" s="61" t="n">
        <v>65</v>
      </c>
      <c r="B4946" s="62" t="inlineStr">
        <is>
          <t xml:space="preserve">    total = 0.0</t>
        </is>
      </c>
    </row>
    <row r="4947">
      <c r="A4947" s="61" t="n">
        <v>66</v>
      </c>
      <c r="B4947" s="62" t="inlineStr">
        <is>
          <t xml:space="preserve">    for p, y in zip(predictions, outcomes):</t>
        </is>
      </c>
    </row>
    <row r="4948">
      <c r="A4948" s="61" t="n">
        <v>67</v>
      </c>
      <c r="B4948" s="62" t="inlineStr">
        <is>
          <t xml:space="preserve">        p = min(max(p, eps), 1 - eps)</t>
        </is>
      </c>
    </row>
    <row r="4949">
      <c r="A4949" s="61" t="n">
        <v>68</v>
      </c>
      <c r="B4949" s="62" t="inlineStr">
        <is>
          <t xml:space="preserve">        total += -(y * math.log(p) + (1 - y) * math.log(1 - p))</t>
        </is>
      </c>
    </row>
    <row r="4950">
      <c r="A4950" s="61" t="n">
        <v>69</v>
      </c>
      <c r="B4950" s="62" t="inlineStr">
        <is>
          <t xml:space="preserve">    return total / len(predictions)</t>
        </is>
      </c>
    </row>
    <row r="4951">
      <c r="A4951" s="61" t="n">
        <v>70</v>
      </c>
      <c r="B4951" s="62" t="n"/>
    </row>
    <row r="4952">
      <c r="A4952" s="61" t="n">
        <v>71</v>
      </c>
      <c r="B4952" s="62" t="n"/>
    </row>
    <row r="4953">
      <c r="A4953" s="61" t="n">
        <v>72</v>
      </c>
      <c r="B4953" s="62" t="inlineStr">
        <is>
          <t>def calibration_bins(predictions: list[float], outcomes: list[int], bins: int = 5) -&gt; list[dict]:</t>
        </is>
      </c>
    </row>
    <row r="4954">
      <c r="A4954" s="61" t="n">
        <v>73</v>
      </c>
      <c r="B4954" s="62" t="inlineStr">
        <is>
          <t xml:space="preserve">    """Groups predictions into equal-width bins and compares mean prediction with observed rate."""</t>
        </is>
      </c>
    </row>
    <row r="4955">
      <c r="A4955" s="61" t="n">
        <v>74</v>
      </c>
      <c r="B4955" s="62" t="inlineStr">
        <is>
          <t xml:space="preserve">    rows = []</t>
        </is>
      </c>
    </row>
    <row r="4956">
      <c r="A4956" s="61" t="n">
        <v>75</v>
      </c>
      <c r="B4956" s="62" t="inlineStr">
        <is>
          <t xml:space="preserve">    for b in range(bins):</t>
        </is>
      </c>
    </row>
    <row r="4957">
      <c r="A4957" s="61" t="n">
        <v>76</v>
      </c>
      <c r="B4957" s="62" t="inlineStr">
        <is>
          <t xml:space="preserve">        lo, hi = b / bins, (b + 1) / bins</t>
        </is>
      </c>
    </row>
    <row r="4958">
      <c r="A4958" s="61" t="n">
        <v>77</v>
      </c>
      <c r="B4958" s="62" t="inlineStr">
        <is>
          <t xml:space="preserve">        idx = [i for i, p in enumerate(predictions) if lo &lt;= p &lt; hi or (b == bins - 1 and p == 1.0)]</t>
        </is>
      </c>
    </row>
    <row r="4959">
      <c r="A4959" s="61" t="n">
        <v>78</v>
      </c>
      <c r="B4959" s="62" t="inlineStr">
        <is>
          <t xml:space="preserve">        if not idx:</t>
        </is>
      </c>
    </row>
    <row r="4960">
      <c r="A4960" s="61" t="n">
        <v>79</v>
      </c>
      <c r="B4960" s="62" t="inlineStr">
        <is>
          <t xml:space="preserve">            continue</t>
        </is>
      </c>
    </row>
    <row r="4961">
      <c r="A4961" s="61" t="n">
        <v>80</v>
      </c>
      <c r="B4961" s="62" t="inlineStr">
        <is>
          <t xml:space="preserve">        mean_p = sum(predictions[i] for i in idx) / len(idx)</t>
        </is>
      </c>
    </row>
    <row r="4962">
      <c r="A4962" s="61" t="n">
        <v>81</v>
      </c>
      <c r="B4962" s="62" t="inlineStr">
        <is>
          <t xml:space="preserve">        observed = sum(outcomes[i] for i in idx) / len(idx)</t>
        </is>
      </c>
    </row>
    <row r="4963">
      <c r="A4963" s="61" t="n">
        <v>82</v>
      </c>
      <c r="B4963" s="62" t="inlineStr">
        <is>
          <t xml:space="preserve">        rows.append({"bin": f"{lo:.1f}-{hi:.1f}", "n": len(idx), "mean_predicted": mean_p, "observed": observed})</t>
        </is>
      </c>
    </row>
    <row r="4964">
      <c r="A4964" s="61" t="n">
        <v>83</v>
      </c>
      <c r="B4964" s="62" t="inlineStr">
        <is>
          <t xml:space="preserve">    return rows</t>
        </is>
      </c>
    </row>
    <row r="4967">
      <c r="A4967" s="60" t="inlineStr">
        <is>
          <t>C75</t>
        </is>
      </c>
      <c r="B4967" s="60" t="inlineStr">
        <is>
          <t>evaluation/test_metrics.py   ·   Phase P12   ·   Metric unit tests.</t>
        </is>
      </c>
    </row>
    <row r="4968">
      <c r="B4968" s="55" t="inlineStr">
        <is>
          <t>↑ back to Code Index</t>
        </is>
      </c>
    </row>
    <row r="4969">
      <c r="A4969" s="61" t="n">
        <v>1</v>
      </c>
      <c r="B4969" s="62" t="inlineStr">
        <is>
          <t>import pytest</t>
        </is>
      </c>
    </row>
    <row r="4970">
      <c r="A4970" s="61" t="n">
        <v>2</v>
      </c>
      <c r="B4970" s="62" t="n"/>
    </row>
    <row r="4971">
      <c r="A4971" s="61" t="n">
        <v>3</v>
      </c>
      <c r="B4971" s="62" t="inlineStr">
        <is>
          <t>from metrics import Confusion, brier_score, calibration_bins, log_loss, wilson_interval</t>
        </is>
      </c>
    </row>
    <row r="4972">
      <c r="A4972" s="61" t="n">
        <v>4</v>
      </c>
      <c r="B4972" s="62" t="n"/>
    </row>
    <row r="4973">
      <c r="A4973" s="61" t="n">
        <v>5</v>
      </c>
      <c r="B4973" s="62" t="n"/>
    </row>
    <row r="4974">
      <c r="A4974" s="61" t="n">
        <v>6</v>
      </c>
      <c r="B4974" s="62" t="inlineStr">
        <is>
          <t>def test_confusion_metrics():</t>
        </is>
      </c>
    </row>
    <row r="4975">
      <c r="A4975" s="61" t="n">
        <v>7</v>
      </c>
      <c r="B4975" s="62" t="inlineStr">
        <is>
          <t xml:space="preserve">    c = Confusion()</t>
        </is>
      </c>
    </row>
    <row r="4976">
      <c r="A4976" s="61" t="n">
        <v>8</v>
      </c>
      <c r="B4976" s="62" t="inlineStr">
        <is>
          <t xml:space="preserve">    for predicted, actual in [(True, True)] * 8 + [(True, False)] * 2 + [(False, True)] * 4 + [(False, False)] * 86:</t>
        </is>
      </c>
    </row>
    <row r="4977">
      <c r="A4977" s="61" t="n">
        <v>9</v>
      </c>
      <c r="B4977" s="62" t="inlineStr">
        <is>
          <t xml:space="preserve">        c.add(predicted, actual)</t>
        </is>
      </c>
    </row>
    <row r="4978">
      <c r="A4978" s="61" t="n">
        <v>10</v>
      </c>
      <c r="B4978" s="62" t="inlineStr">
        <is>
          <t xml:space="preserve">    assert c.precision == pytest.approx(0.8)</t>
        </is>
      </c>
    </row>
    <row r="4979">
      <c r="A4979" s="61" t="n">
        <v>11</v>
      </c>
      <c r="B4979" s="62" t="inlineStr">
        <is>
          <t xml:space="preserve">    assert c.recall == pytest.approx(8 / 12)</t>
        </is>
      </c>
    </row>
    <row r="4980">
      <c r="A4980" s="61" t="n">
        <v>12</v>
      </c>
      <c r="B4980" s="62" t="inlineStr">
        <is>
          <t xml:space="preserve">    low, high = c.report()["precision_95ci"]</t>
        </is>
      </c>
    </row>
    <row r="4981">
      <c r="A4981" s="61" t="n">
        <v>13</v>
      </c>
      <c r="B4981" s="62" t="inlineStr">
        <is>
          <t xml:space="preserve">    assert low &lt; 0.8 &lt; high</t>
        </is>
      </c>
    </row>
    <row r="4982">
      <c r="A4982" s="61" t="n">
        <v>14</v>
      </c>
      <c r="B4982" s="62" t="n"/>
    </row>
    <row r="4983">
      <c r="A4983" s="61" t="n">
        <v>15</v>
      </c>
      <c r="B4983" s="62" t="n"/>
    </row>
    <row r="4984">
      <c r="A4984" s="61" t="n">
        <v>16</v>
      </c>
      <c r="B4984" s="62" t="inlineStr">
        <is>
          <t>def test_wilson_handles_extremes():</t>
        </is>
      </c>
    </row>
    <row r="4985">
      <c r="A4985" s="61" t="n">
        <v>17</v>
      </c>
      <c r="B4985" s="62" t="inlineStr">
        <is>
          <t xml:space="preserve">    assert wilson_interval(0, 0) == (0.0, 1.0)</t>
        </is>
      </c>
    </row>
    <row r="4986">
      <c r="A4986" s="61" t="n">
        <v>18</v>
      </c>
      <c r="B4986" s="62" t="inlineStr">
        <is>
          <t xml:space="preserve">    low, high = wilson_interval(10, 10)</t>
        </is>
      </c>
    </row>
    <row r="4987">
      <c r="A4987" s="61" t="n">
        <v>19</v>
      </c>
      <c r="B4987" s="62" t="inlineStr">
        <is>
          <t xml:space="preserve">    assert high == pytest.approx(1.0) and low &gt; 0.6</t>
        </is>
      </c>
    </row>
    <row r="4988">
      <c r="A4988" s="61" t="n">
        <v>20</v>
      </c>
      <c r="B4988" s="62" t="n"/>
    </row>
    <row r="4989">
      <c r="A4989" s="61" t="n">
        <v>21</v>
      </c>
      <c r="B4989" s="62" t="n"/>
    </row>
    <row r="4990">
      <c r="A4990" s="61" t="n">
        <v>22</v>
      </c>
      <c r="B4990" s="62" t="inlineStr">
        <is>
          <t>def test_probability_scores():</t>
        </is>
      </c>
    </row>
    <row r="4991">
      <c r="A4991" s="61" t="n">
        <v>23</v>
      </c>
      <c r="B4991" s="62" t="inlineStr">
        <is>
          <t xml:space="preserve">    assert brier_score([0.5, 0.5], [1, 0]) == pytest.approx(0.25)</t>
        </is>
      </c>
    </row>
    <row r="4992">
      <c r="A4992" s="61" t="n">
        <v>24</v>
      </c>
      <c r="B4992" s="62" t="inlineStr">
        <is>
          <t xml:space="preserve">    assert log_loss([0.9], [1]) &lt; log_loss([0.6], [1])</t>
        </is>
      </c>
    </row>
    <row r="4993">
      <c r="A4993" s="61" t="n">
        <v>25</v>
      </c>
      <c r="B4993" s="62" t="inlineStr">
        <is>
          <t xml:space="preserve">    assert calibration_bins([0.1, 0.15, 0.9], [0, 0, 1], bins=5)[0]["n"] == 2</t>
        </is>
      </c>
    </row>
    <row r="4996">
      <c r="A4996" s="60" t="inlineStr">
        <is>
          <t>C76</t>
        </is>
      </c>
      <c r="B4996" s="60" t="inlineStr">
        <is>
          <t>evaluation/run_eval.py   ·   Phase P12   ·   Versioned evaluation runs: real-game labels and puzzle agreement.</t>
        </is>
      </c>
    </row>
    <row r="4997">
      <c r="B4997" s="55" t="inlineStr">
        <is>
          <t>↑ back to Code Index</t>
        </is>
      </c>
    </row>
    <row r="4998">
      <c r="A4998" s="61" t="n">
        <v>1</v>
      </c>
      <c r="B4998" s="62" t="inlineStr">
        <is>
          <t>"""Versioned evaluation of the knight-fork detector. Run from services/backend so `app` imports work:</t>
        </is>
      </c>
    </row>
    <row r="4999">
      <c r="A4999" s="61" t="n">
        <v>2</v>
      </c>
      <c r="B4999" s="62" t="n"/>
    </row>
    <row r="5000">
      <c r="A5000" s="61" t="n">
        <v>3</v>
      </c>
      <c r="B5000" s="62" t="inlineStr">
        <is>
          <t xml:space="preserve">  cd services/backend</t>
        </is>
      </c>
    </row>
    <row r="5001">
      <c r="A5001" s="61" t="n">
        <v>4</v>
      </c>
      <c r="B5001" s="62" t="inlineStr">
        <is>
          <t xml:space="preserve">  uv run python ../../evaluation/run_eval.py real-games ../../evaluation/labels/real_positions_v1.csv</t>
        </is>
      </c>
    </row>
    <row r="5002">
      <c r="A5002" s="61" t="n">
        <v>5</v>
      </c>
      <c r="B5002" s="62" t="inlineStr">
        <is>
          <t xml:space="preserve">  uv run python ../../evaluation/run_eval.py puzzles ../../data/puzzles_subset.csv</t>
        </is>
      </c>
    </row>
    <row r="5003">
      <c r="A5003" s="61" t="n">
        <v>6</v>
      </c>
      <c r="B5003" s="62" t="n"/>
    </row>
    <row r="5004">
      <c r="A5004" s="61" t="n">
        <v>7</v>
      </c>
      <c r="B5004" s="62" t="inlineStr">
        <is>
          <t>Two DIFFERENT tasks, reported separately:</t>
        </is>
      </c>
    </row>
    <row r="5005">
      <c r="A5005" s="61" t="n">
        <v>8</v>
      </c>
      <c r="B5005" s="62" t="inlineStr">
        <is>
          <t xml:space="preserve">  real-games: "was a beneficial knight fork MISSED at this player turn?"  (independent human labels)</t>
        </is>
      </c>
    </row>
    <row r="5006">
      <c r="A5006" s="61" t="n">
        <v>9</v>
      </c>
      <c r="B5006" s="62" t="inlineStr">
        <is>
          <t xml:space="preserve">  puzzles:    "does a beneficial knight fork EXIST in this position?"     (agreement with Lichess theme tags)</t>
        </is>
      </c>
    </row>
    <row r="5007">
      <c r="A5007" s="61" t="n">
        <v>10</v>
      </c>
      <c r="B5007" s="62" t="inlineStr">
        <is>
          <t>"""</t>
        </is>
      </c>
    </row>
    <row r="5008">
      <c r="A5008" s="61" t="n">
        <v>11</v>
      </c>
      <c r="B5008" s="62" t="inlineStr">
        <is>
          <t>import csv</t>
        </is>
      </c>
    </row>
    <row r="5009">
      <c r="A5009" s="61" t="n">
        <v>12</v>
      </c>
      <c r="B5009" s="62" t="inlineStr">
        <is>
          <t>import json</t>
        </is>
      </c>
    </row>
    <row r="5010">
      <c r="A5010" s="61" t="n">
        <v>13</v>
      </c>
      <c r="B5010" s="62" t="inlineStr">
        <is>
          <t>import sys</t>
        </is>
      </c>
    </row>
    <row r="5011">
      <c r="A5011" s="61" t="n">
        <v>14</v>
      </c>
      <c r="B5011" s="62" t="inlineStr">
        <is>
          <t>from datetime import date</t>
        </is>
      </c>
    </row>
    <row r="5012">
      <c r="A5012" s="61" t="n">
        <v>15</v>
      </c>
      <c r="B5012" s="62" t="inlineStr">
        <is>
          <t>from pathlib import Path</t>
        </is>
      </c>
    </row>
    <row r="5013">
      <c r="A5013" s="61" t="n">
        <v>16</v>
      </c>
      <c r="B5013" s="62" t="n"/>
    </row>
    <row r="5014">
      <c r="A5014" s="61" t="n">
        <v>17</v>
      </c>
      <c r="B5014" s="62" t="inlineStr">
        <is>
          <t>import chess</t>
        </is>
      </c>
    </row>
    <row r="5015">
      <c r="A5015" s="61" t="n">
        <v>18</v>
      </c>
      <c r="B5015" s="62" t="n"/>
    </row>
    <row r="5016">
      <c r="A5016" s="61" t="n">
        <v>19</v>
      </c>
      <c r="B5016" s="62" t="inlineStr">
        <is>
          <t>sys.path.insert(0, str(Path(__file__).resolve().parent))</t>
        </is>
      </c>
    </row>
    <row r="5017">
      <c r="A5017" s="61" t="n">
        <v>20</v>
      </c>
      <c r="B5017" s="62" t="inlineStr">
        <is>
          <t>from metrics import Confusion  # noqa: E402</t>
        </is>
      </c>
    </row>
    <row r="5018">
      <c r="A5018" s="61" t="n">
        <v>21</v>
      </c>
      <c r="B5018" s="62" t="n"/>
    </row>
    <row r="5019">
      <c r="A5019" s="61" t="n">
        <v>22</v>
      </c>
      <c r="B5019" s="62" t="inlineStr">
        <is>
          <t>from app.analysis.engine import MoveEval  # noqa: E402</t>
        </is>
      </c>
    </row>
    <row r="5020">
      <c r="A5020" s="61" t="n">
        <v>23</v>
      </c>
      <c r="B5020" s="62" t="inlineStr">
        <is>
          <t>from app.analysis.forks import knight_fork_candidates  # noqa: E402</t>
        </is>
      </c>
    </row>
    <row r="5021">
      <c r="A5021" s="61" t="n">
        <v>24</v>
      </c>
      <c r="B5021" s="62" t="inlineStr">
        <is>
          <t>from app.analysis.pipeline import PIPELINE_VERSION  # noqa: E402</t>
        </is>
      </c>
    </row>
    <row r="5022">
      <c r="A5022" s="61" t="n">
        <v>25</v>
      </c>
      <c r="B5022" s="62" t="inlineStr">
        <is>
          <t>from app.analysis.verify import verify_fork  # noqa: E402</t>
        </is>
      </c>
    </row>
    <row r="5023">
      <c r="A5023" s="61" t="n">
        <v>26</v>
      </c>
      <c r="B5023" s="62" t="inlineStr">
        <is>
          <t>from app.jobs.handlers import evaluator  # noqa: E402</t>
        </is>
      </c>
    </row>
    <row r="5024">
      <c r="A5024" s="61" t="n">
        <v>27</v>
      </c>
      <c r="B5024" s="62" t="n"/>
    </row>
    <row r="5025">
      <c r="A5025" s="61" t="n">
        <v>28</v>
      </c>
      <c r="B5025" s="62" t="inlineStr">
        <is>
          <t>FROZEN_THRESHOLDS = "MISS_THRESHOLD_CP=150, MIN_MATERIAL_GAIN=2, LINE_PLIES=10"  # freeze BEFORE the final test</t>
        </is>
      </c>
    </row>
    <row r="5026">
      <c r="A5026" s="61" t="n">
        <v>29</v>
      </c>
      <c r="B5026" s="62" t="n"/>
    </row>
    <row r="5027">
      <c r="A5027" s="61" t="n">
        <v>30</v>
      </c>
      <c r="B5027" s="62" t="n"/>
    </row>
    <row r="5028">
      <c r="A5028" s="61" t="n">
        <v>31</v>
      </c>
      <c r="B5028" s="62" t="inlineStr">
        <is>
          <t>def board_from(row: dict) -&gt; chess.Board:</t>
        </is>
      </c>
    </row>
    <row r="5029">
      <c r="A5029" s="61" t="n">
        <v>32</v>
      </c>
      <c r="B5029" s="62" t="inlineStr">
        <is>
          <t xml:space="preserve">    board = chess.Board(row["start_fen"])</t>
        </is>
      </c>
    </row>
    <row r="5030">
      <c r="A5030" s="61" t="n">
        <v>33</v>
      </c>
      <c r="B5030" s="62" t="inlineStr">
        <is>
          <t xml:space="preserve">    for uci in filter(None, row.get("history_uci", "").split()):</t>
        </is>
      </c>
    </row>
    <row r="5031">
      <c r="A5031" s="61" t="n">
        <v>34</v>
      </c>
      <c r="B5031" s="62" t="inlineStr">
        <is>
          <t xml:space="preserve">        board.push_uci(uci)  # history matters for repetition-aware engine analysis</t>
        </is>
      </c>
    </row>
    <row r="5032">
      <c r="A5032" s="61" t="n">
        <v>35</v>
      </c>
      <c r="B5032" s="62" t="inlineStr">
        <is>
          <t xml:space="preserve">    return board</t>
        </is>
      </c>
    </row>
    <row r="5033">
      <c r="A5033" s="61" t="n">
        <v>36</v>
      </c>
      <c r="B5033" s="62" t="n"/>
    </row>
    <row r="5034">
      <c r="A5034" s="61" t="n">
        <v>37</v>
      </c>
      <c r="B5034" s="62" t="n"/>
    </row>
    <row r="5035">
      <c r="A5035" s="61" t="n">
        <v>38</v>
      </c>
      <c r="B5035" s="62" t="inlineStr">
        <is>
          <t>def detect_missed(board: chess.Board, actual_uci: str, ev) -&gt; bool:</t>
        </is>
      </c>
    </row>
    <row r="5036">
      <c r="A5036" s="61" t="n">
        <v>39</v>
      </c>
      <c r="B5036" s="62" t="inlineStr">
        <is>
          <t xml:space="preserve">    actual = chess.Move.from_uci(actual_uci)</t>
        </is>
      </c>
    </row>
    <row r="5037">
      <c r="A5037" s="61" t="n">
        <v>40</v>
      </c>
      <c r="B5037" s="62" t="inlineStr">
        <is>
          <t xml:space="preserve">    candidates = [c for c in knight_fork_candidates(board) if c.move != actual][:3]</t>
        </is>
      </c>
    </row>
    <row r="5038">
      <c r="A5038" s="61" t="n">
        <v>41</v>
      </c>
      <c r="B5038" s="62" t="inlineStr">
        <is>
          <t xml:space="preserve">    if not candidates:</t>
        </is>
      </c>
    </row>
    <row r="5039">
      <c r="A5039" s="61" t="n">
        <v>42</v>
      </c>
      <c r="B5039" s="62" t="inlineStr">
        <is>
          <t xml:space="preserve">        return False</t>
        </is>
      </c>
    </row>
    <row r="5040">
      <c r="A5040" s="61" t="n">
        <v>43</v>
      </c>
      <c r="B5040" s="62" t="inlineStr">
        <is>
          <t xml:space="preserve">    actual_eval = ev.eval_move(board, actual)</t>
        </is>
      </c>
    </row>
    <row r="5041">
      <c r="A5041" s="61" t="n">
        <v>44</v>
      </c>
      <c r="B5041" s="62" t="inlineStr">
        <is>
          <t xml:space="preserve">    return any(verify_fork(board, c, actual_eval, ev) for c in candidates)</t>
        </is>
      </c>
    </row>
    <row r="5042">
      <c r="A5042" s="61" t="n">
        <v>45</v>
      </c>
      <c r="B5042" s="62" t="n"/>
    </row>
    <row r="5043">
      <c r="A5043" s="61" t="n">
        <v>46</v>
      </c>
      <c r="B5043" s="62" t="n"/>
    </row>
    <row r="5044">
      <c r="A5044" s="61" t="n">
        <v>47</v>
      </c>
      <c r="B5044" s="62" t="inlineStr">
        <is>
          <t>def detect_exists(board: chess.Board, ev) -&gt; bool:</t>
        </is>
      </c>
    </row>
    <row r="5045">
      <c r="A5045" s="61" t="n">
        <v>48</v>
      </c>
      <c r="B5045" s="62" t="inlineStr">
        <is>
          <t xml:space="preserve">    worst = MoveEval(cp=-10**6, mate=None, pv=[])  # "compared with doing nothing": isolates benefit verification</t>
        </is>
      </c>
    </row>
    <row r="5046">
      <c r="A5046" s="61" t="n">
        <v>49</v>
      </c>
      <c r="B5046" s="62" t="inlineStr">
        <is>
          <t xml:space="preserve">    return any(verify_fork(board, c, worst, ev) for c in knight_fork_candidates(board)[:3])</t>
        </is>
      </c>
    </row>
    <row r="5047">
      <c r="A5047" s="61" t="n">
        <v>50</v>
      </c>
      <c r="B5047" s="62" t="n"/>
    </row>
    <row r="5048">
      <c r="A5048" s="61" t="n">
        <v>51</v>
      </c>
      <c r="B5048" s="62" t="n"/>
    </row>
    <row r="5049">
      <c r="A5049" s="61" t="n">
        <v>52</v>
      </c>
      <c r="B5049" s="62" t="inlineStr">
        <is>
          <t>def real_games(path: str) -&gt; dict:</t>
        </is>
      </c>
    </row>
    <row r="5050">
      <c r="A5050" s="61" t="n">
        <v>53</v>
      </c>
      <c r="B5050" s="62" t="inlineStr">
        <is>
          <t xml:space="preserve">    ev, confusion, errors = evaluator(), Confusion(), []</t>
        </is>
      </c>
    </row>
    <row r="5051">
      <c r="A5051" s="61" t="n">
        <v>54</v>
      </c>
      <c r="B5051" s="62" t="inlineStr">
        <is>
          <t xml:space="preserve">    for row in csv.DictReader(open(path, encoding="utf-8")):</t>
        </is>
      </c>
    </row>
    <row r="5052">
      <c r="A5052" s="61" t="n">
        <v>55</v>
      </c>
      <c r="B5052" s="62" t="inlineStr">
        <is>
          <t xml:space="preserve">        predicted = detect_missed(board_from(row), row["actual_uci"], ev)</t>
        </is>
      </c>
    </row>
    <row r="5053">
      <c r="A5053" s="61" t="n">
        <v>56</v>
      </c>
      <c r="B5053" s="62" t="inlineStr">
        <is>
          <t xml:space="preserve">        actual = row["label_missed_knight_fork"].strip() == "1"</t>
        </is>
      </c>
    </row>
    <row r="5054">
      <c r="A5054" s="61" t="n">
        <v>57</v>
      </c>
      <c r="B5054" s="62" t="inlineStr">
        <is>
          <t xml:space="preserve">        confusion.add(predicted, actual)</t>
        </is>
      </c>
    </row>
    <row r="5055">
      <c r="A5055" s="61" t="n">
        <v>58</v>
      </c>
      <c r="B5055" s="62" t="inlineStr">
        <is>
          <t xml:space="preserve">        if predicted != actual:</t>
        </is>
      </c>
    </row>
    <row r="5056">
      <c r="A5056" s="61" t="n">
        <v>59</v>
      </c>
      <c r="B5056" s="62" t="inlineStr">
        <is>
          <t xml:space="preserve">            errors.append({"position_id": row["position_id"], "predicted": predicted, "label": actual,</t>
        </is>
      </c>
    </row>
    <row r="5057">
      <c r="A5057" s="61" t="n">
        <v>60</v>
      </c>
      <c r="B5057" s="62" t="inlineStr">
        <is>
          <t xml:space="preserve">                           "notes": row.get("notes", "")})</t>
        </is>
      </c>
    </row>
    <row r="5058">
      <c r="A5058" s="61" t="n">
        <v>61</v>
      </c>
      <c r="B5058" s="62" t="inlineStr">
        <is>
          <t xml:space="preserve">    return {"task": "missed_knight_fork_in_real_games", "labels": path, **confusion.report(), "errors": errors}</t>
        </is>
      </c>
    </row>
    <row r="5059">
      <c r="A5059" s="61" t="n">
        <v>62</v>
      </c>
      <c r="B5059" s="62" t="n"/>
    </row>
    <row r="5060">
      <c r="A5060" s="61" t="n">
        <v>63</v>
      </c>
      <c r="B5060" s="62" t="n"/>
    </row>
    <row r="5061">
      <c r="A5061" s="61" t="n">
        <v>64</v>
      </c>
      <c r="B5061" s="62" t="inlineStr">
        <is>
          <t>def puzzles(path: str) -&gt; dict:</t>
        </is>
      </c>
    </row>
    <row r="5062">
      <c r="A5062" s="61" t="n">
        <v>65</v>
      </c>
      <c r="B5062" s="62" t="inlineStr">
        <is>
          <t xml:space="preserve">    ev, confusion = evaluator(), Confusion()</t>
        </is>
      </c>
    </row>
    <row r="5063">
      <c r="A5063" s="61" t="n">
        <v>66</v>
      </c>
      <c r="B5063" s="62" t="inlineStr">
        <is>
          <t xml:space="preserve">    for row in csv.DictReader(open(path, encoding="utf-8")):</t>
        </is>
      </c>
    </row>
    <row r="5064">
      <c r="A5064" s="61" t="n">
        <v>67</v>
      </c>
      <c r="B5064" s="62" t="inlineStr">
        <is>
          <t xml:space="preserve">        if row["pool"] != "eval":</t>
        </is>
      </c>
    </row>
    <row r="5065">
      <c r="A5065" s="61" t="n">
        <v>68</v>
      </c>
      <c r="B5065" s="62" t="inlineStr">
        <is>
          <t xml:space="preserve">            continue  # only the frozen held-out pool; it is never served in practice</t>
        </is>
      </c>
    </row>
    <row r="5066">
      <c r="A5066" s="61" t="n">
        <v>69</v>
      </c>
      <c r="B5066" s="62" t="inlineStr">
        <is>
          <t xml:space="preserve">        board = chess.Board(row["playable_fen"])</t>
        </is>
      </c>
    </row>
    <row r="5067">
      <c r="A5067" s="61" t="n">
        <v>70</v>
      </c>
      <c r="B5067" s="62" t="inlineStr">
        <is>
          <t xml:space="preserve">        confusion.add(detect_exists(board, ev), row["concept"] == "knight_fork")</t>
        </is>
      </c>
    </row>
    <row r="5068">
      <c r="A5068" s="61" t="n">
        <v>71</v>
      </c>
      <c r="B5068" s="62" t="inlineStr">
        <is>
          <t xml:space="preserve">    return {"task": "knight_fork_theme_agreement_on_lichess_eval_pool", "dataset": path, **confusion.report(),</t>
        </is>
      </c>
    </row>
    <row r="5069">
      <c r="A5069" s="61" t="n">
        <v>72</v>
      </c>
      <c r="B5069" s="62" t="inlineStr">
        <is>
          <t xml:space="preserve">            "caveat": "Lichess themes are machine-generated; this is agreement, not ground truth."}</t>
        </is>
      </c>
    </row>
    <row r="5070">
      <c r="A5070" s="61" t="n">
        <v>73</v>
      </c>
      <c r="B5070" s="62" t="n"/>
    </row>
    <row r="5071">
      <c r="A5071" s="61" t="n">
        <v>74</v>
      </c>
      <c r="B5071" s="62" t="n"/>
    </row>
    <row r="5072">
      <c r="A5072" s="61" t="n">
        <v>75</v>
      </c>
      <c r="B5072" s="62" t="inlineStr">
        <is>
          <t>if __name__ == "__main__":</t>
        </is>
      </c>
    </row>
    <row r="5073">
      <c r="A5073" s="61" t="n">
        <v>76</v>
      </c>
      <c r="B5073" s="62" t="inlineStr">
        <is>
          <t xml:space="preserve">    mode, path = sys.argv[1], sys.argv[2]</t>
        </is>
      </c>
    </row>
    <row r="5074">
      <c r="A5074" s="61" t="n">
        <v>77</v>
      </c>
      <c r="B5074" s="62" t="inlineStr">
        <is>
          <t xml:space="preserve">    report = (real_games if mode == "real-games" else puzzles)(path)</t>
        </is>
      </c>
    </row>
    <row r="5075">
      <c r="A5075" s="61" t="n">
        <v>78</v>
      </c>
      <c r="B5075" s="62" t="inlineStr">
        <is>
          <t xml:space="preserve">    report.update({"pipeline_version": PIPELINE_VERSION, "thresholds": FROZEN_THRESHOLDS,</t>
        </is>
      </c>
    </row>
    <row r="5076">
      <c r="A5076" s="61" t="n">
        <v>79</v>
      </c>
      <c r="B5076" s="62" t="inlineStr">
        <is>
          <t xml:space="preserve">                   "engine": evaluator().name, "limits": evaluator().limits, "date": date.today().isoformat()})</t>
        </is>
      </c>
    </row>
    <row r="5077">
      <c r="A5077" s="61" t="n">
        <v>80</v>
      </c>
      <c r="B5077" s="62" t="inlineStr">
        <is>
          <t xml:space="preserve">    out = Path("../../evaluation/reports") / f"{mode}-{PIPELINE_VERSION}-{date.today().isoformat()}.json"</t>
        </is>
      </c>
    </row>
    <row r="5078">
      <c r="A5078" s="61" t="n">
        <v>81</v>
      </c>
      <c r="B5078" s="62" t="inlineStr">
        <is>
          <t xml:space="preserve">    out.parent.mkdir(parents=True, exist_ok=True)</t>
        </is>
      </c>
    </row>
    <row r="5079">
      <c r="A5079" s="61" t="n">
        <v>82</v>
      </c>
      <c r="B5079" s="62" t="inlineStr">
        <is>
          <t xml:space="preserve">    out.write_text(json.dumps(report, indent=2, default=str))</t>
        </is>
      </c>
    </row>
    <row r="5080">
      <c r="A5080" s="61" t="n">
        <v>83</v>
      </c>
      <c r="B5080" s="62" t="inlineStr">
        <is>
          <t xml:space="preserve">    print(json.dumps({k: v for k, v in report.items() if k != "errors"}, indent=2, default=str))</t>
        </is>
      </c>
    </row>
    <row r="5081">
      <c r="A5081" s="61" t="n">
        <v>84</v>
      </c>
      <c r="B5081" s="62" t="inlineStr">
        <is>
          <t xml:space="preserve">    evaluator().close()</t>
        </is>
      </c>
    </row>
    <row r="5084">
      <c r="A5084" s="60" t="inlineStr">
        <is>
          <t>C77</t>
        </is>
      </c>
      <c r="B5084" s="60" t="inlineStr">
        <is>
          <t>evaluation/labels/real_positions_TEMPLATE.csv   ·   Phase P12   ·   Column layout for hand-labelled positions.</t>
        </is>
      </c>
    </row>
    <row r="5085">
      <c r="B5085" s="55" t="inlineStr">
        <is>
          <t>↑ back to Code Index</t>
        </is>
      </c>
    </row>
    <row r="5086">
      <c r="A5086" s="61" t="n">
        <v>1</v>
      </c>
      <c r="B5086" s="62" t="inlineStr">
        <is>
          <t>position_id,source_game,start_fen,history_uci,actual_uci,player_color,label_missed_knight_fork,reviewer,second_reviewer_label,notes</t>
        </is>
      </c>
    </row>
    <row r="5087">
      <c r="A5087" s="61" t="n">
        <v>2</v>
      </c>
      <c r="B5087" s="62" t="inlineStr">
        <is>
          <t>EXAMPLE-001,lichess:abcd1234,rnbqkbnr/pppppppp/8/8/8/8/PPPPPPPP/RNBQKBNR w KQkq - 0 1,e2e4 c7c6 g1f3 d8c7,d2d4,white,0,you,,ordinary turn: no fork available</t>
        </is>
      </c>
    </row>
    <row r="5090">
      <c r="A5090" s="60" t="inlineStr">
        <is>
          <t>C78</t>
        </is>
      </c>
      <c r="B5090" s="60" t="inlineStr">
        <is>
          <t>services/backend/app/api/me.py   ·   Phase P13   ·   Delete my data.</t>
        </is>
      </c>
    </row>
    <row r="5091">
      <c r="B5091" s="55" t="inlineStr">
        <is>
          <t>↑ back to Code Index</t>
        </is>
      </c>
    </row>
    <row r="5092">
      <c r="A5092" s="61" t="n">
        <v>1</v>
      </c>
      <c r="B5092" s="62" t="inlineStr">
        <is>
          <t>from fastapi import APIRouter, Depends, Response</t>
        </is>
      </c>
    </row>
    <row r="5093">
      <c r="A5093" s="61" t="n">
        <v>2</v>
      </c>
      <c r="B5093" s="62" t="inlineStr">
        <is>
          <t>from sqlalchemy import delete, update</t>
        </is>
      </c>
    </row>
    <row r="5094">
      <c r="A5094" s="61" t="n">
        <v>3</v>
      </c>
      <c r="B5094" s="62" t="inlineStr">
        <is>
          <t>from sqlalchemy.orm import Session</t>
        </is>
      </c>
    </row>
    <row r="5095">
      <c r="A5095" s="61" t="n">
        <v>4</v>
      </c>
      <c r="B5095" s="62" t="n"/>
    </row>
    <row r="5096">
      <c r="A5096" s="61" t="n">
        <v>5</v>
      </c>
      <c r="B5096" s="62" t="inlineStr">
        <is>
          <t>from app.db import get_db</t>
        </is>
      </c>
    </row>
    <row r="5097">
      <c r="A5097" s="61" t="n">
        <v>6</v>
      </c>
      <c r="B5097" s="62" t="inlineStr">
        <is>
          <t>from app.models import Job, Visitor</t>
        </is>
      </c>
    </row>
    <row r="5098">
      <c r="A5098" s="61" t="n">
        <v>7</v>
      </c>
      <c r="B5098" s="62" t="inlineStr">
        <is>
          <t>from app.security import current_visitor</t>
        </is>
      </c>
    </row>
    <row r="5099">
      <c r="A5099" s="61" t="n">
        <v>8</v>
      </c>
      <c r="B5099" s="62" t="n"/>
    </row>
    <row r="5100">
      <c r="A5100" s="61" t="n">
        <v>9</v>
      </c>
      <c r="B5100" s="62" t="inlineStr">
        <is>
          <t>router = APIRouter(prefix="/v1/me", tags=["privacy"])</t>
        </is>
      </c>
    </row>
    <row r="5101">
      <c r="A5101" s="61" t="n">
        <v>10</v>
      </c>
      <c r="B5101" s="62" t="n"/>
    </row>
    <row r="5102">
      <c r="A5102" s="61" t="n">
        <v>11</v>
      </c>
      <c r="B5102" s="62" t="n"/>
    </row>
    <row r="5103">
      <c r="A5103" s="61" t="n">
        <v>12</v>
      </c>
      <c r="B5103" s="62" t="inlineStr">
        <is>
          <t>@router.delete("/data", status_code=204)</t>
        </is>
      </c>
    </row>
    <row r="5104">
      <c r="A5104" s="61" t="n">
        <v>13</v>
      </c>
      <c r="B5104" s="62" t="inlineStr">
        <is>
          <t>def delete_my_data(visitor: Visitor = Depends(current_visitor), db: Session = Depends(get_db)) -&gt; Response:</t>
        </is>
      </c>
    </row>
    <row r="5105">
      <c r="A5105" s="61" t="n">
        <v>14</v>
      </c>
      <c r="B5105" s="62" t="inlineStr">
        <is>
          <t xml:space="preserve">    """Cancels owned work, then deletes the visitor; foreign keys with ON DELETE CASCADE remove the rest."""</t>
        </is>
      </c>
    </row>
    <row r="5106">
      <c r="A5106" s="61" t="n">
        <v>15</v>
      </c>
      <c r="B5106" s="62" t="inlineStr">
        <is>
          <t xml:space="preserve">    db.execute(update(Job).where(Job.owner_id == visitor.id, Job.status.in_(("queued", "retry_wait", "running")))</t>
        </is>
      </c>
    </row>
    <row r="5107">
      <c r="A5107" s="61" t="n">
        <v>16</v>
      </c>
      <c r="B5107" s="62" t="inlineStr">
        <is>
          <t xml:space="preserve">               .values(cancel_requested=True))</t>
        </is>
      </c>
    </row>
    <row r="5108">
      <c r="A5108" s="61" t="n">
        <v>17</v>
      </c>
      <c r="B5108" s="62" t="inlineStr">
        <is>
          <t xml:space="preserve">    db.execute(delete(Visitor).where(Visitor.id == visitor.id))</t>
        </is>
      </c>
    </row>
    <row r="5109">
      <c r="A5109" s="61" t="n">
        <v>18</v>
      </c>
      <c r="B5109" s="62" t="inlineStr">
        <is>
          <t xml:space="preserve">    db.commit()</t>
        </is>
      </c>
    </row>
    <row r="5110">
      <c r="A5110" s="61" t="n">
        <v>19</v>
      </c>
      <c r="B5110" s="62" t="inlineStr">
        <is>
          <t xml:space="preserve">    return Response(status_code=204)</t>
        </is>
      </c>
    </row>
    <row r="5113">
      <c r="A5113" s="60" t="inlineStr">
        <is>
          <t>C79</t>
        </is>
      </c>
      <c r="B5113" s="60" t="inlineStr">
        <is>
          <t>services/backend/app/cleanup.py   ·   Phase P13   ·   Retention: expired guests and abandoned exercises.</t>
        </is>
      </c>
    </row>
    <row r="5114">
      <c r="B5114" s="55" t="inlineStr">
        <is>
          <t>↑ back to Code Index</t>
        </is>
      </c>
    </row>
    <row r="5115">
      <c r="A5115" s="61" t="n">
        <v>1</v>
      </c>
      <c r="B5115" s="62" t="inlineStr">
        <is>
          <t>"""Data-retention housekeeping:  python -m app.cleanup   (the worker also runs it once an hour)</t>
        </is>
      </c>
    </row>
    <row r="5116">
      <c r="A5116" s="61" t="n">
        <v>2</v>
      </c>
      <c r="B5116" s="62" t="n"/>
    </row>
    <row r="5117">
      <c r="A5117" s="61" t="n">
        <v>3</v>
      </c>
      <c r="B5117" s="62" t="inlineStr">
        <is>
          <t>* Deletes guests whose sliding 30-day expiry has passed (ON DELETE CASCADE removes their data).</t>
        </is>
      </c>
    </row>
    <row r="5118">
      <c r="A5118" s="61" t="n">
        <v>4</v>
      </c>
      <c r="B5118" s="62" t="inlineStr">
        <is>
          <t>* Marks practice sessions left open for 2+ days as abandoned (they never update ratings).</t>
        </is>
      </c>
    </row>
    <row r="5119">
      <c r="A5119" s="61" t="n">
        <v>5</v>
      </c>
      <c r="B5119" s="62" t="inlineStr">
        <is>
          <t>"""</t>
        </is>
      </c>
    </row>
    <row r="5120">
      <c r="A5120" s="61" t="n">
        <v>6</v>
      </c>
      <c r="B5120" s="62" t="inlineStr">
        <is>
          <t>import logging</t>
        </is>
      </c>
    </row>
    <row r="5121">
      <c r="A5121" s="61" t="n">
        <v>7</v>
      </c>
      <c r="B5121" s="62" t="inlineStr">
        <is>
          <t>from datetime import datetime, timedelta, timezone</t>
        </is>
      </c>
    </row>
    <row r="5122">
      <c r="A5122" s="61" t="n">
        <v>8</v>
      </c>
      <c r="B5122" s="62" t="n"/>
    </row>
    <row r="5123">
      <c r="A5123" s="61" t="n">
        <v>9</v>
      </c>
      <c r="B5123" s="62" t="inlineStr">
        <is>
          <t>from sqlalchemy import delete, update</t>
        </is>
      </c>
    </row>
    <row r="5124">
      <c r="A5124" s="61" t="n">
        <v>10</v>
      </c>
      <c r="B5124" s="62" t="n"/>
    </row>
    <row r="5125">
      <c r="A5125" s="61" t="n">
        <v>11</v>
      </c>
      <c r="B5125" s="62" t="inlineStr">
        <is>
          <t>from app.db import SessionLocal</t>
        </is>
      </c>
    </row>
    <row r="5126">
      <c r="A5126" s="61" t="n">
        <v>12</v>
      </c>
      <c r="B5126" s="62" t="inlineStr">
        <is>
          <t>from app.models import PracticeSession, Visitor</t>
        </is>
      </c>
    </row>
    <row r="5127">
      <c r="A5127" s="61" t="n">
        <v>13</v>
      </c>
      <c r="B5127" s="62" t="n"/>
    </row>
    <row r="5128">
      <c r="A5128" s="61" t="n">
        <v>14</v>
      </c>
      <c r="B5128" s="62" t="inlineStr">
        <is>
          <t>log = logging.getLogger("chesslab.cleanup")</t>
        </is>
      </c>
    </row>
    <row r="5129">
      <c r="A5129" s="61" t="n">
        <v>15</v>
      </c>
      <c r="B5129" s="62" t="n"/>
    </row>
    <row r="5130">
      <c r="A5130" s="61" t="n">
        <v>16</v>
      </c>
      <c r="B5130" s="62" t="n"/>
    </row>
    <row r="5131">
      <c r="A5131" s="61" t="n">
        <v>17</v>
      </c>
      <c r="B5131" s="62" t="inlineStr">
        <is>
          <t>def run() -&gt; dict:</t>
        </is>
      </c>
    </row>
    <row r="5132">
      <c r="A5132" s="61" t="n">
        <v>18</v>
      </c>
      <c r="B5132" s="62" t="inlineStr">
        <is>
          <t xml:space="preserve">    now = datetime.now(timezone.utc)</t>
        </is>
      </c>
    </row>
    <row r="5133">
      <c r="A5133" s="61" t="n">
        <v>19</v>
      </c>
      <c r="B5133" s="62" t="inlineStr">
        <is>
          <t xml:space="preserve">    with SessionLocal() as db:</t>
        </is>
      </c>
    </row>
    <row r="5134">
      <c r="A5134" s="61" t="n">
        <v>20</v>
      </c>
      <c r="B5134" s="62" t="inlineStr">
        <is>
          <t xml:space="preserve">        visitors = db.execute(delete(Visitor).where(Visitor.expires_at &lt; now)).rowcount</t>
        </is>
      </c>
    </row>
    <row r="5135">
      <c r="A5135" s="61" t="n">
        <v>21</v>
      </c>
      <c r="B5135" s="62" t="inlineStr">
        <is>
          <t xml:space="preserve">        abandoned = db.execute(</t>
        </is>
      </c>
    </row>
    <row r="5136">
      <c r="A5136" s="61" t="n">
        <v>22</v>
      </c>
      <c r="B5136" s="62" t="inlineStr">
        <is>
          <t xml:space="preserve">            update(PracticeSession)</t>
        </is>
      </c>
    </row>
    <row r="5137">
      <c r="A5137" s="61" t="n">
        <v>23</v>
      </c>
      <c r="B5137" s="62" t="inlineStr">
        <is>
          <t xml:space="preserve">            .where(PracticeSession.state == "active", PracticeSession.started_at &lt; now - timedelta(days=2))</t>
        </is>
      </c>
    </row>
    <row r="5138">
      <c r="A5138" s="61" t="n">
        <v>24</v>
      </c>
      <c r="B5138" s="62" t="inlineStr">
        <is>
          <t xml:space="preserve">            .values(state="abandoned")</t>
        </is>
      </c>
    </row>
    <row r="5139">
      <c r="A5139" s="61" t="n">
        <v>25</v>
      </c>
      <c r="B5139" s="62" t="inlineStr">
        <is>
          <t xml:space="preserve">        ).rowcount</t>
        </is>
      </c>
    </row>
    <row r="5140">
      <c r="A5140" s="61" t="n">
        <v>26</v>
      </c>
      <c r="B5140" s="62" t="inlineStr">
        <is>
          <t xml:space="preserve">        db.commit()</t>
        </is>
      </c>
    </row>
    <row r="5141">
      <c r="A5141" s="61" t="n">
        <v>27</v>
      </c>
      <c r="B5141" s="62" t="inlineStr">
        <is>
          <t xml:space="preserve">    summary = {"expired_visitors_deleted": visitors, "practice_sessions_abandoned": abandoned}</t>
        </is>
      </c>
    </row>
    <row r="5142">
      <c r="A5142" s="61" t="n">
        <v>28</v>
      </c>
      <c r="B5142" s="62" t="inlineStr">
        <is>
          <t xml:space="preserve">    log.info("cleanup %s", summary)</t>
        </is>
      </c>
    </row>
    <row r="5143">
      <c r="A5143" s="61" t="n">
        <v>29</v>
      </c>
      <c r="B5143" s="62" t="inlineStr">
        <is>
          <t xml:space="preserve">    return summary</t>
        </is>
      </c>
    </row>
    <row r="5144">
      <c r="A5144" s="61" t="n">
        <v>30</v>
      </c>
      <c r="B5144" s="62" t="n"/>
    </row>
    <row r="5145">
      <c r="A5145" s="61" t="n">
        <v>31</v>
      </c>
      <c r="B5145" s="62" t="n"/>
    </row>
    <row r="5146">
      <c r="A5146" s="61" t="n">
        <v>32</v>
      </c>
      <c r="B5146" s="62" t="inlineStr">
        <is>
          <t>if __name__ == "__main__":</t>
        </is>
      </c>
    </row>
    <row r="5147">
      <c r="A5147" s="61" t="n">
        <v>33</v>
      </c>
      <c r="B5147" s="62" t="inlineStr">
        <is>
          <t xml:space="preserve">    logging.basicConfig(level="INFO")</t>
        </is>
      </c>
    </row>
    <row r="5148">
      <c r="A5148" s="61" t="n">
        <v>34</v>
      </c>
      <c r="B5148" s="62" t="inlineStr">
        <is>
          <t xml:space="preserve">    print(run())</t>
        </is>
      </c>
    </row>
    <row r="5151">
      <c r="A5151" s="60" t="inlineStr">
        <is>
          <t>C80</t>
        </is>
      </c>
      <c r="B5151" s="60" t="inlineStr">
        <is>
          <t>ops/queue_stats.sql   ·   Phase P13   ·   Queue health queries.</t>
        </is>
      </c>
    </row>
    <row r="5152">
      <c r="B5152" s="55" t="inlineStr">
        <is>
          <t>↑ back to Code Index</t>
        </is>
      </c>
    </row>
    <row r="5153">
      <c r="A5153" s="61" t="n">
        <v>1</v>
      </c>
      <c r="B5153" s="62" t="inlineStr">
        <is>
          <t>-- Queue health at a glance.</t>
        </is>
      </c>
    </row>
    <row r="5154">
      <c r="A5154" s="61" t="n">
        <v>2</v>
      </c>
      <c r="B5154" s="62" t="inlineStr">
        <is>
          <t>-- Local (Git Bash):  docker compose exec -T db psql -U chesslab -d chesslab &lt; ops/queue_stats.sql</t>
        </is>
      </c>
    </row>
    <row r="5155">
      <c r="A5155" s="61" t="n">
        <v>3</v>
      </c>
      <c r="B5155" s="62" t="inlineStr">
        <is>
          <t>-- Production:  Render dashboard &gt; chesslab-db &gt; Connect (psql), then paste.</t>
        </is>
      </c>
    </row>
    <row r="5156">
      <c r="A5156" s="61" t="n">
        <v>4</v>
      </c>
      <c r="B5156" s="62" t="n"/>
    </row>
    <row r="5157">
      <c r="A5157" s="61" t="n">
        <v>5</v>
      </c>
      <c r="B5157" s="62" t="inlineStr">
        <is>
          <t>-- 1. How many jobs in each state, by kind</t>
        </is>
      </c>
    </row>
    <row r="5158">
      <c r="A5158" s="61" t="n">
        <v>6</v>
      </c>
      <c r="B5158" s="62" t="inlineStr">
        <is>
          <t>SELECT kind, status, count(*) FROM jobs GROUP BY kind, status ORDER BY kind, status;</t>
        </is>
      </c>
    </row>
    <row r="5159">
      <c r="A5159" s="61" t="n">
        <v>7</v>
      </c>
      <c r="B5159" s="62" t="n"/>
    </row>
    <row r="5160">
      <c r="A5160" s="61" t="n">
        <v>8</v>
      </c>
      <c r="B5160" s="62" t="inlineStr">
        <is>
          <t>-- 2. Waiting time of queued jobs (oldest first): is the worker keeping up?</t>
        </is>
      </c>
    </row>
    <row r="5161">
      <c r="A5161" s="61" t="n">
        <v>9</v>
      </c>
      <c r="B5161" s="62" t="inlineStr">
        <is>
          <t>SELECT id, kind, priority, now() - created_at AS waiting FROM jobs</t>
        </is>
      </c>
    </row>
    <row r="5162">
      <c r="A5162" s="61" t="n">
        <v>10</v>
      </c>
      <c r="B5162" s="62" t="inlineStr">
        <is>
          <t>WHERE status IN ('queued', 'retry_wait') ORDER BY created_at LIMIT 20;</t>
        </is>
      </c>
    </row>
    <row r="5163">
      <c r="A5163" s="61" t="n">
        <v>11</v>
      </c>
      <c r="B5163" s="62" t="n"/>
    </row>
    <row r="5164">
      <c r="A5164" s="61" t="n">
        <v>12</v>
      </c>
      <c r="B5164" s="62" t="inlineStr">
        <is>
          <t>-- 3. Total time from enqueue to finish, last 24 hours (p50 / p95 in seconds)</t>
        </is>
      </c>
    </row>
    <row r="5165">
      <c r="A5165" s="61" t="n">
        <v>13</v>
      </c>
      <c r="B5165" s="62" t="inlineStr">
        <is>
          <t>SELECT kind, count(*) AS n,</t>
        </is>
      </c>
    </row>
    <row r="5166">
      <c r="A5166" s="61" t="n">
        <v>14</v>
      </c>
      <c r="B5166" s="62" t="inlineStr">
        <is>
          <t xml:space="preserve">       percentile_cont(0.5)  WITHIN GROUP (ORDER BY EXTRACT(EPOCH FROM updated_at - created_at)) AS p50_s,</t>
        </is>
      </c>
    </row>
    <row r="5167">
      <c r="A5167" s="61" t="n">
        <v>15</v>
      </c>
      <c r="B5167" s="62" t="inlineStr">
        <is>
          <t xml:space="preserve">       percentile_cont(0.95) WITHIN GROUP (ORDER BY EXTRACT(EPOCH FROM updated_at - created_at)) AS p95_s</t>
        </is>
      </c>
    </row>
    <row r="5168">
      <c r="A5168" s="61" t="n">
        <v>16</v>
      </c>
      <c r="B5168" s="62" t="inlineStr">
        <is>
          <t>FROM jobs WHERE status = 'succeeded' AND updated_at &gt; now() - interval '24 hours' GROUP BY kind;</t>
        </is>
      </c>
    </row>
    <row r="5169">
      <c r="A5169" s="61" t="n">
        <v>17</v>
      </c>
      <c r="B5169" s="62" t="n"/>
    </row>
    <row r="5170">
      <c r="A5170" s="61" t="n">
        <v>18</v>
      </c>
      <c r="B5170" s="62" t="inlineStr">
        <is>
          <t>-- 4. Failures by error code (what should you fix first?)</t>
        </is>
      </c>
    </row>
    <row r="5171">
      <c r="A5171" s="61" t="n">
        <v>19</v>
      </c>
      <c r="B5171" s="62" t="inlineStr">
        <is>
          <t>SELECT kind, error_code, count(*) FROM jobs WHERE status = 'failed'</t>
        </is>
      </c>
    </row>
    <row r="5172">
      <c r="A5172" s="61" t="n">
        <v>20</v>
      </c>
      <c r="B5172" s="62" t="inlineStr">
        <is>
          <t>GROUP BY kind, error_code ORDER BY count(*) DESC;</t>
        </is>
      </c>
    </row>
    <row r="5173">
      <c r="A5173" s="61" t="n">
        <v>21</v>
      </c>
      <c r="B5173" s="62" t="n"/>
    </row>
    <row r="5174">
      <c r="A5174" s="61" t="n">
        <v>22</v>
      </c>
      <c r="B5174" s="62" t="inlineStr">
        <is>
          <t>-- 5. Running jobs whose lease already expired (did a worker die?)</t>
        </is>
      </c>
    </row>
    <row r="5175">
      <c r="A5175" s="61" t="n">
        <v>23</v>
      </c>
      <c r="B5175" s="62" t="inlineStr">
        <is>
          <t>SELECT id, kind, attempts, lease_expires_at FROM jobs</t>
        </is>
      </c>
    </row>
    <row r="5176">
      <c r="A5176" s="61" t="n">
        <v>24</v>
      </c>
      <c r="B5176" s="62" t="inlineStr">
        <is>
          <t>WHERE status = 'running' AND lease_expires_at &lt; now();</t>
        </is>
      </c>
    </row>
    <row r="5179">
      <c r="A5179" s="60" t="inlineStr">
        <is>
          <t>C81</t>
        </is>
      </c>
      <c r="B5179" s="60" t="inlineStr">
        <is>
          <t>apps/web/src/pages/MethodologyPage.tsx   ·   Phase P14   ·   Public methodology, limitations, licences, data use.</t>
        </is>
      </c>
    </row>
    <row r="5180">
      <c r="B5180" s="55" t="inlineStr">
        <is>
          <t>↑ back to Code Index</t>
        </is>
      </c>
    </row>
    <row r="5181">
      <c r="A5181" s="61" t="n">
        <v>1</v>
      </c>
      <c r="B5181" s="62" t="inlineStr">
        <is>
          <t>// A public, plain-language page. Replace every [bracketed] value with your measured numbers.</t>
        </is>
      </c>
    </row>
    <row r="5182">
      <c r="A5182" s="61" t="n">
        <v>2</v>
      </c>
      <c r="B5182" s="62" t="inlineStr">
        <is>
          <t>export function MethodologyPage() {</t>
        </is>
      </c>
    </row>
    <row r="5183">
      <c r="A5183" s="61" t="n">
        <v>3</v>
      </c>
      <c r="B5183" s="62" t="inlineStr">
        <is>
          <t xml:space="preserve">  return (</t>
        </is>
      </c>
    </row>
    <row r="5184">
      <c r="A5184" s="61" t="n">
        <v>4</v>
      </c>
      <c r="B5184" s="62" t="inlineStr">
        <is>
          <t xml:space="preserve">    &lt;article className="prose"&gt;</t>
        </is>
      </c>
    </row>
    <row r="5185">
      <c r="A5185" s="61" t="n">
        <v>5</v>
      </c>
      <c r="B5185" s="62" t="inlineStr">
        <is>
          <t xml:space="preserve">      &lt;h1&gt;How ChessLab works&lt;/h1&gt;</t>
        </is>
      </c>
    </row>
    <row r="5186">
      <c r="A5186" s="61" t="n">
        <v>6</v>
      </c>
      <c r="B5186" s="62" t="inlineStr">
        <is>
          <t xml:space="preserve">      &lt;h2&gt;What we detect&lt;/h2&gt;</t>
        </is>
      </c>
    </row>
    <row r="5187">
      <c r="A5187" s="61" t="n">
        <v>7</v>
      </c>
      <c r="B5187" s="62" t="inlineStr">
        <is>
          <t xml:space="preserve">      &lt;p&gt;Missed knight forks: positions where you could have played a knight move that attacked two or more</t>
        </is>
      </c>
    </row>
    <row r="5188">
      <c r="A5188" s="61" t="n">
        <v>8</v>
      </c>
      <c r="B5188" s="62" t="inlineStr">
        <is>
          <t xml:space="preserve">        valuable pieces, and where the engine's best line shows a concrete material gain (or mate) that you did not get.&lt;/p&gt;</t>
        </is>
      </c>
    </row>
    <row r="5189">
      <c r="A5189" s="61" t="n">
        <v>9</v>
      </c>
      <c r="B5189" s="62" t="inlineStr">
        <is>
          <t xml:space="preserve">      &lt;h2&gt;How a finding is verified&lt;/h2&gt;</t>
        </is>
      </c>
    </row>
    <row r="5190">
      <c r="A5190" s="61" t="n">
        <v>10</v>
      </c>
      <c r="B5190" s="62" t="inlineStr">
        <is>
          <t xml:space="preserve">      &lt;ol&gt;</t>
        </is>
      </c>
    </row>
    <row r="5191">
      <c r="A5191" s="61" t="n">
        <v>11</v>
      </c>
      <c r="B5191" s="62" t="inlineStr">
        <is>
          <t xml:space="preserve">        &lt;li&gt;Candidate: a legal knight move that attacks at least two worthwhile targets (king, rook, queen, or an undefended minor piece).&lt;/li&gt;</t>
        </is>
      </c>
    </row>
    <row r="5192">
      <c r="A5192" s="61" t="n">
        <v>12</v>
      </c>
      <c r="B5192" s="62" t="inlineStr">
        <is>
          <t xml:space="preserve">        &lt;li&gt;Benefit: Stockfish [version] at depth [N] / [T] s per move finds a line that captures a forked piece and nets at least 2 pawns of material, or forces mate.&lt;/li&gt;</t>
        </is>
      </c>
    </row>
    <row r="5193">
      <c r="A5193" s="61" t="n">
        <v>13</v>
      </c>
      <c r="B5193" s="62" t="inlineStr">
        <is>
          <t xml:space="preserve">        &lt;li&gt;Missed: the fork scores at least 1.5 pawns better than the move you played, measured the same way.&lt;/li&gt;</t>
        </is>
      </c>
    </row>
    <row r="5194">
      <c r="A5194" s="61" t="n">
        <v>14</v>
      </c>
      <c r="B5194" s="62" t="inlineStr">
        <is>
          <t xml:space="preserve">        &lt;li&gt;Every stored line is replayed and checked for legality before it is shown.&lt;/li&gt;</t>
        </is>
      </c>
    </row>
    <row r="5195">
      <c r="A5195" s="61" t="n">
        <v>15</v>
      </c>
      <c r="B5195" s="62" t="inlineStr">
        <is>
          <t xml:space="preserve">      &lt;/ol&gt;</t>
        </is>
      </c>
    </row>
    <row r="5196">
      <c r="A5196" s="61" t="n">
        <v>16</v>
      </c>
      <c r="B5196" s="62" t="inlineStr">
        <is>
          <t xml:space="preserve">      &lt;h2&gt;How well it works&lt;/h2&gt;</t>
        </is>
      </c>
    </row>
    <row r="5197">
      <c r="A5197" s="61" t="n">
        <v>17</v>
      </c>
      <c r="B5197" s="62" t="inlineStr">
        <is>
          <t xml:space="preserve">      &lt;p&gt;On [N] independently labelled positions from real games: precision [x]% (95% CI [a–b]%), recall [y]% (95% CI [c–d]%).</t>
        </is>
      </c>
    </row>
    <row r="5198">
      <c r="A5198" s="61" t="n">
        <v>18</v>
      </c>
      <c r="B5198" s="62" t="inlineStr">
        <is>
          <t xml:space="preserve">        On Lichess puzzles tagged "fork" with a knight move: theme agreement [z]%. Puzzle tags were themselves made by software,</t>
        </is>
      </c>
    </row>
    <row r="5199">
      <c r="A5199" s="61" t="n">
        <v>19</v>
      </c>
      <c r="B5199" s="62" t="inlineStr">
        <is>
          <t xml:space="preserve">        so this is agreement, not ground truth.&lt;/p&gt;</t>
        </is>
      </c>
    </row>
    <row r="5200">
      <c r="A5200" s="61" t="n">
        <v>20</v>
      </c>
      <c r="B5200" s="62" t="inlineStr">
        <is>
          <t xml:space="preserve">      &lt;h2&gt;Limitations&lt;/h2&gt;</t>
        </is>
      </c>
    </row>
    <row r="5201">
      <c r="A5201" s="61" t="n">
        <v>21</v>
      </c>
      <c r="B5201" s="62" t="inlineStr">
        <is>
          <t xml:space="preserve">      &lt;ul&gt;</t>
        </is>
      </c>
    </row>
    <row r="5202">
      <c r="A5202" s="61" t="n">
        <v>22</v>
      </c>
      <c r="B5202" s="62" t="inlineStr">
        <is>
          <t xml:space="preserve">        &lt;li&gt;Analysis uses a finite search budget. "Best line found" is strong evidence, not proof.&lt;/li&gt;</t>
        </is>
      </c>
    </row>
    <row r="5203">
      <c r="A5203" s="61" t="n">
        <v>23</v>
      </c>
      <c r="B5203" s="62" t="inlineStr">
        <is>
          <t xml:space="preserve">        &lt;li&gt;Counts of findings are detections under this pipeline, not a complete census of your mistakes.&lt;/li&gt;</t>
        </is>
      </c>
    </row>
    <row r="5204">
      <c r="A5204" s="61" t="n">
        <v>24</v>
      </c>
      <c r="B5204" s="62" t="inlineStr">
        <is>
          <t xml:space="preserve">        &lt;li&gt;Practice ratings are a provisional local scale. They are not your playing rating.&lt;/li&gt;</t>
        </is>
      </c>
    </row>
    <row r="5205">
      <c r="A5205" s="61" t="n">
        <v>25</v>
      </c>
      <c r="B5205" s="62" t="inlineStr">
        <is>
          <t xml:space="preserve">        &lt;li&gt;Improvement in practice does not show improvement in tournament games.&lt;/li&gt;</t>
        </is>
      </c>
    </row>
    <row r="5206">
      <c r="A5206" s="61" t="n">
        <v>26</v>
      </c>
      <c r="B5206" s="62" t="inlineStr">
        <is>
          <t xml:space="preserve">      &lt;/ul&gt;</t>
        </is>
      </c>
    </row>
    <row r="5207">
      <c r="A5207" s="61" t="n">
        <v>27</v>
      </c>
      <c r="B5207" s="62" t="inlineStr">
        <is>
          <t xml:space="preserve">      &lt;h2&gt;Third-party components&lt;/h2&gt;</t>
        </is>
      </c>
    </row>
    <row r="5208">
      <c r="A5208" s="61" t="n">
        <v>28</v>
      </c>
      <c r="B5208" s="62" t="inlineStr">
        <is>
          <t xml:space="preserve">      &lt;ul&gt;</t>
        </is>
      </c>
    </row>
    <row r="5209">
      <c r="A5209" s="61" t="n">
        <v>29</v>
      </c>
      <c r="B5209" s="62" t="inlineStr">
        <is>
          <t xml:space="preserve">        &lt;li&gt;Stockfish (GPLv3) for analysis and play: https://stockfishchess.org — source: https://github.com/official-stockfish/Stockfish&lt;/li&gt;</t>
        </is>
      </c>
    </row>
    <row r="5210">
      <c r="A5210" s="61" t="n">
        <v>30</v>
      </c>
      <c r="B5210" s="62" t="inlineStr">
        <is>
          <t xml:space="preserve">        &lt;li&gt;Stockfish.js WebAssembly build (GPLv3): https://github.com/nmrugg/stockfish.js&lt;/li&gt;</t>
        </is>
      </c>
    </row>
    <row r="5211">
      <c r="A5211" s="61" t="n">
        <v>31</v>
      </c>
      <c r="B5211" s="62" t="inlineStr">
        <is>
          <t xml:space="preserve">        &lt;li&gt;Lichess puzzle database (CC0): https://database.lichess.org/#puzzles&lt;/li&gt;</t>
        </is>
      </c>
    </row>
    <row r="5212">
      <c r="A5212" s="61" t="n">
        <v>32</v>
      </c>
      <c r="B5212" s="62" t="inlineStr">
        <is>
          <t xml:space="preserve">        &lt;li&gt;python-chess (GPLv3), chess.js (BSD-2), react-chessboard (MIT), FastAPI (MIT), React (MIT)&lt;/li&gt;</t>
        </is>
      </c>
    </row>
    <row r="5213">
      <c r="A5213" s="61" t="n">
        <v>33</v>
      </c>
      <c r="B5213" s="62" t="inlineStr">
        <is>
          <t xml:space="preserve">        &lt;li&gt;My original minimax engine; piece-square tables adapted from Sunfish (GPLv3).&lt;/li&gt;</t>
        </is>
      </c>
    </row>
    <row r="5214">
      <c r="A5214" s="61" t="n">
        <v>34</v>
      </c>
      <c r="B5214" s="62" t="inlineStr">
        <is>
          <t xml:space="preserve">      &lt;/ul&gt;</t>
        </is>
      </c>
    </row>
    <row r="5215">
      <c r="A5215" s="61" t="n">
        <v>35</v>
      </c>
      <c r="B5215" s="62" t="inlineStr">
        <is>
          <t xml:space="preserve">      &lt;h2&gt;Your data&lt;/h2&gt;</t>
        </is>
      </c>
    </row>
    <row r="5216">
      <c r="A5216" s="61" t="n">
        <v>36</v>
      </c>
      <c r="B5216" s="62" t="inlineStr">
        <is>
          <t xml:space="preserve">      &lt;p&gt;Guest data is tied to a random token stored in this browser. Inactive guests are deleted after 30 days.</t>
        </is>
      </c>
    </row>
    <row r="5217">
      <c r="A5217" s="61" t="n">
        <v>37</v>
      </c>
      <c r="B5217" s="62" t="inlineStr">
        <is>
          <t xml:space="preserve">        Use "Delete my data" at any time. We never ask for chess-site passwords.&lt;/p&gt;</t>
        </is>
      </c>
    </row>
    <row r="5218">
      <c r="A5218" s="61" t="n">
        <v>38</v>
      </c>
      <c r="B5218" s="62" t="inlineStr">
        <is>
          <t xml:space="preserve">    &lt;/article&gt;</t>
        </is>
      </c>
    </row>
    <row r="5219">
      <c r="A5219" s="61" t="n">
        <v>39</v>
      </c>
      <c r="B5219" s="62" t="inlineStr">
        <is>
          <t xml:space="preserve">  );</t>
        </is>
      </c>
    </row>
    <row r="5220">
      <c r="A5220" s="61" t="n">
        <v>40</v>
      </c>
      <c r="B5220" s="62" t="inlineStr">
        <is>
          <t>}</t>
        </is>
      </c>
    </row>
    <row r="5223">
      <c r="A5223" s="60" t="inlineStr">
        <is>
          <t>C82</t>
        </is>
      </c>
      <c r="B5223" s="60" t="inlineStr">
        <is>
          <t>docs/README_TEMPLATE.md   ·   Phase P14   ·   Recruiter-facing README skeleton.</t>
        </is>
      </c>
    </row>
    <row r="5224">
      <c r="B5224" s="55" t="inlineStr">
        <is>
          <t>↑ back to Code Index</t>
        </is>
      </c>
    </row>
    <row r="5225">
      <c r="A5225" s="61" t="n">
        <v>1</v>
      </c>
      <c r="B5225" s="62" t="inlineStr">
        <is>
          <t># ChessLab</t>
        </is>
      </c>
    </row>
    <row r="5226">
      <c r="A5226" s="61" t="n">
        <v>2</v>
      </c>
      <c r="B5226" s="62" t="n"/>
    </row>
    <row r="5227">
      <c r="A5227" s="61" t="n">
        <v>3</v>
      </c>
      <c r="B5227" s="62" t="inlineStr">
        <is>
          <t>**Turn your chess games into evidence-backed tactical lessons, then practise the idea in new positions.**</t>
        </is>
      </c>
    </row>
    <row r="5228">
      <c r="A5228" s="61" t="n">
        <v>4</v>
      </c>
      <c r="B5228" s="62" t="n"/>
    </row>
    <row r="5229">
      <c r="A5229" s="61" t="n">
        <v>5</v>
      </c>
      <c r="B5229" s="62" t="inlineStr">
        <is>
          <t>[Live app](https://YOUR-APP.vercel.app) · [90-second demo](LINK) · [Methodology](https://YOUR-APP.vercel.app/methodology)</t>
        </is>
      </c>
    </row>
    <row r="5230">
      <c r="A5230" s="61" t="n">
        <v>6</v>
      </c>
      <c r="B5230" s="62" t="n"/>
    </row>
    <row r="5231">
      <c r="A5231" s="61" t="n">
        <v>7</v>
      </c>
      <c r="B5231" s="62" t="inlineStr">
        <is>
          <t>![Review screen](docs/img/review.png)</t>
        </is>
      </c>
    </row>
    <row r="5232">
      <c r="A5232" s="61" t="n">
        <v>8</v>
      </c>
      <c r="B5232" s="62" t="n"/>
    </row>
    <row r="5233">
      <c r="A5233" s="61" t="n">
        <v>9</v>
      </c>
      <c r="B5233" s="62" t="inlineStr">
        <is>
          <t>## What it does</t>
        </is>
      </c>
    </row>
    <row r="5234">
      <c r="A5234" s="61" t="n">
        <v>10</v>
      </c>
      <c r="B5234" s="62" t="inlineStr">
        <is>
          <t>1. Play against Stockfish (in your browser) or against my original minimax engine.</t>
        </is>
      </c>
    </row>
    <row r="5235">
      <c r="A5235" s="61" t="n">
        <v>11</v>
      </c>
      <c r="B5235" s="62" t="inlineStr">
        <is>
          <t>2. Import your Lichess games (or upload PGN). A background worker analyses them.</t>
        </is>
      </c>
    </row>
    <row r="5236">
      <c r="A5236" s="61" t="n">
        <v>12</v>
      </c>
      <c r="B5236" s="62" t="inlineStr">
        <is>
          <t>3. See *verified* missed knight forks: the move, the line, the material it wins, and why.</t>
        </is>
      </c>
    </row>
    <row r="5237">
      <c r="A5237" s="61" t="n">
        <v>13</v>
      </c>
      <c r="B5237" s="62" t="inlineStr">
        <is>
          <t>4. Practise the same idea on new Lichess puzzles chosen for your level; track honest progress.</t>
        </is>
      </c>
    </row>
    <row r="5238">
      <c r="A5238" s="61" t="n">
        <v>14</v>
      </c>
      <c r="B5238" s="62" t="n"/>
    </row>
    <row r="5239">
      <c r="A5239" s="61" t="n">
        <v>15</v>
      </c>
      <c r="B5239" s="62" t="inlineStr">
        <is>
          <t>## What I built vs. what I integrated</t>
        </is>
      </c>
    </row>
    <row r="5240">
      <c r="A5240" s="61" t="n">
        <v>16</v>
      </c>
      <c r="B5240" s="62" t="inlineStr">
        <is>
          <t>| Built by me | Integrated |</t>
        </is>
      </c>
    </row>
    <row r="5241">
      <c r="A5241" s="61" t="n">
        <v>17</v>
      </c>
      <c r="B5241" s="62" t="inlineStr">
        <is>
          <t>|---|---|</t>
        </is>
      </c>
    </row>
    <row r="5242">
      <c r="A5242" s="61" t="n">
        <v>18</v>
      </c>
      <c r="B5242" s="62" t="inlineStr">
        <is>
          <t>| Original minimax + alpha-beta engine (kept as a playable baseline) | Stockfish (GPLv3) for play and analysis |</t>
        </is>
      </c>
    </row>
    <row r="5243">
      <c r="A5243" s="61" t="n">
        <v>19</v>
      </c>
      <c r="B5243" s="62" t="inlineStr">
        <is>
          <t>| Fork detector: candidate generation + engine-verified benefit | python-chess, chess.js, react-chessboard |</t>
        </is>
      </c>
    </row>
    <row r="5244">
      <c r="A5244" s="61" t="n">
        <v>20</v>
      </c>
      <c r="B5244" s="62" t="inlineStr">
        <is>
          <t>| Postgres job queue with leases, heartbeats, retries, fencing | Lichess API and CC0 puzzle database |</t>
        </is>
      </c>
    </row>
    <row r="5245">
      <c r="A5245" s="61" t="n">
        <v>21</v>
      </c>
      <c r="B5245" s="62" t="inlineStr">
        <is>
          <t>| Evidence records + deterministic explanations | FastAPI, SQLAlchemy, React, Vite |</t>
        </is>
      </c>
    </row>
    <row r="5246">
      <c r="A5246" s="61" t="n">
        <v>22</v>
      </c>
      <c r="B5246" s="62" t="inlineStr">
        <is>
          <t>| Elo-based learner model and adaptive selection | Render, Vercel, GitHub Actions |</t>
        </is>
      </c>
    </row>
    <row r="5247">
      <c r="A5247" s="61" t="n">
        <v>23</v>
      </c>
      <c r="B5247" s="62" t="inlineStr">
        <is>
          <t>| Evaluation pipeline (labelled positions, Wilson intervals) | |</t>
        </is>
      </c>
    </row>
    <row r="5248">
      <c r="A5248" s="61" t="n">
        <v>24</v>
      </c>
      <c r="B5248" s="62" t="n"/>
    </row>
    <row r="5249">
      <c r="A5249" s="61" t="n">
        <v>25</v>
      </c>
      <c r="B5249" s="62" t="inlineStr">
        <is>
          <t>## Architecture</t>
        </is>
      </c>
    </row>
    <row r="5250">
      <c r="A5250" s="61" t="n">
        <v>26</v>
      </c>
      <c r="B5250" s="62" t="inlineStr">
        <is>
          <t>Browser (React + Stockfish WASM) -&gt; FastAPI -&gt; PostgreSQL (data + job queue) &lt;- Worker (python-chess + Stockfish)</t>
        </is>
      </c>
    </row>
    <row r="5251">
      <c r="A5251" s="61" t="n">
        <v>27</v>
      </c>
      <c r="B5251" s="62" t="n"/>
    </row>
    <row r="5252">
      <c r="A5252" s="61" t="n">
        <v>28</v>
      </c>
      <c r="B5252" s="62" t="inlineStr">
        <is>
          <t>Key decisions: see docs/decisions.</t>
        </is>
      </c>
    </row>
    <row r="5253">
      <c r="A5253" s="61" t="n">
        <v>29</v>
      </c>
      <c r="B5253" s="62" t="n"/>
    </row>
    <row r="5254">
      <c r="A5254" s="61" t="n">
        <v>30</v>
      </c>
      <c r="B5254" s="62" t="inlineStr">
        <is>
          <t>## Results (real numbers only)</t>
        </is>
      </c>
    </row>
    <row r="5255">
      <c r="A5255" s="61" t="n">
        <v>31</v>
      </c>
      <c r="B5255" s="62" t="inlineStr">
        <is>
          <t>- Detector precision on [N] independently labelled real-game positions: [P]% (95% CI [a-b]%), recall [R]% (95% CI [c-d]%).</t>
        </is>
      </c>
    </row>
    <row r="5256">
      <c r="A5256" s="61" t="n">
        <v>32</v>
      </c>
      <c r="B5256" s="62" t="inlineStr">
        <is>
          <t>- Theme agreement on [M] held-out Lichess puzzles: [X]% (agreement, not ground truth).</t>
        </is>
      </c>
    </row>
    <row r="5257">
      <c r="A5257" s="61" t="n">
        <v>33</v>
      </c>
      <c r="B5257" s="62" t="inlineStr">
        <is>
          <t>- Analysis time per game on Render [plan]: p50 [x] s, p95 [y] s.</t>
        </is>
      </c>
    </row>
    <row r="5258">
      <c r="A5258" s="61" t="n">
        <v>34</v>
      </c>
      <c r="B5258" s="62" t="inlineStr">
        <is>
          <t>- [K] automated tests (unit, Postgres integration, Playwright e2e) run in CI.</t>
        </is>
      </c>
    </row>
    <row r="5259">
      <c r="A5259" s="61" t="n">
        <v>35</v>
      </c>
      <c r="B5259" s="62" t="n"/>
    </row>
    <row r="5260">
      <c r="A5260" s="61" t="n">
        <v>36</v>
      </c>
      <c r="B5260" s="62" t="inlineStr">
        <is>
          <t>## Run locally</t>
        </is>
      </c>
    </row>
    <row r="5261">
      <c r="A5261" s="61" t="n">
        <v>37</v>
      </c>
      <c r="B5261" s="62" t="inlineStr">
        <is>
          <t xml:space="preserve">    docker compose up --build              # db (5433), api (8010), worker</t>
        </is>
      </c>
    </row>
    <row r="5262">
      <c r="A5262" s="61" t="n">
        <v>38</v>
      </c>
      <c r="B5262" s="62" t="inlineStr">
        <is>
          <t xml:space="preserve">    cd apps/web; npm ci; npm run dev       # http://localhost:5180</t>
        </is>
      </c>
    </row>
    <row r="5263">
      <c r="A5263" s="61" t="n">
        <v>39</v>
      </c>
      <c r="B5263" s="62" t="n"/>
    </row>
    <row r="5264">
      <c r="A5264" s="61" t="n">
        <v>40</v>
      </c>
      <c r="B5264" s="62" t="inlineStr">
        <is>
          <t>## Limitations</t>
        </is>
      </c>
    </row>
    <row r="5265">
      <c r="A5265" s="61" t="n">
        <v>41</v>
      </c>
      <c r="B5265" s="62" t="inlineStr">
        <is>
          <t>Finite search budgets; detections are not a complete census; practice ratings are a provisional local scale;</t>
        </is>
      </c>
    </row>
    <row r="5266">
      <c r="A5266" s="61" t="n">
        <v>42</v>
      </c>
      <c r="B5266" s="62" t="inlineStr">
        <is>
          <t>practice gains are not proof of tournament improvement.</t>
        </is>
      </c>
    </row>
    <row r="5267">
      <c r="A5267" s="61" t="n">
        <v>43</v>
      </c>
      <c r="B5267" s="62" t="n"/>
    </row>
    <row r="5268">
      <c r="A5268" s="61" t="n">
        <v>44</v>
      </c>
      <c r="B5268" s="62" t="inlineStr">
        <is>
          <t>## Licence and credits</t>
        </is>
      </c>
    </row>
    <row r="5269">
      <c r="A5269" s="61" t="n">
        <v>45</v>
      </c>
      <c r="B5269" s="62" t="inlineStr">
        <is>
          <t>GPLv3. See THIRD_PARTY_NOTICES.md.</t>
        </is>
      </c>
    </row>
    <row r="5272">
      <c r="A5272" s="60" t="inlineStr">
        <is>
          <t>C83</t>
        </is>
      </c>
      <c r="B5272" s="60" t="inlineStr">
        <is>
          <t>docs/THIRD_PARTY_NOTICES_TEMPLATE.md   ·   Phase P1   ·   Licence inventory skeleton.</t>
        </is>
      </c>
    </row>
    <row r="5273">
      <c r="B5273" s="55" t="inlineStr">
        <is>
          <t>↑ back to Code Index</t>
        </is>
      </c>
    </row>
    <row r="5274">
      <c r="A5274" s="61" t="n">
        <v>1</v>
      </c>
      <c r="B5274" s="62" t="inlineStr">
        <is>
          <t># Third-party notices</t>
        </is>
      </c>
    </row>
    <row r="5275">
      <c r="A5275" s="61" t="n">
        <v>2</v>
      </c>
      <c r="B5275" s="62" t="n"/>
    </row>
    <row r="5276">
      <c r="A5276" s="61" t="n">
        <v>3</v>
      </c>
      <c r="B5276" s="62" t="inlineStr">
        <is>
          <t>| Component | Version | Licence | Source | Used for |</t>
        </is>
      </c>
    </row>
    <row r="5277">
      <c r="A5277" s="61" t="n">
        <v>4</v>
      </c>
      <c r="B5277" s="62" t="inlineStr">
        <is>
          <t>|---|---|---|---|---|</t>
        </is>
      </c>
    </row>
    <row r="5278">
      <c r="A5278" s="61" t="n">
        <v>5</v>
      </c>
      <c r="B5278" s="62" t="inlineStr">
        <is>
          <t>| Stockfish (Debian package in the backend image) | 15.1 (record yours: run `stockfish`, type `uci`) | GPLv3 | https://github.com/official-stockfish/Stockfish | Server analysis |</t>
        </is>
      </c>
    </row>
    <row r="5279">
      <c r="A5279" s="61" t="n">
        <v>6</v>
      </c>
      <c r="B5279" s="62" t="inlineStr">
        <is>
          <t>| stockfish.js (WASM) | from package-lock.json (e.g. 19.0.1) | GPLv3 | https://github.com/nmrugg/stockfish.js | In-browser opponent |</t>
        </is>
      </c>
    </row>
    <row r="5280">
      <c r="A5280" s="61" t="n">
        <v>7</v>
      </c>
      <c r="B5280" s="62" t="inlineStr">
        <is>
          <t>| python-chess | from uv.lock | GPLv3 | https://github.com/niklasf/python-chess | Rules, PGN, engine I/O |</t>
        </is>
      </c>
    </row>
    <row r="5281">
      <c r="A5281" s="61" t="n">
        <v>8</v>
      </c>
      <c r="B5281" s="62" t="inlineStr">
        <is>
          <t>| chess.js | from package-lock.json | BSD-2-Clause | https://github.com/jhlywa/chess.js | Browser rules |</t>
        </is>
      </c>
    </row>
    <row r="5282">
      <c r="A5282" s="61" t="n">
        <v>9</v>
      </c>
      <c r="B5282" s="62" t="inlineStr">
        <is>
          <t>| Original js/chess.js (legacy copy) | 0.x | BSD-2-Clause | https://github.com/jhlywa/chess.js | Original engine baseline |</t>
        </is>
      </c>
    </row>
    <row r="5283">
      <c r="A5283" s="61" t="n">
        <v>10</v>
      </c>
      <c r="B5283" s="62" t="inlineStr">
        <is>
          <t>| react-chessboard | 4.x | MIT | https://github.com/Clariity/react-chessboard | Board UI |</t>
        </is>
      </c>
    </row>
    <row r="5284">
      <c r="A5284" s="61" t="n">
        <v>11</v>
      </c>
      <c r="B5284" s="62" t="inlineStr">
        <is>
          <t>| Sunfish piece-square tables | n/a | GPLv3 | https://github.com/thomasahle/sunfish | Original engine evaluation |</t>
        </is>
      </c>
    </row>
    <row r="5285">
      <c r="A5285" s="61" t="n">
        <v>12</v>
      </c>
      <c r="B5285" s="62" t="inlineStr">
        <is>
          <t>| Lichess puzzle database | dataset version in data/manifests | CC0 | https://database.lichess.org/#puzzles | Practice exercises |</t>
        </is>
      </c>
    </row>
    <row r="5286">
      <c r="A5286" s="61" t="n">
        <v>13</v>
      </c>
      <c r="B5286" s="62" t="inlineStr">
        <is>
          <t>| Chess piece images (img/chesspieces/wikipedia) | n/a | check the original source (Wikimedia Commons) | https://commons.wikimedia.org/wiki/Category:PNG_chess_pieces/Standard_transparent | Original app |</t>
        </is>
      </c>
    </row>
    <row r="5287">
      <c r="A5287" s="61" t="n">
        <v>14</v>
      </c>
      <c r="B5287" s="62" t="inlineStr">
        <is>
          <t>| FastAPI, SQLAlchemy, Alembic, Pydantic, React, Vite, React Router | from lockfiles | MIT / BSD | project websites | Frameworks |</t>
        </is>
      </c>
    </row>
    <row r="5290">
      <c r="A5290" s="60" t="inlineStr">
        <is>
          <t>C84</t>
        </is>
      </c>
      <c r="B5290" s="60" t="inlineStr">
        <is>
          <t>docs/OPERATIONS_TEMPLATE.md   ·   Phase P5   ·   Runbook skeleton.</t>
        </is>
      </c>
    </row>
    <row r="5291">
      <c r="B5291" s="55" t="inlineStr">
        <is>
          <t>↑ back to Code Index</t>
        </is>
      </c>
    </row>
    <row r="5292">
      <c r="A5292" s="61" t="n">
        <v>1</v>
      </c>
      <c r="B5292" s="62" t="inlineStr">
        <is>
          <t># Operations runbook (fill in real values; never secret values)</t>
        </is>
      </c>
    </row>
    <row r="5293">
      <c r="A5293" s="61" t="n">
        <v>2</v>
      </c>
      <c r="B5293" s="62" t="n"/>
    </row>
    <row r="5294">
      <c r="A5294" s="61" t="n">
        <v>3</v>
      </c>
      <c r="B5294" s="62" t="inlineStr">
        <is>
          <t>## Services</t>
        </is>
      </c>
    </row>
    <row r="5295">
      <c r="A5295" s="61" t="n">
        <v>4</v>
      </c>
      <c r="B5295" s="62" t="inlineStr">
        <is>
          <t>| Service | Platform | Name | URL / region | Plan |</t>
        </is>
      </c>
    </row>
    <row r="5296">
      <c r="A5296" s="61" t="n">
        <v>5</v>
      </c>
      <c r="B5296" s="62" t="inlineStr">
        <is>
          <t>|---|---|---|---|---|</t>
        </is>
      </c>
    </row>
    <row r="5297">
      <c r="A5297" s="61" t="n">
        <v>6</v>
      </c>
      <c r="B5297" s="62" t="inlineStr">
        <is>
          <t>| Frontend | Vercel | chesslab | https://... | |</t>
        </is>
      </c>
    </row>
    <row r="5298">
      <c r="A5298" s="61" t="n">
        <v>7</v>
      </c>
      <c r="B5298" s="62" t="inlineStr">
        <is>
          <t>| API | Render web service | chesslab-api | https://... (region) | |</t>
        </is>
      </c>
    </row>
    <row r="5299">
      <c r="A5299" s="61" t="n">
        <v>8</v>
      </c>
      <c r="B5299" s="62" t="inlineStr">
        <is>
          <t>| Worker | Render background worker | chesslab-worker | (no URL) | |</t>
        </is>
      </c>
    </row>
    <row r="5300">
      <c r="A5300" s="61" t="n">
        <v>9</v>
      </c>
      <c r="B5300" s="62" t="inlineStr">
        <is>
          <t>| Database | Render Postgres | chesslab-db | internal URL only | |</t>
        </is>
      </c>
    </row>
    <row r="5301">
      <c r="A5301" s="61" t="n">
        <v>10</v>
      </c>
      <c r="B5301" s="62" t="n"/>
    </row>
    <row r="5302">
      <c r="A5302" s="61" t="n">
        <v>11</v>
      </c>
      <c r="B5302" s="62" t="inlineStr">
        <is>
          <t>## Environment variables (names only)</t>
        </is>
      </c>
    </row>
    <row r="5303">
      <c r="A5303" s="61" t="n">
        <v>12</v>
      </c>
      <c r="B5303" s="62" t="inlineStr">
        <is>
          <t>API: DATABASE_URL, ALLOWED_ORIGINS, ENVIRONMENT, LOG_LEVEL.</t>
        </is>
      </c>
    </row>
    <row r="5304">
      <c r="A5304" s="61" t="n">
        <v>13</v>
      </c>
      <c r="B5304" s="62" t="inlineStr">
        <is>
          <t>Worker: DATABASE_URL, ENGINE_THREADS, ENGINE_HASH_MB, ANALYSIS_DEPTH, ANALYSIS_TIME_S, PROVIDER_USER_AGENT.</t>
        </is>
      </c>
    </row>
    <row r="5305">
      <c r="A5305" s="61" t="n">
        <v>14</v>
      </c>
      <c r="B5305" s="62" t="inlineStr">
        <is>
          <t>Frontend: VITE_API_BASE_URL.</t>
        </is>
      </c>
    </row>
    <row r="5306">
      <c r="A5306" s="61" t="n">
        <v>15</v>
      </c>
      <c r="B5306" s="62" t="n"/>
    </row>
    <row r="5307">
      <c r="A5307" s="61" t="n">
        <v>16</v>
      </c>
      <c r="B5307" s="62" t="inlineStr">
        <is>
          <t>## Routine commands</t>
        </is>
      </c>
    </row>
    <row r="5308">
      <c r="A5308" s="61" t="n">
        <v>17</v>
      </c>
      <c r="B5308" s="62" t="inlineStr">
        <is>
          <t>- Migrate: automatic Render pre-deploy command `alembic upgrade head`.</t>
        </is>
      </c>
    </row>
    <row r="5309">
      <c r="A5309" s="61" t="n">
        <v>18</v>
      </c>
      <c r="B5309" s="62" t="inlineStr">
        <is>
          <t>- Seed puzzles: Render Shell on chesslab-api -&gt; `python -m app.seed puzzles data/puzzles_subset.csv` (idempotent).</t>
        </is>
      </c>
    </row>
    <row r="5310">
      <c r="A5310" s="61" t="n">
        <v>19</v>
      </c>
      <c r="B5310" s="62" t="inlineStr">
        <is>
          <t>- Cleanup: automatic hourly in the worker; manual `python -m app.cleanup`.</t>
        </is>
      </c>
    </row>
    <row r="5311">
      <c r="A5311" s="61" t="n">
        <v>20</v>
      </c>
      <c r="B5311" s="62" t="inlineStr">
        <is>
          <t>- Queue health: ops/queue_stats.sql.</t>
        </is>
      </c>
    </row>
    <row r="5312">
      <c r="A5312" s="61" t="n">
        <v>21</v>
      </c>
      <c r="B5312" s="62" t="n"/>
    </row>
    <row r="5313">
      <c r="A5313" s="61" t="n">
        <v>22</v>
      </c>
      <c r="B5313" s="62" t="inlineStr">
        <is>
          <t>## Incidents</t>
        </is>
      </c>
    </row>
    <row r="5314">
      <c r="A5314" s="61" t="n">
        <v>23</v>
      </c>
      <c r="B5314" s="62" t="inlineStr">
        <is>
          <t>- API down: Render events and logs; compare /health/live with /health/ready; recent deploy? roll back.</t>
        </is>
      </c>
    </row>
    <row r="5315">
      <c r="A5315" s="61" t="n">
        <v>24</v>
      </c>
      <c r="B5315" s="62" t="inlineStr">
        <is>
          <t>- Jobs stuck: queue_stats.sql query 5; restart the worker; leases recover automatically within 60 s.</t>
        </is>
      </c>
    </row>
    <row r="5316">
      <c r="A5316" s="61" t="n">
        <v>25</v>
      </c>
      <c r="B5316" s="62" t="inlineStr">
        <is>
          <t>- Provider outage: imports retry with backoff; PGN upload and the demo keep working.</t>
        </is>
      </c>
    </row>
    <row r="5317">
      <c r="A5317" s="61" t="n">
        <v>26</v>
      </c>
      <c r="B5317" s="62" t="n"/>
    </row>
    <row r="5318">
      <c r="A5318" s="61" t="n">
        <v>27</v>
      </c>
      <c r="B5318" s="62" t="inlineStr">
        <is>
          <t>## Backups and restore (tested on: DATE)</t>
        </is>
      </c>
    </row>
    <row r="5319">
      <c r="A5319" s="61" t="n">
        <v>28</v>
      </c>
      <c r="B5319" s="62" t="inlineStr">
        <is>
          <t>The exact steps you used to restore a backup into a disposable database, and the row counts you compared.</t>
        </is>
      </c>
    </row>
    <row r="5320">
      <c r="A5320" s="61" t="n">
        <v>29</v>
      </c>
      <c r="B5320" s="62" t="n"/>
    </row>
    <row r="5321">
      <c r="A5321" s="61" t="n">
        <v>30</v>
      </c>
      <c r="B5321" s="62" t="inlineStr">
        <is>
          <t>## Measured capacity (date, plan)</t>
        </is>
      </c>
    </row>
    <row r="5322">
      <c r="A5322" s="61" t="n">
        <v>31</v>
      </c>
      <c r="B5322" s="62" t="inlineStr">
        <is>
          <t>Engine reply p95 (browser), analysis per game p50/p95, memory per worker, games per hour per worker.</t>
        </is>
      </c>
    </row>
    <row r="5323">
      <c r="A5323" s="61" t="n">
        <v>32</v>
      </c>
      <c r="B5323" s="62" t="n"/>
    </row>
    <row r="5324">
      <c r="A5324" s="61" t="n">
        <v>33</v>
      </c>
      <c r="B5324" s="62" t="inlineStr">
        <is>
          <t>## Release record</t>
        </is>
      </c>
    </row>
    <row r="5325">
      <c r="A5325" s="61" t="n">
        <v>34</v>
      </c>
      <c r="B5325" s="62" t="inlineStr">
        <is>
          <t>| Date | Git revision | Pipeline | Engine | Dataset | Notes |</t>
        </is>
      </c>
    </row>
    <row r="5326">
      <c r="A5326" s="61" t="n">
        <v>35</v>
      </c>
      <c r="B5326" s="62" t="inlineStr">
        <is>
          <t>|---|---|---|---|---|---|</t>
        </is>
      </c>
    </row>
    <row r="5329">
      <c r="A5329" s="60" t="inlineStr">
        <is>
          <t>C85</t>
        </is>
      </c>
      <c r="B5329" s="60" t="inlineStr">
        <is>
          <t>docs/decisions/0001-template.md   ·   Phase P14   ·   Architecture decision record template.</t>
        </is>
      </c>
    </row>
    <row r="5330">
      <c r="B5330" s="55" t="inlineStr">
        <is>
          <t>↑ back to Code Index</t>
        </is>
      </c>
    </row>
    <row r="5331">
      <c r="A5331" s="61" t="n">
        <v>1</v>
      </c>
      <c r="B5331" s="62" t="inlineStr">
        <is>
          <t># ADR 0001: &lt;decision title&gt;</t>
        </is>
      </c>
    </row>
    <row r="5332">
      <c r="A5332" s="61" t="n">
        <v>2</v>
      </c>
      <c r="B5332" s="62" t="n"/>
    </row>
    <row r="5333">
      <c r="A5333" s="61" t="n">
        <v>3</v>
      </c>
      <c r="B5333" s="62" t="inlineStr">
        <is>
          <t>Date: YYYY-MM-DD · Status: accepted</t>
        </is>
      </c>
    </row>
    <row r="5334">
      <c r="A5334" s="61" t="n">
        <v>4</v>
      </c>
      <c r="B5334" s="62" t="n"/>
    </row>
    <row r="5335">
      <c r="A5335" s="61" t="n">
        <v>5</v>
      </c>
      <c r="B5335" s="62" t="inlineStr">
        <is>
          <t>## Context</t>
        </is>
      </c>
    </row>
    <row r="5336">
      <c r="A5336" s="61" t="n">
        <v>6</v>
      </c>
      <c r="B5336" s="62" t="inlineStr">
        <is>
          <t>What problem or force made a decision necessary? (2-4 sentences)</t>
        </is>
      </c>
    </row>
    <row r="5337">
      <c r="A5337" s="61" t="n">
        <v>7</v>
      </c>
      <c r="B5337" s="62" t="n"/>
    </row>
    <row r="5338">
      <c r="A5338" s="61" t="n">
        <v>8</v>
      </c>
      <c r="B5338" s="62" t="inlineStr">
        <is>
          <t>## Decision</t>
        </is>
      </c>
    </row>
    <row r="5339">
      <c r="A5339" s="61" t="n">
        <v>9</v>
      </c>
      <c r="B5339" s="62" t="inlineStr">
        <is>
          <t>What we chose, in one or two sentences.</t>
        </is>
      </c>
    </row>
    <row r="5340">
      <c r="A5340" s="61" t="n">
        <v>10</v>
      </c>
      <c r="B5340" s="62" t="n"/>
    </row>
    <row r="5341">
      <c r="A5341" s="61" t="n">
        <v>11</v>
      </c>
      <c r="B5341" s="62" t="inlineStr">
        <is>
          <t>## Alternatives considered</t>
        </is>
      </c>
    </row>
    <row r="5342">
      <c r="A5342" s="61" t="n">
        <v>12</v>
      </c>
      <c r="B5342" s="62" t="inlineStr">
        <is>
          <t>- Option A: why not.</t>
        </is>
      </c>
    </row>
    <row r="5343">
      <c r="A5343" s="61" t="n">
        <v>13</v>
      </c>
      <c r="B5343" s="62" t="inlineStr">
        <is>
          <t>- Option B: why not.</t>
        </is>
      </c>
    </row>
    <row r="5344">
      <c r="A5344" s="61" t="n">
        <v>14</v>
      </c>
      <c r="B5344" s="62" t="n"/>
    </row>
    <row r="5345">
      <c r="A5345" s="61" t="n">
        <v>15</v>
      </c>
      <c r="B5345" s="62" t="inlineStr">
        <is>
          <t>## Consequences</t>
        </is>
      </c>
    </row>
    <row r="5346">
      <c r="A5346" s="61" t="n">
        <v>16</v>
      </c>
      <c r="B5346" s="62" t="inlineStr">
        <is>
          <t>What becomes easier, what becomes harder, and what we must watch.</t>
        </is>
      </c>
    </row>
    <row r="5349">
      <c r="A5349" s="60" t="inlineStr">
        <is>
          <t>C86</t>
        </is>
      </c>
      <c r="B5349" s="60" t="inlineStr">
        <is>
          <t>services/backend/app/importers/chesscom.py   ·   Phase S1   ·   Chess.com monthly-archive importer.</t>
        </is>
      </c>
    </row>
    <row r="5350">
      <c r="B5350" s="55" t="inlineStr">
        <is>
          <t>↑ back to Code Index</t>
        </is>
      </c>
    </row>
    <row r="5351">
      <c r="A5351" s="61" t="n">
        <v>1</v>
      </c>
      <c r="B5351" s="62" t="inlineStr">
        <is>
          <t>"""Chess.com Published-Data API (https://www.chess.com/news/view/published-data-api).</t>
        </is>
      </c>
    </row>
    <row r="5352">
      <c r="A5352" s="61" t="n">
        <v>2</v>
      </c>
      <c r="B5352" s="62" t="n"/>
    </row>
    <row r="5353">
      <c r="A5353" s="61" t="n">
        <v>3</v>
      </c>
      <c r="B5353" s="62" t="inlineStr">
        <is>
          <t>Games are grouped in monthly archives. We walk archives newest-first, one request at a time,</t>
        </is>
      </c>
    </row>
    <row r="5354">
      <c r="A5354" s="61" t="n">
        <v>4</v>
      </c>
      <c r="B5354" s="62" t="inlineStr">
        <is>
          <t>and stop as soon as we have enough games. Only api.chess.com URLs are ever fetched.</t>
        </is>
      </c>
    </row>
    <row r="5355">
      <c r="A5355" s="61" t="n">
        <v>5</v>
      </c>
      <c r="B5355" s="62" t="inlineStr">
        <is>
          <t>"""</t>
        </is>
      </c>
    </row>
    <row r="5356">
      <c r="A5356" s="61" t="n">
        <v>6</v>
      </c>
      <c r="B5356" s="62" t="inlineStr">
        <is>
          <t>import time</t>
        </is>
      </c>
    </row>
    <row r="5357">
      <c r="A5357" s="61" t="n">
        <v>7</v>
      </c>
      <c r="B5357" s="62" t="inlineStr">
        <is>
          <t>from collections.abc import Iterator</t>
        </is>
      </c>
    </row>
    <row r="5358">
      <c r="A5358" s="61" t="n">
        <v>8</v>
      </c>
      <c r="B5358" s="62" t="inlineStr">
        <is>
          <t>from datetime import datetime, timezone</t>
        </is>
      </c>
    </row>
    <row r="5359">
      <c r="A5359" s="61" t="n">
        <v>9</v>
      </c>
      <c r="B5359" s="62" t="n"/>
    </row>
    <row r="5360">
      <c r="A5360" s="61" t="n">
        <v>10</v>
      </c>
      <c r="B5360" s="62" t="inlineStr">
        <is>
          <t>import httpx</t>
        </is>
      </c>
    </row>
    <row r="5361">
      <c r="A5361" s="61" t="n">
        <v>11</v>
      </c>
      <c r="B5361" s="62" t="n"/>
    </row>
    <row r="5362">
      <c r="A5362" s="61" t="n">
        <v>12</v>
      </c>
      <c r="B5362" s="62" t="inlineStr">
        <is>
          <t>from app.importers.lichess import ProviderGame</t>
        </is>
      </c>
    </row>
    <row r="5363">
      <c r="A5363" s="61" t="n">
        <v>13</v>
      </c>
      <c r="B5363" s="62" t="inlineStr">
        <is>
          <t>from app.jobs.queue import PermanentError, RetryableError</t>
        </is>
      </c>
    </row>
    <row r="5364">
      <c r="A5364" s="61" t="n">
        <v>14</v>
      </c>
      <c r="B5364" s="62" t="n"/>
    </row>
    <row r="5365">
      <c r="A5365" s="61" t="n">
        <v>15</v>
      </c>
      <c r="B5365" s="62" t="inlineStr">
        <is>
          <t>ARCHIVES_URL = "https://api.chess.com/pub/player/{username}/games/archives"</t>
        </is>
      </c>
    </row>
    <row r="5366">
      <c r="A5366" s="61" t="n">
        <v>16</v>
      </c>
      <c r="B5366" s="62" t="inlineStr">
        <is>
          <t>ALLOWED_PREFIX = "https://api.chess.com/pub/player/"</t>
        </is>
      </c>
    </row>
    <row r="5367">
      <c r="A5367" s="61" t="n">
        <v>17</v>
      </c>
      <c r="B5367" s="62" t="n"/>
    </row>
    <row r="5368">
      <c r="A5368" s="61" t="n">
        <v>18</v>
      </c>
      <c r="B5368" s="62" t="n"/>
    </row>
    <row r="5369">
      <c r="A5369" s="61" t="n">
        <v>19</v>
      </c>
      <c r="B5369" s="62" t="inlineStr">
        <is>
          <t>def _get(client: httpx.Client, url: str) -&gt; dict:</t>
        </is>
      </c>
    </row>
    <row r="5370">
      <c r="A5370" s="61" t="n">
        <v>20</v>
      </c>
      <c r="B5370" s="62" t="inlineStr">
        <is>
          <t xml:space="preserve">    try:</t>
        </is>
      </c>
    </row>
    <row r="5371">
      <c r="A5371" s="61" t="n">
        <v>21</v>
      </c>
      <c r="B5371" s="62" t="inlineStr">
        <is>
          <t xml:space="preserve">        response = client.get(url)</t>
        </is>
      </c>
    </row>
    <row r="5372">
      <c r="A5372" s="61" t="n">
        <v>22</v>
      </c>
      <c r="B5372" s="62" t="inlineStr">
        <is>
          <t xml:space="preserve">    except httpx.TimeoutException as exc:</t>
        </is>
      </c>
    </row>
    <row r="5373">
      <c r="A5373" s="61" t="n">
        <v>23</v>
      </c>
      <c r="B5373" s="62" t="inlineStr">
        <is>
          <t xml:space="preserve">        raise RetryableError("PROVIDER_TIMEOUT", str(exc)) from exc</t>
        </is>
      </c>
    </row>
    <row r="5374">
      <c r="A5374" s="61" t="n">
        <v>24</v>
      </c>
      <c r="B5374" s="62" t="inlineStr">
        <is>
          <t xml:space="preserve">    except httpx.TransportError as exc:</t>
        </is>
      </c>
    </row>
    <row r="5375">
      <c r="A5375" s="61" t="n">
        <v>25</v>
      </c>
      <c r="B5375" s="62" t="inlineStr">
        <is>
          <t xml:space="preserve">        raise RetryableError("PROVIDER_NETWORK", str(exc)) from exc</t>
        </is>
      </c>
    </row>
    <row r="5376">
      <c r="A5376" s="61" t="n">
        <v>26</v>
      </c>
      <c r="B5376" s="62" t="inlineStr">
        <is>
          <t xml:space="preserve">    if response.status_code == 404:</t>
        </is>
      </c>
    </row>
    <row r="5377">
      <c r="A5377" s="61" t="n">
        <v>27</v>
      </c>
      <c r="B5377" s="62" t="inlineStr">
        <is>
          <t xml:space="preserve">        raise PermanentError("USER_NOT_FOUND", "Chess.com user not found.")</t>
        </is>
      </c>
    </row>
    <row r="5378">
      <c r="A5378" s="61" t="n">
        <v>28</v>
      </c>
      <c r="B5378" s="62" t="inlineStr">
        <is>
          <t xml:space="preserve">    if response.status_code == 429:</t>
        </is>
      </c>
    </row>
    <row r="5379">
      <c r="A5379" s="61" t="n">
        <v>29</v>
      </c>
      <c r="B5379" s="62" t="inlineStr">
        <is>
          <t xml:space="preserve">        raise RetryableError("PROVIDER_RATE_LIMITED", "Chess.com asked us to slow down.", retry_after_s=120)</t>
        </is>
      </c>
    </row>
    <row r="5380">
      <c r="A5380" s="61" t="n">
        <v>30</v>
      </c>
      <c r="B5380" s="62" t="inlineStr">
        <is>
          <t xml:space="preserve">    if response.status_code &gt;= 500:</t>
        </is>
      </c>
    </row>
    <row r="5381">
      <c r="A5381" s="61" t="n">
        <v>31</v>
      </c>
      <c r="B5381" s="62" t="inlineStr">
        <is>
          <t xml:space="preserve">        raise RetryableError("PROVIDER_UNAVAILABLE", f"Chess.com returned {response.status_code}.")</t>
        </is>
      </c>
    </row>
    <row r="5382">
      <c r="A5382" s="61" t="n">
        <v>32</v>
      </c>
      <c r="B5382" s="62" t="inlineStr">
        <is>
          <t xml:space="preserve">    response.raise_for_status()</t>
        </is>
      </c>
    </row>
    <row r="5383">
      <c r="A5383" s="61" t="n">
        <v>33</v>
      </c>
      <c r="B5383" s="62" t="inlineStr">
        <is>
          <t xml:space="preserve">    return response.json()</t>
        </is>
      </c>
    </row>
    <row r="5384">
      <c r="A5384" s="61" t="n">
        <v>34</v>
      </c>
      <c r="B5384" s="62" t="n"/>
    </row>
    <row r="5385">
      <c r="A5385" s="61" t="n">
        <v>35</v>
      </c>
      <c r="B5385" s="62" t="n"/>
    </row>
    <row r="5386">
      <c r="A5386" s="61" t="n">
        <v>36</v>
      </c>
      <c r="B5386" s="62" t="inlineStr">
        <is>
          <t>def fetch_raw(username: str, max_games: int, user_agent: str) -&gt; Iterator[dict]:</t>
        </is>
      </c>
    </row>
    <row r="5387">
      <c r="A5387" s="61" t="n">
        <v>37</v>
      </c>
      <c r="B5387" s="62" t="inlineStr">
        <is>
          <t xml:space="preserve">    with httpx.Client(timeout=httpx.Timeout(20.0), headers={"User-Agent": user_agent}) as client:</t>
        </is>
      </c>
    </row>
    <row r="5388">
      <c r="A5388" s="61" t="n">
        <v>38</v>
      </c>
      <c r="B5388" s="62" t="inlineStr">
        <is>
          <t xml:space="preserve">        archives = _get(client, ARCHIVES_URL.format(username=username.lower())).get("archives", [])</t>
        </is>
      </c>
    </row>
    <row r="5389">
      <c r="A5389" s="61" t="n">
        <v>39</v>
      </c>
      <c r="B5389" s="62" t="inlineStr">
        <is>
          <t xml:space="preserve">        count = 0</t>
        </is>
      </c>
    </row>
    <row r="5390">
      <c r="A5390" s="61" t="n">
        <v>40</v>
      </c>
      <c r="B5390" s="62" t="inlineStr">
        <is>
          <t xml:space="preserve">        for url in reversed(archives):  # newest month first</t>
        </is>
      </c>
    </row>
    <row r="5391">
      <c r="A5391" s="61" t="n">
        <v>41</v>
      </c>
      <c r="B5391" s="62" t="inlineStr">
        <is>
          <t xml:space="preserve">            if not url.startswith(ALLOWED_PREFIX):</t>
        </is>
      </c>
    </row>
    <row r="5392">
      <c r="A5392" s="61" t="n">
        <v>42</v>
      </c>
      <c r="B5392" s="62" t="inlineStr">
        <is>
          <t xml:space="preserve">                continue  # never follow a URL we did not expect</t>
        </is>
      </c>
    </row>
    <row r="5393">
      <c r="A5393" s="61" t="n">
        <v>43</v>
      </c>
      <c r="B5393" s="62" t="inlineStr">
        <is>
          <t xml:space="preserve">            for game in reversed(_get(client, url).get("games", [])):</t>
        </is>
      </c>
    </row>
    <row r="5394">
      <c r="A5394" s="61" t="n">
        <v>44</v>
      </c>
      <c r="B5394" s="62" t="inlineStr">
        <is>
          <t xml:space="preserve">                yield game</t>
        </is>
      </c>
    </row>
    <row r="5395">
      <c r="A5395" s="61" t="n">
        <v>45</v>
      </c>
      <c r="B5395" s="62" t="inlineStr">
        <is>
          <t xml:space="preserve">                count += 1</t>
        </is>
      </c>
    </row>
    <row r="5396">
      <c r="A5396" s="61" t="n">
        <v>46</v>
      </c>
      <c r="B5396" s="62" t="inlineStr">
        <is>
          <t xml:space="preserve">                if count &gt;= max_games:</t>
        </is>
      </c>
    </row>
    <row r="5397">
      <c r="A5397" s="61" t="n">
        <v>47</v>
      </c>
      <c r="B5397" s="62" t="inlineStr">
        <is>
          <t xml:space="preserve">                    return</t>
        </is>
      </c>
    </row>
    <row r="5398">
      <c r="A5398" s="61" t="n">
        <v>48</v>
      </c>
      <c r="B5398" s="62" t="inlineStr">
        <is>
          <t xml:space="preserve">            time.sleep(0.5)  # serial and polite</t>
        </is>
      </c>
    </row>
    <row r="5399">
      <c r="A5399" s="61" t="n">
        <v>49</v>
      </c>
      <c r="B5399" s="62" t="n"/>
    </row>
    <row r="5400">
      <c r="A5400" s="61" t="n">
        <v>50</v>
      </c>
      <c r="B5400" s="62" t="n"/>
    </row>
    <row r="5401">
      <c r="A5401" s="61" t="n">
        <v>51</v>
      </c>
      <c r="B5401" s="62" t="inlineStr">
        <is>
          <t>def normalize(raw: dict, username: str) -&gt; ProviderGame | None:</t>
        </is>
      </c>
    </row>
    <row r="5402">
      <c r="A5402" s="61" t="n">
        <v>52</v>
      </c>
      <c r="B5402" s="62" t="inlineStr">
        <is>
          <t xml:space="preserve">    if raw.get("rules") != "chess" or not raw.get("pgn"):</t>
        </is>
      </c>
    </row>
    <row r="5403">
      <c r="A5403" s="61" t="n">
        <v>53</v>
      </c>
      <c r="B5403" s="62" t="inlineStr">
        <is>
          <t xml:space="preserve">        return None  # variants (chess960, bughouse...) are out of scope</t>
        </is>
      </c>
    </row>
    <row r="5404">
      <c r="A5404" s="61" t="n">
        <v>54</v>
      </c>
      <c r="B5404" s="62" t="inlineStr">
        <is>
          <t xml:space="preserve">    white = raw.get("white", {}).get("username", "")</t>
        </is>
      </c>
    </row>
    <row r="5405">
      <c r="A5405" s="61" t="n">
        <v>55</v>
      </c>
      <c r="B5405" s="62" t="inlineStr">
        <is>
          <t xml:space="preserve">    black = raw.get("black", {}).get("username", "")</t>
        </is>
      </c>
    </row>
    <row r="5406">
      <c r="A5406" s="61" t="n">
        <v>56</v>
      </c>
      <c r="B5406" s="62" t="inlineStr">
        <is>
          <t xml:space="preserve">    color = "white" if white.lower() == username.lower() else "black" if black.lower() == username.lower() else None</t>
        </is>
      </c>
    </row>
    <row r="5407">
      <c r="A5407" s="61" t="n">
        <v>57</v>
      </c>
      <c r="B5407" s="62" t="inlineStr">
        <is>
          <t xml:space="preserve">    source_id = raw.get("uuid") or raw.get("url", "").rsplit("/", 1)[-1]</t>
        </is>
      </c>
    </row>
    <row r="5408">
      <c r="A5408" s="61" t="n">
        <v>58</v>
      </c>
      <c r="B5408" s="62" t="inlineStr">
        <is>
          <t xml:space="preserve">    end = raw.get("end_time")</t>
        </is>
      </c>
    </row>
    <row r="5409">
      <c r="A5409" s="61" t="n">
        <v>59</v>
      </c>
      <c r="B5409" s="62" t="inlineStr">
        <is>
          <t xml:space="preserve">    return ProviderGame(</t>
        </is>
      </c>
    </row>
    <row r="5410">
      <c r="A5410" s="61" t="n">
        <v>60</v>
      </c>
      <c r="B5410" s="62" t="inlineStr">
        <is>
          <t xml:space="preserve">        source_game_id=source_id,</t>
        </is>
      </c>
    </row>
    <row r="5411">
      <c r="A5411" s="61" t="n">
        <v>61</v>
      </c>
      <c r="B5411" s="62" t="inlineStr">
        <is>
          <t xml:space="preserve">        pgn=raw["pgn"],</t>
        </is>
      </c>
    </row>
    <row r="5412">
      <c r="A5412" s="61" t="n">
        <v>62</v>
      </c>
      <c r="B5412" s="62" t="inlineStr">
        <is>
          <t xml:space="preserve">        player_color=color,</t>
        </is>
      </c>
    </row>
    <row r="5413">
      <c r="A5413" s="61" t="n">
        <v>63</v>
      </c>
      <c r="B5413" s="62" t="inlineStr">
        <is>
          <t xml:space="preserve">        time_control=raw.get("time_class"),</t>
        </is>
      </c>
    </row>
    <row r="5414">
      <c r="A5414" s="61" t="n">
        <v>64</v>
      </c>
      <c r="B5414" s="62" t="inlineStr">
        <is>
          <t xml:space="preserve">        played_at=datetime.fromtimestamp(end, tz=timezone.utc) if end else None,</t>
        </is>
      </c>
    </row>
    <row r="5415">
      <c r="A5415" s="61" t="n">
        <v>65</v>
      </c>
      <c r="B5415" s="62" t="inlineStr">
        <is>
          <t xml:space="preserve">    )</t>
        </is>
      </c>
    </row>
    <row r="5418">
      <c r="A5418" s="60" t="inlineStr">
        <is>
          <t>C87</t>
        </is>
      </c>
      <c r="B5418" s="60" t="inlineStr">
        <is>
          <t>services/backend/app/analysis/hanging.py   ·   Phase S2   ·   Hanging-piece detector (left a piece capturable).</t>
        </is>
      </c>
    </row>
    <row r="5419">
      <c r="B5419" s="55" t="inlineStr">
        <is>
          <t>↑ back to Code Index</t>
        </is>
      </c>
    </row>
    <row r="5420">
      <c r="A5420" s="61" t="n">
        <v>1</v>
      </c>
      <c r="B5420" s="62" t="inlineStr">
        <is>
          <t>"""Stretch phase S2: "you left a piece hanging" (the opponent could win material by capturing it).</t>
        </is>
      </c>
    </row>
    <row r="5421">
      <c r="A5421" s="61" t="n">
        <v>2</v>
      </c>
      <c r="B5421" s="62" t="n"/>
    </row>
    <row r="5422">
      <c r="A5422" s="61" t="n">
        <v>3</v>
      </c>
      <c r="B5422" s="62" t="inlineStr">
        <is>
          <t>Two different evidence types, never mixed:</t>
        </is>
      </c>
    </row>
    <row r="5423">
      <c r="A5423" s="61" t="n">
        <v>4</v>
      </c>
      <c r="B5423" s="62" t="inlineStr">
        <is>
          <t xml:space="preserve">  * left_piece_capturable  - your move allowed a profitable capture (this module)</t>
        </is>
      </c>
    </row>
    <row r="5424">
      <c r="A5424" s="61" t="n">
        <v>5</v>
      </c>
      <c r="B5424" s="62" t="inlineStr">
        <is>
          <t xml:space="preserve">  * missed_profitable_capture - you could have captured something for free (similar, mirror logic)</t>
        </is>
      </c>
    </row>
    <row r="5425">
      <c r="A5425" s="61" t="n">
        <v>6</v>
      </c>
      <c r="B5425" s="62" t="n"/>
    </row>
    <row r="5426">
      <c r="A5426" s="61" t="n">
        <v>7</v>
      </c>
      <c r="B5426" s="62" t="inlineStr">
        <is>
          <t>A sacrifice is NOT a blunder: if the engine says your move was about as good as the best move,</t>
        </is>
      </c>
    </row>
    <row r="5427">
      <c r="A5427" s="61" t="n">
        <v>8</v>
      </c>
      <c r="B5427" s="62" t="inlineStr">
        <is>
          <t>we record nothing, even if a piece can be taken.</t>
        </is>
      </c>
    </row>
    <row r="5428">
      <c r="A5428" s="61" t="n">
        <v>9</v>
      </c>
      <c r="B5428" s="62" t="inlineStr">
        <is>
          <t>"""</t>
        </is>
      </c>
    </row>
    <row r="5429">
      <c r="A5429" s="61" t="n">
        <v>10</v>
      </c>
      <c r="B5429" s="62" t="inlineStr">
        <is>
          <t>from dataclasses import dataclass</t>
        </is>
      </c>
    </row>
    <row r="5430">
      <c r="A5430" s="61" t="n">
        <v>11</v>
      </c>
      <c r="B5430" s="62" t="n"/>
    </row>
    <row r="5431">
      <c r="A5431" s="61" t="n">
        <v>12</v>
      </c>
      <c r="B5431" s="62" t="inlineStr">
        <is>
          <t>import chess</t>
        </is>
      </c>
    </row>
    <row r="5432">
      <c r="A5432" s="61" t="n">
        <v>13</v>
      </c>
      <c r="B5432" s="62" t="n"/>
    </row>
    <row r="5433">
      <c r="A5433" s="61" t="n">
        <v>14</v>
      </c>
      <c r="B5433" s="62" t="inlineStr">
        <is>
          <t>from app.analysis.engine import MoveEval</t>
        </is>
      </c>
    </row>
    <row r="5434">
      <c r="A5434" s="61" t="n">
        <v>15</v>
      </c>
      <c r="B5434" s="62" t="inlineStr">
        <is>
          <t>from app.analysis.material import VALUES, balance</t>
        </is>
      </c>
    </row>
    <row r="5435">
      <c r="A5435" s="61" t="n">
        <v>16</v>
      </c>
      <c r="B5435" s="62" t="n"/>
    </row>
    <row r="5436">
      <c r="A5436" s="61" t="n">
        <v>17</v>
      </c>
      <c r="B5436" s="62" t="inlineStr">
        <is>
          <t>BLUNDER_THRESHOLD_CP = 200</t>
        </is>
      </c>
    </row>
    <row r="5437">
      <c r="A5437" s="61" t="n">
        <v>18</v>
      </c>
      <c r="B5437" s="62" t="inlineStr">
        <is>
          <t>MIN_LOSS = 2</t>
        </is>
      </c>
    </row>
    <row r="5438">
      <c r="A5438" s="61" t="n">
        <v>19</v>
      </c>
      <c r="B5438" s="62" t="inlineStr">
        <is>
          <t>LINE_PLIES = 6</t>
        </is>
      </c>
    </row>
    <row r="5439">
      <c r="A5439" s="61" t="n">
        <v>20</v>
      </c>
      <c r="B5439" s="62" t="n"/>
    </row>
    <row r="5440">
      <c r="A5440" s="61" t="n">
        <v>21</v>
      </c>
      <c r="B5440" s="62" t="n"/>
    </row>
    <row r="5441">
      <c r="A5441" s="61" t="n">
        <v>22</v>
      </c>
      <c r="B5441" s="62" t="inlineStr">
        <is>
          <t>@dataclass</t>
        </is>
      </c>
    </row>
    <row r="5442">
      <c r="A5442" s="61" t="n">
        <v>23</v>
      </c>
      <c r="B5442" s="62" t="inlineStr">
        <is>
          <t>class HangingFinding:</t>
        </is>
      </c>
    </row>
    <row r="5443">
      <c r="A5443" s="61" t="n">
        <v>24</v>
      </c>
      <c r="B5443" s="62" t="inlineStr">
        <is>
          <t xml:space="preserve">    square: chess.Square</t>
        </is>
      </c>
    </row>
    <row r="5444">
      <c r="A5444" s="61" t="n">
        <v>25</v>
      </c>
      <c r="B5444" s="62" t="inlineStr">
        <is>
          <t xml:space="preserve">    piece_type: chess.PieceType</t>
        </is>
      </c>
    </row>
    <row r="5445">
      <c r="A5445" s="61" t="n">
        <v>26</v>
      </c>
      <c r="B5445" s="62" t="inlineStr">
        <is>
          <t xml:space="preserve">    capture: chess.Move</t>
        </is>
      </c>
    </row>
    <row r="5446">
      <c r="A5446" s="61" t="n">
        <v>27</v>
      </c>
      <c r="B5446" s="62" t="inlineStr">
        <is>
          <t xml:space="preserve">    material_loss: int</t>
        </is>
      </c>
    </row>
    <row r="5447">
      <c r="A5447" s="61" t="n">
        <v>28</v>
      </c>
      <c r="B5447" s="62" t="inlineStr">
        <is>
          <t xml:space="preserve">    gap_cp: int</t>
        </is>
      </c>
    </row>
    <row r="5448">
      <c r="A5448" s="61" t="n">
        <v>29</v>
      </c>
      <c r="B5448" s="62" t="n"/>
    </row>
    <row r="5449">
      <c r="A5449" s="61" t="n">
        <v>30</v>
      </c>
      <c r="B5449" s="62" t="n"/>
    </row>
    <row r="5450">
      <c r="A5450" s="61" t="n">
        <v>31</v>
      </c>
      <c r="B5450" s="62" t="inlineStr">
        <is>
          <t>def find_hanging(board: chess.Board, actual: chess.Move, actual_eval: MoveEval, best_eval: MoveEval) -&gt; HangingFinding | None:</t>
        </is>
      </c>
    </row>
    <row r="5451">
      <c r="A5451" s="61" t="n">
        <v>32</v>
      </c>
      <c r="B5451" s="62" t="inlineStr">
        <is>
          <t xml:space="preserve">    """board = position BEFORE our move. actual_eval.pv = [our move, their best reply, ...]."""</t>
        </is>
      </c>
    </row>
    <row r="5452">
      <c r="A5452" s="61" t="n">
        <v>33</v>
      </c>
      <c r="B5452" s="62" t="inlineStr">
        <is>
          <t xml:space="preserve">    us = board.turn</t>
        </is>
      </c>
    </row>
    <row r="5453">
      <c r="A5453" s="61" t="n">
        <v>34</v>
      </c>
      <c r="B5453" s="62" t="inlineStr">
        <is>
          <t xml:space="preserve">    gap = best_eval.cp - actual_eval.cp</t>
        </is>
      </c>
    </row>
    <row r="5454">
      <c r="A5454" s="61" t="n">
        <v>35</v>
      </c>
      <c r="B5454" s="62" t="inlineStr">
        <is>
          <t xml:space="preserve">    if gap &lt; BLUNDER_THRESHOLD_CP or len(actual_eval.pv) &lt; 2 or actual_eval.pv[0] != actual:</t>
        </is>
      </c>
    </row>
    <row r="5455">
      <c r="A5455" s="61" t="n">
        <v>36</v>
      </c>
      <c r="B5455" s="62" t="inlineStr">
        <is>
          <t xml:space="preserve">        return None</t>
        </is>
      </c>
    </row>
    <row r="5456">
      <c r="A5456" s="61" t="n">
        <v>37</v>
      </c>
      <c r="B5456" s="62" t="inlineStr">
        <is>
          <t xml:space="preserve">    after = board.copy()</t>
        </is>
      </c>
    </row>
    <row r="5457">
      <c r="A5457" s="61" t="n">
        <v>38</v>
      </c>
      <c r="B5457" s="62" t="inlineStr">
        <is>
          <t xml:space="preserve">    after.push(actual)</t>
        </is>
      </c>
    </row>
    <row r="5458">
      <c r="A5458" s="61" t="n">
        <v>39</v>
      </c>
      <c r="B5458" s="62" t="inlineStr">
        <is>
          <t xml:space="preserve">    reply = actual_eval.pv[1]</t>
        </is>
      </c>
    </row>
    <row r="5459">
      <c r="A5459" s="61" t="n">
        <v>40</v>
      </c>
      <c r="B5459" s="62" t="inlineStr">
        <is>
          <t xml:space="preserve">    if reply not in after.legal_moves or not after.is_capture(reply):</t>
        </is>
      </c>
    </row>
    <row r="5460">
      <c r="A5460" s="61" t="n">
        <v>41</v>
      </c>
      <c r="B5460" s="62" t="inlineStr">
        <is>
          <t xml:space="preserve">        return None  # the engine's punishment is not a capture: some other tactic, not "hanging"</t>
        </is>
      </c>
    </row>
    <row r="5461">
      <c r="A5461" s="61" t="n">
        <v>42</v>
      </c>
      <c r="B5461" s="62" t="inlineStr">
        <is>
          <t xml:space="preserve">    victim = after.piece_at(reply.to_square)</t>
        </is>
      </c>
    </row>
    <row r="5462">
      <c r="A5462" s="61" t="n">
        <v>43</v>
      </c>
      <c r="B5462" s="62" t="inlineStr">
        <is>
          <t xml:space="preserve">    attacker = after.piece_at(reply.from_square)</t>
        </is>
      </c>
    </row>
    <row r="5463">
      <c r="A5463" s="61" t="n">
        <v>44</v>
      </c>
      <c r="B5463" s="62" t="inlineStr">
        <is>
          <t xml:space="preserve">    if victim is None or victim.color != us or attacker is None:</t>
        </is>
      </c>
    </row>
    <row r="5464">
      <c r="A5464" s="61" t="n">
        <v>45</v>
      </c>
      <c r="B5464" s="62" t="inlineStr">
        <is>
          <t xml:space="preserve">        return None</t>
        </is>
      </c>
    </row>
    <row r="5465">
      <c r="A5465" s="61" t="n">
        <v>46</v>
      </c>
      <c r="B5465" s="62" t="inlineStr">
        <is>
          <t xml:space="preserve">    undefended = not after.attackers(us, reply.to_square)</t>
        </is>
      </c>
    </row>
    <row r="5466">
      <c r="A5466" s="61" t="n">
        <v>47</v>
      </c>
      <c r="B5466" s="62" t="inlineStr">
        <is>
          <t xml:space="preserve">    cheaper_attacker = VALUES[attacker.piece_type] &lt; VALUES[victim.piece_type]</t>
        </is>
      </c>
    </row>
    <row r="5467">
      <c r="A5467" s="61" t="n">
        <v>48</v>
      </c>
      <c r="B5467" s="62" t="inlineStr">
        <is>
          <t xml:space="preserve">    if not (undefended or cheaper_attacker):</t>
        </is>
      </c>
    </row>
    <row r="5468">
      <c r="A5468" s="61" t="n">
        <v>49</v>
      </c>
      <c r="B5468" s="62" t="inlineStr">
        <is>
          <t xml:space="preserve">        return None</t>
        </is>
      </c>
    </row>
    <row r="5469">
      <c r="A5469" s="61" t="n">
        <v>50</v>
      </c>
      <c r="B5469" s="62" t="inlineStr">
        <is>
          <t xml:space="preserve">    # Confirm the loss survives the engine's line (recaptures, counter-threats).</t>
        </is>
      </c>
    </row>
    <row r="5470">
      <c r="A5470" s="61" t="n">
        <v>51</v>
      </c>
      <c r="B5470" s="62" t="inlineStr">
        <is>
          <t xml:space="preserve">    replay = board.copy()</t>
        </is>
      </c>
    </row>
    <row r="5471">
      <c r="A5471" s="61" t="n">
        <v>52</v>
      </c>
      <c r="B5471" s="62" t="inlineStr">
        <is>
          <t xml:space="preserve">    start = balance(replay, us)</t>
        </is>
      </c>
    </row>
    <row r="5472">
      <c r="A5472" s="61" t="n">
        <v>53</v>
      </c>
      <c r="B5472" s="62" t="inlineStr">
        <is>
          <t xml:space="preserve">    for move in actual_eval.pv[:LINE_PLIES]:</t>
        </is>
      </c>
    </row>
    <row r="5473">
      <c r="A5473" s="61" t="n">
        <v>54</v>
      </c>
      <c r="B5473" s="62" t="inlineStr">
        <is>
          <t xml:space="preserve">        if move not in replay.legal_moves:</t>
        </is>
      </c>
    </row>
    <row r="5474">
      <c r="A5474" s="61" t="n">
        <v>55</v>
      </c>
      <c r="B5474" s="62" t="inlineStr">
        <is>
          <t xml:space="preserve">            return None</t>
        </is>
      </c>
    </row>
    <row r="5475">
      <c r="A5475" s="61" t="n">
        <v>56</v>
      </c>
      <c r="B5475" s="62" t="inlineStr">
        <is>
          <t xml:space="preserve">        replay.push(move)</t>
        </is>
      </c>
    </row>
    <row r="5476">
      <c r="A5476" s="61" t="n">
        <v>57</v>
      </c>
      <c r="B5476" s="62" t="inlineStr">
        <is>
          <t xml:space="preserve">    loss = start - balance(replay, us)</t>
        </is>
      </c>
    </row>
    <row r="5477">
      <c r="A5477" s="61" t="n">
        <v>58</v>
      </c>
      <c r="B5477" s="62" t="inlineStr">
        <is>
          <t xml:space="preserve">    if loss &lt; MIN_LOSS:</t>
        </is>
      </c>
    </row>
    <row r="5478">
      <c r="A5478" s="61" t="n">
        <v>59</v>
      </c>
      <c r="B5478" s="62" t="inlineStr">
        <is>
          <t xml:space="preserve">        return None</t>
        </is>
      </c>
    </row>
    <row r="5479">
      <c r="A5479" s="61" t="n">
        <v>60</v>
      </c>
      <c r="B5479" s="62" t="inlineStr">
        <is>
          <t xml:space="preserve">    return HangingFinding(reply.to_square, victim.piece_type, reply, loss, gap)</t>
        </is>
      </c>
    </row>
    <row r="5482">
      <c r="A5482" s="60" t="inlineStr">
        <is>
          <t>C88</t>
        </is>
      </c>
      <c r="B5482" s="60" t="inlineStr">
        <is>
          <t>services/backend/app/explain/llm.py   ·   Phase S3   ·   Optional Claude rewording with guards and template fallback.</t>
        </is>
      </c>
    </row>
    <row r="5483">
      <c r="B5483" s="55" t="inlineStr">
        <is>
          <t>↑ back to Code Index</t>
        </is>
      </c>
    </row>
    <row r="5484">
      <c r="A5484" s="61" t="n">
        <v>1</v>
      </c>
      <c r="B5484" s="62" t="inlineStr">
        <is>
          <t>"""Stretch phase S3: optional LLM rewording of a deterministic explanation, using Claude.</t>
        </is>
      </c>
    </row>
    <row r="5485">
      <c r="A5485" s="61" t="n">
        <v>2</v>
      </c>
      <c r="B5485" s="62" t="n"/>
    </row>
    <row r="5486">
      <c r="A5486" s="61" t="n">
        <v>3</v>
      </c>
      <c r="B5486" s="62" t="inlineStr">
        <is>
          <t>The LLM is a WRITER, never a JUDGE:</t>
        </is>
      </c>
    </row>
    <row r="5487">
      <c r="A5487" s="61" t="n">
        <v>4</v>
      </c>
      <c r="B5487" s="62" t="inlineStr">
        <is>
          <t xml:space="preserve">  * It never picks moves, decides whether a tactic exists, or rates the learner.</t>
        </is>
      </c>
    </row>
    <row r="5488">
      <c r="A5488" s="61" t="n">
        <v>5</v>
      </c>
      <c r="B5488" s="62" t="inlineStr">
        <is>
          <t xml:space="preserve">  * It only receives verified evidence and the template sentence, and may only rephrase them.</t>
        </is>
      </c>
    </row>
    <row r="5489">
      <c r="A5489" s="61" t="n">
        <v>6</v>
      </c>
      <c r="B5489" s="62" t="inlineStr">
        <is>
          <t xml:space="preserve">  * Its output is checked against the evidence; on any doubt we return the template unchanged.</t>
        </is>
      </c>
    </row>
    <row r="5490">
      <c r="A5490" s="61" t="n">
        <v>7</v>
      </c>
      <c r="B5490" s="62" t="inlineStr">
        <is>
          <t>"""</t>
        </is>
      </c>
    </row>
    <row r="5491">
      <c r="A5491" s="61" t="n">
        <v>8</v>
      </c>
      <c r="B5491" s="62" t="inlineStr">
        <is>
          <t>import json</t>
        </is>
      </c>
    </row>
    <row r="5492">
      <c r="A5492" s="61" t="n">
        <v>9</v>
      </c>
      <c r="B5492" s="62" t="inlineStr">
        <is>
          <t>import re</t>
        </is>
      </c>
    </row>
    <row r="5493">
      <c r="A5493" s="61" t="n">
        <v>10</v>
      </c>
      <c r="B5493" s="62" t="n"/>
    </row>
    <row r="5494">
      <c r="A5494" s="61" t="n">
        <v>11</v>
      </c>
      <c r="B5494" s="62" t="inlineStr">
        <is>
          <t>import anthropic</t>
        </is>
      </c>
    </row>
    <row r="5495">
      <c r="A5495" s="61" t="n">
        <v>12</v>
      </c>
      <c r="B5495" s="62" t="inlineStr">
        <is>
          <t>from pydantic import BaseModel</t>
        </is>
      </c>
    </row>
    <row r="5496">
      <c r="A5496" s="61" t="n">
        <v>13</v>
      </c>
      <c r="B5496" s="62" t="n"/>
    </row>
    <row r="5497">
      <c r="A5497" s="61" t="n">
        <v>14</v>
      </c>
      <c r="B5497" s="62" t="inlineStr">
        <is>
          <t>from app.config import get_settings</t>
        </is>
      </c>
    </row>
    <row r="5498">
      <c r="A5498" s="61" t="n">
        <v>15</v>
      </c>
      <c r="B5498" s="62" t="n"/>
    </row>
    <row r="5499">
      <c r="A5499" s="61" t="n">
        <v>16</v>
      </c>
      <c r="B5499" s="62" t="inlineStr">
        <is>
          <t>SYSTEM_PROMPT = (</t>
        </is>
      </c>
    </row>
    <row r="5500">
      <c r="A5500" s="61" t="n">
        <v>17</v>
      </c>
      <c r="B5500" s="62" t="inlineStr">
        <is>
          <t xml:space="preserve">    "You rewrite chess coaching explanations for beginner and intermediate players. "</t>
        </is>
      </c>
    </row>
    <row r="5501">
      <c r="A5501" s="61" t="n">
        <v>18</v>
      </c>
      <c r="B5501" s="62" t="inlineStr">
        <is>
          <t xml:space="preserve">    "You receive verified facts as JSON and a correct template sentence. Rewrite the template so it reads "</t>
        </is>
      </c>
    </row>
    <row r="5502">
      <c r="A5502" s="61" t="n">
        <v>19</v>
      </c>
      <c r="B5502" s="62" t="inlineStr">
        <is>
          <t xml:space="preserve">    "naturally and encouragingly in two or three short sentences. Use only the facts given. "</t>
        </is>
      </c>
    </row>
    <row r="5503">
      <c r="A5503" s="61" t="n">
        <v>20</v>
      </c>
      <c r="B5503" s="62" t="inlineStr">
        <is>
          <t xml:space="preserve">    "Do not add moves, variations, evaluations, piece names or squares that are not in the facts. "</t>
        </is>
      </c>
    </row>
    <row r="5504">
      <c r="A5504" s="61" t="n">
        <v>21</v>
      </c>
      <c r="B5504" s="62" t="inlineStr">
        <is>
          <t xml:space="preserve">    "Write every chess move exactly as it appears in the facts (standard algebraic notation)."</t>
        </is>
      </c>
    </row>
    <row r="5505">
      <c r="A5505" s="61" t="n">
        <v>22</v>
      </c>
      <c r="B5505" s="62" t="inlineStr">
        <is>
          <t>)</t>
        </is>
      </c>
    </row>
    <row r="5506">
      <c r="A5506" s="61" t="n">
        <v>23</v>
      </c>
      <c r="B5506" s="62" t="n"/>
    </row>
    <row r="5507">
      <c r="A5507" s="61" t="n">
        <v>24</v>
      </c>
      <c r="B5507" s="62" t="inlineStr">
        <is>
          <t>SAN = re.compile(</t>
        </is>
      </c>
    </row>
    <row r="5508">
      <c r="A5508" s="61" t="n">
        <v>25</v>
      </c>
      <c r="B5508" s="62" t="inlineStr">
        <is>
          <t xml:space="preserve">    r"\b(?:O-O-O|O-O|[KQRBN][a-h]?[1-8]?x?[a-h][1-8](?:=[QRBN])?|[a-h]x[a-h][1-8](?:=[QRBN])?|[a-h][1-8](?:=[QRBN])?)[+#]?"</t>
        </is>
      </c>
    </row>
    <row r="5509">
      <c r="A5509" s="61" t="n">
        <v>26</v>
      </c>
      <c r="B5509" s="62" t="inlineStr">
        <is>
          <t>)</t>
        </is>
      </c>
    </row>
    <row r="5510">
      <c r="A5510" s="61" t="n">
        <v>27</v>
      </c>
      <c r="B5510" s="62" t="inlineStr">
        <is>
          <t>NUMBER = re.compile(r"\b\d+\b")</t>
        </is>
      </c>
    </row>
    <row r="5511">
      <c r="A5511" s="61" t="n">
        <v>28</v>
      </c>
      <c r="B5511" s="62" t="n"/>
    </row>
    <row r="5512">
      <c r="A5512" s="61" t="n">
        <v>29</v>
      </c>
      <c r="B5512" s="62" t="n"/>
    </row>
    <row r="5513">
      <c r="A5513" s="61" t="n">
        <v>30</v>
      </c>
      <c r="B5513" s="62" t="inlineStr">
        <is>
          <t>class Reworded(BaseModel):</t>
        </is>
      </c>
    </row>
    <row r="5514">
      <c r="A5514" s="61" t="n">
        <v>31</v>
      </c>
      <c r="B5514" s="62" t="inlineStr">
        <is>
          <t xml:space="preserve">    text: str</t>
        </is>
      </c>
    </row>
    <row r="5515">
      <c r="A5515" s="61" t="n">
        <v>32</v>
      </c>
      <c r="B5515" s="62" t="n"/>
    </row>
    <row r="5516">
      <c r="A5516" s="61" t="n">
        <v>33</v>
      </c>
      <c r="B5516" s="62" t="n"/>
    </row>
    <row r="5517">
      <c r="A5517" s="61" t="n">
        <v>34</v>
      </c>
      <c r="B5517" s="62" t="inlineStr">
        <is>
          <t>def allowed_tokens(evidence: dict) -&gt; tuple[set[str], set[str]]:</t>
        </is>
      </c>
    </row>
    <row r="5518">
      <c r="A5518" s="61" t="n">
        <v>35</v>
      </c>
      <c r="B5518" s="62" t="inlineStr">
        <is>
          <t xml:space="preserve">    moves = set(evidence["line_san"]) | {evidence["actual_san"], evidence["candidate_san"]}</t>
        </is>
      </c>
    </row>
    <row r="5519">
      <c r="A5519" s="61" t="n">
        <v>36</v>
      </c>
      <c r="B5519" s="62" t="inlineStr">
        <is>
          <t xml:space="preserve">    squares = {t["square"] for t in evidence["targets"]}</t>
        </is>
      </c>
    </row>
    <row r="5520">
      <c r="A5520" s="61" t="n">
        <v>37</v>
      </c>
      <c r="B5520" s="62" t="inlineStr">
        <is>
          <t xml:space="preserve">    plain = {m.rstrip("+#") for m in moves}</t>
        </is>
      </c>
    </row>
    <row r="5521">
      <c r="A5521" s="61" t="n">
        <v>38</v>
      </c>
      <c r="B5521" s="62" t="inlineStr">
        <is>
          <t xml:space="preserve">    numbers = {str(evidence["material_gain"]), str(evidence["ply"] // 2 + 1)}</t>
        </is>
      </c>
    </row>
    <row r="5522">
      <c r="A5522" s="61" t="n">
        <v>39</v>
      </c>
      <c r="B5522" s="62" t="inlineStr">
        <is>
          <t xml:space="preserve">    if evidence.get("mate_candidate"):</t>
        </is>
      </c>
    </row>
    <row r="5523">
      <c r="A5523" s="61" t="n">
        <v>40</v>
      </c>
      <c r="B5523" s="62" t="inlineStr">
        <is>
          <t xml:space="preserve">        numbers.add(str(evidence["mate_candidate"]))</t>
        </is>
      </c>
    </row>
    <row r="5524">
      <c r="A5524" s="61" t="n">
        <v>41</v>
      </c>
      <c r="B5524" s="62" t="inlineStr">
        <is>
          <t xml:space="preserve">    return moves | plain | squares, numbers</t>
        </is>
      </c>
    </row>
    <row r="5525">
      <c r="A5525" s="61" t="n">
        <v>42</v>
      </c>
      <c r="B5525" s="62" t="n"/>
    </row>
    <row r="5526">
      <c r="A5526" s="61" t="n">
        <v>43</v>
      </c>
      <c r="B5526" s="62" t="n"/>
    </row>
    <row r="5527">
      <c r="A5527" s="61" t="n">
        <v>44</v>
      </c>
      <c r="B5527" s="62" t="inlineStr">
        <is>
          <t>def passes_guard(text: str, evidence: dict, template: str) -&gt; bool:</t>
        </is>
      </c>
    </row>
    <row r="5528">
      <c r="A5528" s="61" t="n">
        <v>45</v>
      </c>
      <c r="B5528" s="62" t="inlineStr">
        <is>
          <t xml:space="preserve">    """Cheap, strict checks. They catch invented moves and numbers; they cannot prove the MEANING is right,</t>
        </is>
      </c>
    </row>
    <row r="5529">
      <c r="A5529" s="61" t="n">
        <v>46</v>
      </c>
      <c r="B5529" s="62" t="inlineStr">
        <is>
          <t xml:space="preserve">    which is why the template stays available and the feature is off by default."""</t>
        </is>
      </c>
    </row>
    <row r="5530">
      <c r="A5530" s="61" t="n">
        <v>47</v>
      </c>
      <c r="B5530" s="62" t="inlineStr">
        <is>
          <t xml:space="preserve">    if not 20 &lt;= len(text) &lt;= 2 * len(template) + 200:</t>
        </is>
      </c>
    </row>
    <row r="5531">
      <c r="A5531" s="61" t="n">
        <v>48</v>
      </c>
      <c r="B5531" s="62" t="inlineStr">
        <is>
          <t xml:space="preserve">        return False</t>
        </is>
      </c>
    </row>
    <row r="5532">
      <c r="A5532" s="61" t="n">
        <v>49</v>
      </c>
      <c r="B5532" s="62" t="inlineStr">
        <is>
          <t xml:space="preserve">    moves_ok, numbers_ok = allowed_tokens(evidence)</t>
        </is>
      </c>
    </row>
    <row r="5533">
      <c r="A5533" s="61" t="n">
        <v>50</v>
      </c>
      <c r="B5533" s="62" t="inlineStr">
        <is>
          <t xml:space="preserve">    if any(token not in moves_ok and token.rstrip("+#") not in moves_ok for token in SAN.findall(text)):</t>
        </is>
      </c>
    </row>
    <row r="5534">
      <c r="A5534" s="61" t="n">
        <v>51</v>
      </c>
      <c r="B5534" s="62" t="inlineStr">
        <is>
          <t xml:space="preserve">        return False</t>
        </is>
      </c>
    </row>
    <row r="5535">
      <c r="A5535" s="61" t="n">
        <v>52</v>
      </c>
      <c r="B5535" s="62" t="inlineStr">
        <is>
          <t xml:space="preserve">    template_numbers = set(NUMBER.findall(template))</t>
        </is>
      </c>
    </row>
    <row r="5536">
      <c r="A5536" s="61" t="n">
        <v>53</v>
      </c>
      <c r="B5536" s="62" t="inlineStr">
        <is>
          <t xml:space="preserve">    return all(n in numbers_ok or n in template_numbers for n in NUMBER.findall(text))</t>
        </is>
      </c>
    </row>
    <row r="5537">
      <c r="A5537" s="61" t="n">
        <v>54</v>
      </c>
      <c r="B5537" s="62" t="n"/>
    </row>
    <row r="5538">
      <c r="A5538" s="61" t="n">
        <v>55</v>
      </c>
      <c r="B5538" s="62" t="n"/>
    </row>
    <row r="5539">
      <c r="A5539" s="61" t="n">
        <v>56</v>
      </c>
      <c r="B5539" s="62" t="inlineStr">
        <is>
          <t>def reword(evidence: dict, template: str) -&gt; str:</t>
        </is>
      </c>
    </row>
    <row r="5540">
      <c r="A5540" s="61" t="n">
        <v>57</v>
      </c>
      <c r="B5540" s="62" t="inlineStr">
        <is>
          <t xml:space="preserve">    settings = get_settings()</t>
        </is>
      </c>
    </row>
    <row r="5541">
      <c r="A5541" s="61" t="n">
        <v>58</v>
      </c>
      <c r="B5541" s="62" t="inlineStr">
        <is>
          <t xml:space="preserve">    if not settings.llm_rewording_enabled:</t>
        </is>
      </c>
    </row>
    <row r="5542">
      <c r="A5542" s="61" t="n">
        <v>59</v>
      </c>
      <c r="B5542" s="62" t="inlineStr">
        <is>
          <t xml:space="preserve">        return template</t>
        </is>
      </c>
    </row>
    <row r="5543">
      <c r="A5543" s="61" t="n">
        <v>60</v>
      </c>
      <c r="B5543" s="62" t="inlineStr">
        <is>
          <t xml:space="preserve">    facts = {k: evidence[k] for k in ("actual_san", "candidate_san", "targets", "line_san", "material_gain", "mate_candidate")}</t>
        </is>
      </c>
    </row>
    <row r="5544">
      <c r="A5544" s="61" t="n">
        <v>61</v>
      </c>
      <c r="B5544" s="62" t="inlineStr">
        <is>
          <t xml:space="preserve">    try:</t>
        </is>
      </c>
    </row>
    <row r="5545">
      <c r="A5545" s="61" t="n">
        <v>62</v>
      </c>
      <c r="B5545" s="62" t="inlineStr">
        <is>
          <t xml:space="preserve">        # Reads ANTHROPIC_API_KEY from the environment. Short timeout: the template is always a fine answer.</t>
        </is>
      </c>
    </row>
    <row r="5546">
      <c r="A5546" s="61" t="n">
        <v>63</v>
      </c>
      <c r="B5546" s="62" t="inlineStr">
        <is>
          <t xml:space="preserve">        client = anthropic.Anthropic(timeout=10.0, max_retries=1)</t>
        </is>
      </c>
    </row>
    <row r="5547">
      <c r="A5547" s="61" t="n">
        <v>64</v>
      </c>
      <c r="B5547" s="62" t="inlineStr">
        <is>
          <t xml:space="preserve">        response = client.messages.parse(</t>
        </is>
      </c>
    </row>
    <row r="5548">
      <c r="A5548" s="61" t="n">
        <v>65</v>
      </c>
      <c r="B5548" s="62" t="inlineStr">
        <is>
          <t xml:space="preserve">            model=settings.anthropic_model,</t>
        </is>
      </c>
    </row>
    <row r="5549">
      <c r="A5549" s="61" t="n">
        <v>66</v>
      </c>
      <c r="B5549" s="62" t="inlineStr">
        <is>
          <t xml:space="preserve">            max_tokens=1000,</t>
        </is>
      </c>
    </row>
    <row r="5550">
      <c r="A5550" s="61" t="n">
        <v>67</v>
      </c>
      <c r="B5550" s="62" t="inlineStr">
        <is>
          <t xml:space="preserve">            system=SYSTEM_PROMPT,</t>
        </is>
      </c>
    </row>
    <row r="5551">
      <c r="A5551" s="61" t="n">
        <v>68</v>
      </c>
      <c r="B5551" s="62" t="inlineStr">
        <is>
          <t xml:space="preserve">            messages=[{"role": "user", "content": json.dumps({"facts": facts, "template": template})}],</t>
        </is>
      </c>
    </row>
    <row r="5552">
      <c r="A5552" s="61" t="n">
        <v>69</v>
      </c>
      <c r="B5552" s="62" t="inlineStr">
        <is>
          <t xml:space="preserve">            output_format=Reworded,</t>
        </is>
      </c>
    </row>
    <row r="5553">
      <c r="A5553" s="61" t="n">
        <v>70</v>
      </c>
      <c r="B5553" s="62" t="inlineStr">
        <is>
          <t xml:space="preserve">        )</t>
        </is>
      </c>
    </row>
    <row r="5554">
      <c r="A5554" s="61" t="n">
        <v>71</v>
      </c>
      <c r="B5554" s="62" t="inlineStr">
        <is>
          <t xml:space="preserve">    except (anthropic.APIError, ValueError):</t>
        </is>
      </c>
    </row>
    <row r="5555">
      <c r="A5555" s="61" t="n">
        <v>72</v>
      </c>
      <c r="B5555" s="62" t="inlineStr">
        <is>
          <t xml:space="preserve">        return template  # network, rate limit, invalid output: fall back silently</t>
        </is>
      </c>
    </row>
    <row r="5556">
      <c r="A5556" s="61" t="n">
        <v>73</v>
      </c>
      <c r="B5556" s="62" t="inlineStr">
        <is>
          <t xml:space="preserve">    if response.stop_reason != "end_turn" or response.parsed_output is None:</t>
        </is>
      </c>
    </row>
    <row r="5557">
      <c r="A5557" s="61" t="n">
        <v>74</v>
      </c>
      <c r="B5557" s="62" t="inlineStr">
        <is>
          <t xml:space="preserve">        return template  # refusal, max_tokens, anything unexpected</t>
        </is>
      </c>
    </row>
    <row r="5558">
      <c r="A5558" s="61" t="n">
        <v>75</v>
      </c>
      <c r="B5558" s="62" t="inlineStr">
        <is>
          <t xml:space="preserve">    text = response.parsed_output.text.strip()</t>
        </is>
      </c>
    </row>
    <row r="5559">
      <c r="A5559" s="61" t="n">
        <v>76</v>
      </c>
      <c r="B5559" s="62" t="inlineStr">
        <is>
          <t xml:space="preserve">    return text if passes_guard(text, evidence, template) else template</t>
        </is>
      </c>
    </row>
    <row r="5562">
      <c r="A5562" s="60" t="inlineStr">
        <is>
          <t>C89</t>
        </is>
      </c>
      <c r="B5562" s="60" t="inlineStr">
        <is>
          <t>services/backend/tests/test_stretch.py   ·   Phase S2   ·   Tests for the hanging detector and LLM guards.</t>
        </is>
      </c>
    </row>
    <row r="5563">
      <c r="B5563" s="55" t="inlineStr">
        <is>
          <t>↑ back to Code Index</t>
        </is>
      </c>
    </row>
    <row r="5564">
      <c r="A5564" s="61" t="n">
        <v>1</v>
      </c>
      <c r="B5564" s="62" t="inlineStr">
        <is>
          <t>import chess</t>
        </is>
      </c>
    </row>
    <row r="5565">
      <c r="A5565" s="61" t="n">
        <v>2</v>
      </c>
      <c r="B5565" s="62" t="n"/>
    </row>
    <row r="5566">
      <c r="A5566" s="61" t="n">
        <v>3</v>
      </c>
      <c r="B5566" s="62" t="inlineStr">
        <is>
          <t>from app.analysis.engine import MoveEval</t>
        </is>
      </c>
    </row>
    <row r="5567">
      <c r="A5567" s="61" t="n">
        <v>4</v>
      </c>
      <c r="B5567" s="62" t="inlineStr">
        <is>
          <t>from app.analysis.hanging import find_hanging</t>
        </is>
      </c>
    </row>
    <row r="5568">
      <c r="A5568" s="61" t="n">
        <v>5</v>
      </c>
      <c r="B5568" s="62" t="inlineStr">
        <is>
          <t>from app.explain.llm import passes_guard</t>
        </is>
      </c>
    </row>
    <row r="5569">
      <c r="A5569" s="61" t="n">
        <v>6</v>
      </c>
      <c r="B5569" s="62" t="n"/>
    </row>
    <row r="5570">
      <c r="A5570" s="61" t="n">
        <v>7</v>
      </c>
      <c r="B5570" s="62" t="inlineStr">
        <is>
          <t>EVIDENCE = {</t>
        </is>
      </c>
    </row>
    <row r="5571">
      <c r="A5571" s="61" t="n">
        <v>8</v>
      </c>
      <c r="B5571" s="62" t="inlineStr">
        <is>
          <t xml:space="preserve">    "ply": 34, "actual_san": "g4", "candidate_san": "Nf7", "material_gain": 5, "mate_candidate": None,</t>
        </is>
      </c>
    </row>
    <row r="5572">
      <c r="A5572" s="61" t="n">
        <v>9</v>
      </c>
      <c r="B5572" s="62" t="inlineStr">
        <is>
          <t xml:space="preserve">    "targets": [{"square": "e5", "piece": "queen"}, {"square": "h8", "piece": "rook"}],</t>
        </is>
      </c>
    </row>
    <row r="5573">
      <c r="A5573" s="61" t="n">
        <v>10</v>
      </c>
      <c r="B5573" s="62" t="inlineStr">
        <is>
          <t xml:space="preserve">    "line_san": ["Nf7", "Qc7", "Nxh8", "Nc5", "Nf7"],</t>
        </is>
      </c>
    </row>
    <row r="5574">
      <c r="A5574" s="61" t="n">
        <v>11</v>
      </c>
      <c r="B5574" s="62" t="inlineStr">
        <is>
          <t>}</t>
        </is>
      </c>
    </row>
    <row r="5575">
      <c r="A5575" s="61" t="n">
        <v>12</v>
      </c>
      <c r="B5575" s="62" t="inlineStr">
        <is>
          <t>TEMPLATE = "On move 18 (White), the knight move Nf7 was available. It wins about 5 pawns of material."</t>
        </is>
      </c>
    </row>
    <row r="5576">
      <c r="A5576" s="61" t="n">
        <v>13</v>
      </c>
      <c r="B5576" s="62" t="n"/>
    </row>
    <row r="5577">
      <c r="A5577" s="61" t="n">
        <v>14</v>
      </c>
      <c r="B5577" s="62" t="n"/>
    </row>
    <row r="5578">
      <c r="A5578" s="61" t="n">
        <v>15</v>
      </c>
      <c r="B5578" s="62" t="inlineStr">
        <is>
          <t>def test_guard_accepts_faithful_rewording():</t>
        </is>
      </c>
    </row>
    <row r="5579">
      <c r="A5579" s="61" t="n">
        <v>16</v>
      </c>
      <c r="B5579" s="62" t="inlineStr">
        <is>
          <t xml:space="preserve">    text = "Nf7 would have hit the queen on e5 and the rook on h8 together, winning about 5 pawns after Qc7 Nxh8."</t>
        </is>
      </c>
    </row>
    <row r="5580">
      <c r="A5580" s="61" t="n">
        <v>17</v>
      </c>
      <c r="B5580" s="62" t="inlineStr">
        <is>
          <t xml:space="preserve">    assert passes_guard(text, EVIDENCE, TEMPLATE)</t>
        </is>
      </c>
    </row>
    <row r="5581">
      <c r="A5581" s="61" t="n">
        <v>18</v>
      </c>
      <c r="B5581" s="62" t="n"/>
    </row>
    <row r="5582">
      <c r="A5582" s="61" t="n">
        <v>19</v>
      </c>
      <c r="B5582" s="62" t="n"/>
    </row>
    <row r="5583">
      <c r="A5583" s="61" t="n">
        <v>20</v>
      </c>
      <c r="B5583" s="62" t="inlineStr">
        <is>
          <t>def test_guard_rejects_invented_move():</t>
        </is>
      </c>
    </row>
    <row r="5584">
      <c r="A5584" s="61" t="n">
        <v>21</v>
      </c>
      <c r="B5584" s="62" t="inlineStr">
        <is>
          <t xml:space="preserve">    assert not passes_guard("Even better was Qxd8 winning the queen outright, about 5 pawns.", EVIDENCE, TEMPLATE)</t>
        </is>
      </c>
    </row>
    <row r="5585">
      <c r="A5585" s="61" t="n">
        <v>22</v>
      </c>
      <c r="B5585" s="62" t="n"/>
    </row>
    <row r="5586">
      <c r="A5586" s="61" t="n">
        <v>23</v>
      </c>
      <c r="B5586" s="62" t="n"/>
    </row>
    <row r="5587">
      <c r="A5587" s="61" t="n">
        <v>24</v>
      </c>
      <c r="B5587" s="62" t="inlineStr">
        <is>
          <t>def test_guard_rejects_invented_number():</t>
        </is>
      </c>
    </row>
    <row r="5588">
      <c r="A5588" s="61" t="n">
        <v>25</v>
      </c>
      <c r="B5588" s="62" t="inlineStr">
        <is>
          <t xml:space="preserve">    assert not passes_guard("Nf7 wins about 9 pawns of material after Qc7 Nxh8, a decisive gain.", EVIDENCE, TEMPLATE)</t>
        </is>
      </c>
    </row>
    <row r="5589">
      <c r="A5589" s="61" t="n">
        <v>26</v>
      </c>
      <c r="B5589" s="62" t="n"/>
    </row>
    <row r="5590">
      <c r="A5590" s="61" t="n">
        <v>27</v>
      </c>
      <c r="B5590" s="62" t="n"/>
    </row>
    <row r="5591">
      <c r="A5591" s="61" t="n">
        <v>28</v>
      </c>
      <c r="B5591" s="62" t="inlineStr">
        <is>
          <t>def test_hanging_queen_is_found():</t>
        </is>
      </c>
    </row>
    <row r="5592">
      <c r="A5592" s="61" t="n">
        <v>29</v>
      </c>
      <c r="B5592" s="62" t="inlineStr">
        <is>
          <t xml:space="preserve">    board = chess.Board("4k3/8/8/3q4/8/8/3Q4/4K3 w - - 0 1")  # Qd2-g5?? would be fine; Qd2-d4?? hangs to Qxd4</t>
        </is>
      </c>
    </row>
    <row r="5593">
      <c r="A5593" s="61" t="n">
        <v>30</v>
      </c>
      <c r="B5593" s="62" t="inlineStr">
        <is>
          <t xml:space="preserve">    actual = chess.Move.from_uci("d2d4")</t>
        </is>
      </c>
    </row>
    <row r="5594">
      <c r="A5594" s="61" t="n">
        <v>31</v>
      </c>
      <c r="B5594" s="62" t="inlineStr">
        <is>
          <t xml:space="preserve">    actual_eval = MoveEval(cp=-900, mate=None, pv=[actual, chess.Move.from_uci("d5d4"), chess.Move.from_uci("e1e2")])</t>
        </is>
      </c>
    </row>
    <row r="5595">
      <c r="A5595" s="61" t="n">
        <v>32</v>
      </c>
      <c r="B5595" s="62" t="inlineStr">
        <is>
          <t xml:space="preserve">    best_eval = MoveEval(cp=0, mate=None, pv=[chess.Move.from_uci("d2d5")])</t>
        </is>
      </c>
    </row>
    <row r="5596">
      <c r="A5596" s="61" t="n">
        <v>33</v>
      </c>
      <c r="B5596" s="62" t="inlineStr">
        <is>
          <t xml:space="preserve">    found = find_hanging(board, actual, actual_eval, best_eval)</t>
        </is>
      </c>
    </row>
    <row r="5597">
      <c r="A5597" s="61" t="n">
        <v>34</v>
      </c>
      <c r="B5597" s="62" t="inlineStr">
        <is>
          <t xml:space="preserve">    # d4 is defended by nothing and attacked by the black queen: Qxd4 wins 9.</t>
        </is>
      </c>
    </row>
    <row r="5598">
      <c r="A5598" s="61" t="n">
        <v>35</v>
      </c>
      <c r="B5598" s="62" t="inlineStr">
        <is>
          <t xml:space="preserve">    assert found is not None and found.material_loss == 9</t>
        </is>
      </c>
    </row>
    <row r="5599">
      <c r="A5599" s="61" t="n">
        <v>36</v>
      </c>
      <c r="B5599" s="62" t="n"/>
    </row>
    <row r="5600">
      <c r="A5600" s="61" t="n">
        <v>37</v>
      </c>
      <c r="B5600" s="62" t="n"/>
    </row>
    <row r="5601">
      <c r="A5601" s="61" t="n">
        <v>38</v>
      </c>
      <c r="B5601" s="62" t="inlineStr">
        <is>
          <t>def test_equal_exchange_is_not_hanging():</t>
        </is>
      </c>
    </row>
    <row r="5602">
      <c r="A5602" s="61" t="n">
        <v>39</v>
      </c>
      <c r="B5602" s="62" t="inlineStr">
        <is>
          <t xml:space="preserve">    board = chess.Board("4k3/8/8/3q4/8/8/3Q4/4K3 w - - 0 1")</t>
        </is>
      </c>
    </row>
    <row r="5603">
      <c r="A5603" s="61" t="n">
        <v>40</v>
      </c>
      <c r="B5603" s="62" t="inlineStr">
        <is>
          <t xml:space="preserve">    actual = chess.Move.from_uci("d2d5")  # QxQ: a trade, not a blunder</t>
        </is>
      </c>
    </row>
    <row r="5604">
      <c r="A5604" s="61" t="n">
        <v>41</v>
      </c>
      <c r="B5604" s="62" t="inlineStr">
        <is>
          <t xml:space="preserve">    actual_eval = MoveEval(cp=0, mate=None, pv=[actual, chess.Move.from_uci("e8e7")])</t>
        </is>
      </c>
    </row>
    <row r="5605">
      <c r="A5605" s="61" t="n">
        <v>42</v>
      </c>
      <c r="B5605" s="62" t="inlineStr">
        <is>
          <t xml:space="preserve">    assert find_hanging(board, actual, actual_eval, MoveEval(cp=0, mate=None, pv=[actual])) is None</t>
        </is>
      </c>
    </row>
    <row r="5608">
      <c r="A5608" s="60" t="inlineStr">
        <is>
          <t>C90</t>
        </is>
      </c>
      <c r="B5608" s="60" t="inlineStr">
        <is>
          <t>evaluation/bench_positions.txt   ·   Phase S4   ·   Fixed benchmark positions.</t>
        </is>
      </c>
    </row>
    <row r="5609">
      <c r="B5609" s="55" t="inlineStr">
        <is>
          <t>↑ back to Code Index</t>
        </is>
      </c>
    </row>
    <row r="5610">
      <c r="A5610" s="61" t="n">
        <v>1</v>
      </c>
      <c r="B5610" s="62" t="inlineStr">
        <is>
          <t>rnbqkbnr/pppppppp/8/8/8/8/PPPPPPPP/RNBQKBNR w KQkq - 0 1</t>
        </is>
      </c>
    </row>
    <row r="5611">
      <c r="A5611" s="61" t="n">
        <v>2</v>
      </c>
      <c r="B5611" s="62" t="inlineStr">
        <is>
          <t>r1bqkbnr/pppp1ppp/2n5/4p3/4P3/5N2/PPPP1PPP/RNBQKB1R w KQkq - 2 3</t>
        </is>
      </c>
    </row>
    <row r="5612">
      <c r="A5612" s="61" t="n">
        <v>3</v>
      </c>
      <c r="B5612" s="62" t="inlineStr">
        <is>
          <t>r3k3/ppp5/8/3N4/8/8/PPP5/4K3 w - - 0 1</t>
        </is>
      </c>
    </row>
    <row r="5613">
      <c r="A5613" s="61" t="n">
        <v>4</v>
      </c>
      <c r="B5613" s="62" t="inlineStr">
        <is>
          <t>6k1/5ppp/8/8/8/8/5PPP/1R4K1 w - - 0 1</t>
        </is>
      </c>
    </row>
    <row r="5614">
      <c r="A5614" s="61" t="n">
        <v>5</v>
      </c>
      <c r="B5614" s="62" t="inlineStr">
        <is>
          <t>r1bq1rk1/pppp1ppp/2n2n2/2b1p3/2B1P3/2NP1N2/PPP2PPP/R1BQK2R w KQ - 1 6</t>
        </is>
      </c>
    </row>
    <row r="5617">
      <c r="A5617" s="60" t="inlineStr">
        <is>
          <t>C91</t>
        </is>
      </c>
      <c r="B5617" s="60" t="inlineStr">
        <is>
          <t>evaluation/legacy_bench.mjs   ·   Phase S4   ·   Runs your original engine in Node on the benchmark.</t>
        </is>
      </c>
    </row>
    <row r="5618">
      <c r="B5618" s="55" t="inlineStr">
        <is>
          <t>↑ back to Code Index</t>
        </is>
      </c>
    </row>
    <row r="5619">
      <c r="A5619" s="61" t="n">
        <v>1</v>
      </c>
      <c r="B5619" s="62" t="inlineStr">
        <is>
          <t>// Stretch phase S4, part 1: run YOUR original engine on a fixed position set and record moves + time.</t>
        </is>
      </c>
    </row>
    <row r="5620">
      <c r="A5620" s="61" t="n">
        <v>2</v>
      </c>
      <c r="B5620" s="62" t="inlineStr">
        <is>
          <t>//   node evaluation/legacy_bench.mjs evaluation/bench_positions.txt 3 &gt; evaluation/reports/legacy_moves.json</t>
        </is>
      </c>
    </row>
    <row r="5621">
      <c r="A5621" s="61" t="n">
        <v>3</v>
      </c>
      <c r="B5621" s="62" t="inlineStr">
        <is>
          <t>// It loads the unchanged legacy files into an isolated JavaScript context (no browser needed).</t>
        </is>
      </c>
    </row>
    <row r="5622">
      <c r="A5622" s="61" t="n">
        <v>4</v>
      </c>
      <c r="B5622" s="62" t="inlineStr">
        <is>
          <t>import { readFileSync } from "node:fs";</t>
        </is>
      </c>
    </row>
    <row r="5623">
      <c r="A5623" s="61" t="n">
        <v>5</v>
      </c>
      <c r="B5623" s="62" t="inlineStr">
        <is>
          <t>import vm from "node:vm";</t>
        </is>
      </c>
    </row>
    <row r="5624">
      <c r="A5624" s="61" t="n">
        <v>6</v>
      </c>
      <c r="B5624" s="62" t="n"/>
    </row>
    <row r="5625">
      <c r="A5625" s="61" t="n">
        <v>7</v>
      </c>
      <c r="B5625" s="62" t="inlineStr">
        <is>
          <t>const [positionsFile, depthArg = "3"] = process.argv.slice(2);</t>
        </is>
      </c>
    </row>
    <row r="5626">
      <c r="A5626" s="61" t="n">
        <v>8</v>
      </c>
      <c r="B5626" s="62" t="inlineStr">
        <is>
          <t>const dir = new URL("../apps/web/public/legacy-engine/", import.meta.url);</t>
        </is>
      </c>
    </row>
    <row r="5627">
      <c r="A5627" s="61" t="n">
        <v>9</v>
      </c>
      <c r="B5627" s="62" t="inlineStr">
        <is>
          <t>const context = vm.createContext({ console });</t>
        </is>
      </c>
    </row>
    <row r="5628">
      <c r="A5628" s="61" t="n">
        <v>10</v>
      </c>
      <c r="B5628" s="62" t="inlineStr">
        <is>
          <t>vm.runInContext(readFileSync(new URL("chess-legacy.js", dir), "utf8"), context);</t>
        </is>
      </c>
    </row>
    <row r="5629">
      <c r="A5629" s="61" t="n">
        <v>11</v>
      </c>
      <c r="B5629" s="62" t="inlineStr">
        <is>
          <t>vm.runInContext(readFileSync(new URL("legacy-engine.js", dir), "utf8"), context);</t>
        </is>
      </c>
    </row>
    <row r="5630">
      <c r="A5630" s="61" t="n">
        <v>12</v>
      </c>
      <c r="B5630" s="62" t="inlineStr">
        <is>
          <t>vm.runInContext("var positionCount = 0;", context);</t>
        </is>
      </c>
    </row>
    <row r="5631">
      <c r="A5631" s="61" t="n">
        <v>13</v>
      </c>
      <c r="B5631" s="62" t="n"/>
    </row>
    <row r="5632">
      <c r="A5632" s="61" t="n">
        <v>14</v>
      </c>
      <c r="B5632" s="62" t="inlineStr">
        <is>
          <t>const results = [];</t>
        </is>
      </c>
    </row>
    <row r="5633">
      <c r="A5633" s="61" t="n">
        <v>15</v>
      </c>
      <c r="B5633" s="62" t="inlineStr">
        <is>
          <t>for (const fen of readFileSync(positionsFile, "utf8").split(/\r?\n/).filter(Boolean)) {</t>
        </is>
      </c>
    </row>
    <row r="5634">
      <c r="A5634" s="61" t="n">
        <v>16</v>
      </c>
      <c r="B5634" s="62" t="inlineStr">
        <is>
          <t xml:space="preserve">  context.fen = fen;</t>
        </is>
      </c>
    </row>
    <row r="5635">
      <c r="A5635" s="61" t="n">
        <v>17</v>
      </c>
      <c r="B5635" s="62" t="inlineStr">
        <is>
          <t xml:space="preserve">  context.depth = Number(depthArg);</t>
        </is>
      </c>
    </row>
    <row r="5636">
      <c r="A5636" s="61" t="n">
        <v>18</v>
      </c>
      <c r="B5636" s="62" t="inlineStr">
        <is>
          <t xml:space="preserve">  const started = performance.now();</t>
        </is>
      </c>
    </row>
    <row r="5637">
      <c r="A5637" s="61" t="n">
        <v>19</v>
      </c>
      <c r="B5637" s="62" t="inlineStr">
        <is>
          <t xml:space="preserve">  vm.runInContext(`</t>
        </is>
      </c>
    </row>
    <row r="5638">
      <c r="A5638" s="61" t="n">
        <v>20</v>
      </c>
      <c r="B5638" s="62" t="inlineStr">
        <is>
          <t xml:space="preserve">    positionCount = 0;</t>
        </is>
      </c>
    </row>
    <row r="5639">
      <c r="A5639" s="61" t="n">
        <v>21</v>
      </c>
      <c r="B5639" s="62" t="inlineStr">
        <is>
          <t xml:space="preserve">    var game = new Chess(fen);</t>
        </is>
      </c>
    </row>
    <row r="5640">
      <c r="A5640" s="61" t="n">
        <v>22</v>
      </c>
      <c r="B5640" s="62" t="inlineStr">
        <is>
          <t xml:space="preserve">    var best = minimax(game, depth, -Infinity, Infinity, true, 0, game.turn());</t>
        </is>
      </c>
    </row>
    <row r="5641">
      <c r="A5641" s="61" t="n">
        <v>23</v>
      </c>
      <c r="B5641" s="62" t="inlineStr">
        <is>
          <t xml:space="preserve">    var answer = best[0] ? best[0].from + best[0].to + (best[0].promotion || "") : null;</t>
        </is>
      </c>
    </row>
    <row r="5642">
      <c r="A5642" s="61" t="n">
        <v>24</v>
      </c>
      <c r="B5642" s="62" t="inlineStr">
        <is>
          <t xml:space="preserve">  `, context);</t>
        </is>
      </c>
    </row>
    <row r="5643">
      <c r="A5643" s="61" t="n">
        <v>25</v>
      </c>
      <c r="B5643" s="62" t="inlineStr">
        <is>
          <t xml:space="preserve">  results.push({ fen, move: context.answer, ms: Math.round(performance.now() - started), nodes: context.positionCount });</t>
        </is>
      </c>
    </row>
    <row r="5644">
      <c r="A5644" s="61" t="n">
        <v>26</v>
      </c>
      <c r="B5644" s="62" t="inlineStr">
        <is>
          <t>}</t>
        </is>
      </c>
    </row>
    <row r="5645">
      <c r="A5645" s="61" t="n">
        <v>27</v>
      </c>
      <c r="B5645" s="62" t="inlineStr">
        <is>
          <t>console.log(JSON.stringify({ engine: "original-minimax", depth: Number(depthArg), results }, null, 2));</t>
        </is>
      </c>
    </row>
    <row r="5648">
      <c r="A5648" s="60" t="inlineStr">
        <is>
          <t>C92</t>
        </is>
      </c>
      <c r="B5648" s="60" t="inlineStr">
        <is>
          <t>evaluation/score_bench.py   ·   Phase S4   ·   Scores engine moves with a stronger Stockfish reference.</t>
        </is>
      </c>
    </row>
    <row r="5649">
      <c r="B5649" s="55" t="inlineStr">
        <is>
          <t>↑ back to Code Index</t>
        </is>
      </c>
    </row>
    <row r="5650">
      <c r="A5650" s="61" t="n">
        <v>1</v>
      </c>
      <c r="B5650" s="62" t="inlineStr">
        <is>
          <t>"""Stretch phase S4, part 2: score each engine's chosen move with a STRONGER independent reference.</t>
        </is>
      </c>
    </row>
    <row r="5651">
      <c r="A5651" s="61" t="n">
        <v>2</v>
      </c>
      <c r="B5651" s="62" t="n"/>
    </row>
    <row r="5652">
      <c r="A5652" s="61" t="n">
        <v>3</v>
      </c>
      <c r="B5652" s="62" t="inlineStr">
        <is>
          <t xml:space="preserve">  cd services/backend</t>
        </is>
      </c>
    </row>
    <row r="5653">
      <c r="A5653" s="61" t="n">
        <v>4</v>
      </c>
      <c r="B5653" s="62" t="inlineStr">
        <is>
          <t xml:space="preserve">  uv run python ../../evaluation/score_bench.py ../../evaluation/reports/legacy_moves.json 0.5</t>
        </is>
      </c>
    </row>
    <row r="5654">
      <c r="A5654" s="61" t="n">
        <v>5</v>
      </c>
      <c r="B5654" s="62" t="n"/>
    </row>
    <row r="5655">
      <c r="A5655" s="61" t="n">
        <v>6</v>
      </c>
      <c r="B5655" s="62" t="inlineStr">
        <is>
          <t>For every position, the reference (Stockfish at a deeper budget) evaluates the best move and the</t>
        </is>
      </c>
    </row>
    <row r="5656">
      <c r="A5656" s="61" t="n">
        <v>7</v>
      </c>
      <c r="B5656" s="62" t="inlineStr">
        <is>
          <t>engine's move. "Centipawn loss" = best - chosen, from the mover's point of view. Lower is better.</t>
        </is>
      </c>
    </row>
    <row r="5657">
      <c r="A5657" s="61" t="n">
        <v>8</v>
      </c>
      <c r="B5657" s="62" t="inlineStr">
        <is>
          <t>Node counts are NOT compared: different engines count different things.</t>
        </is>
      </c>
    </row>
    <row r="5658">
      <c r="A5658" s="61" t="n">
        <v>9</v>
      </c>
      <c r="B5658" s="62" t="inlineStr">
        <is>
          <t>"""</t>
        </is>
      </c>
    </row>
    <row r="5659">
      <c r="A5659" s="61" t="n">
        <v>10</v>
      </c>
      <c r="B5659" s="62" t="inlineStr">
        <is>
          <t>import json</t>
        </is>
      </c>
    </row>
    <row r="5660">
      <c r="A5660" s="61" t="n">
        <v>11</v>
      </c>
      <c r="B5660" s="62" t="inlineStr">
        <is>
          <t>import statistics</t>
        </is>
      </c>
    </row>
    <row r="5661">
      <c r="A5661" s="61" t="n">
        <v>12</v>
      </c>
      <c r="B5661" s="62" t="inlineStr">
        <is>
          <t>import sys</t>
        </is>
      </c>
    </row>
    <row r="5662">
      <c r="A5662" s="61" t="n">
        <v>13</v>
      </c>
      <c r="B5662" s="62" t="n"/>
    </row>
    <row r="5663">
      <c r="A5663" s="61" t="n">
        <v>14</v>
      </c>
      <c r="B5663" s="62" t="inlineStr">
        <is>
          <t>import chess</t>
        </is>
      </c>
    </row>
    <row r="5664">
      <c r="A5664" s="61" t="n">
        <v>15</v>
      </c>
      <c r="B5664" s="62" t="n"/>
    </row>
    <row r="5665">
      <c r="A5665" s="61" t="n">
        <v>16</v>
      </c>
      <c r="B5665" s="62" t="inlineStr">
        <is>
          <t>from app.analysis.engine import StockfishEvaluator</t>
        </is>
      </c>
    </row>
    <row r="5666">
      <c r="A5666" s="61" t="n">
        <v>17</v>
      </c>
      <c r="B5666" s="62" t="inlineStr">
        <is>
          <t>from app.config import get_settings</t>
        </is>
      </c>
    </row>
    <row r="5667">
      <c r="A5667" s="61" t="n">
        <v>18</v>
      </c>
      <c r="B5667" s="62" t="n"/>
    </row>
    <row r="5668">
      <c r="A5668" s="61" t="n">
        <v>19</v>
      </c>
      <c r="B5668" s="62" t="inlineStr">
        <is>
          <t>MATE_CAP = 1000  # cap so one missed mate does not dominate the average</t>
        </is>
      </c>
    </row>
    <row r="5669">
      <c r="A5669" s="61" t="n">
        <v>20</v>
      </c>
      <c r="B5669" s="62" t="n"/>
    </row>
    <row r="5670">
      <c r="A5670" s="61" t="n">
        <v>21</v>
      </c>
      <c r="B5670" s="62" t="n"/>
    </row>
    <row r="5671">
      <c r="A5671" s="61" t="n">
        <v>22</v>
      </c>
      <c r="B5671" s="62" t="inlineStr">
        <is>
          <t>def main(moves_file: str, engine_time_s: float) -&gt; None:</t>
        </is>
      </c>
    </row>
    <row r="5672">
      <c r="A5672" s="61" t="n">
        <v>23</v>
      </c>
      <c r="B5672" s="62" t="inlineStr">
        <is>
          <t xml:space="preserve">    data = json.load(open(moves_file, encoding="utf-8"))</t>
        </is>
      </c>
    </row>
    <row r="5673">
      <c r="A5673" s="61" t="n">
        <v>24</v>
      </c>
      <c r="B5673" s="62" t="inlineStr">
        <is>
          <t xml:space="preserve">    reference = StockfishEvaluator(get_settings().stockfish_path, 1, 64, 20, 2.0)</t>
        </is>
      </c>
    </row>
    <row r="5674">
      <c r="A5674" s="61" t="n">
        <v>25</v>
      </c>
      <c r="B5674" s="62" t="inlineStr">
        <is>
          <t xml:space="preserve">    fast = StockfishEvaluator(get_settings().stockfish_path, 1, 32, 99, engine_time_s)</t>
        </is>
      </c>
    </row>
    <row r="5675">
      <c r="A5675" s="61" t="n">
        <v>26</v>
      </c>
      <c r="B5675" s="62" t="inlineStr">
        <is>
          <t xml:space="preserve">    losses = {"original": [], "stockfish_fast": []}</t>
        </is>
      </c>
    </row>
    <row r="5676">
      <c r="A5676" s="61" t="n">
        <v>27</v>
      </c>
      <c r="B5676" s="62" t="inlineStr">
        <is>
          <t xml:space="preserve">    for row in data["results"]:</t>
        </is>
      </c>
    </row>
    <row r="5677">
      <c r="A5677" s="61" t="n">
        <v>28</v>
      </c>
      <c r="B5677" s="62" t="inlineStr">
        <is>
          <t xml:space="preserve">        board = chess.Board(row["fen"])</t>
        </is>
      </c>
    </row>
    <row r="5678">
      <c r="A5678" s="61" t="n">
        <v>29</v>
      </c>
      <c r="B5678" s="62" t="inlineStr">
        <is>
          <t xml:space="preserve">        engine = fast._get()</t>
        </is>
      </c>
    </row>
    <row r="5679">
      <c r="A5679" s="61" t="n">
        <v>30</v>
      </c>
      <c r="B5679" s="62" t="inlineStr">
        <is>
          <t xml:space="preserve">        sf_move = engine.play(board, chess.engine.Limit(time=engine_time_s)).move</t>
        </is>
      </c>
    </row>
    <row r="5680">
      <c r="A5680" s="61" t="n">
        <v>31</v>
      </c>
      <c r="B5680" s="62" t="inlineStr">
        <is>
          <t xml:space="preserve">        best = max(reference.eval_move(board, m).cp for m in [sf_move, chess.Move.from_uci(row["move"])])</t>
        </is>
      </c>
    </row>
    <row r="5681">
      <c r="A5681" s="61" t="n">
        <v>32</v>
      </c>
      <c r="B5681" s="62" t="inlineStr">
        <is>
          <t xml:space="preserve">        for name, move in (("original", chess.Move.from_uci(row["move"])), ("stockfish_fast", sf_move)):</t>
        </is>
      </c>
    </row>
    <row r="5682">
      <c r="A5682" s="61" t="n">
        <v>33</v>
      </c>
      <c r="B5682" s="62" t="inlineStr">
        <is>
          <t xml:space="preserve">            loss = max(0, best - reference.eval_move(board, move).cp)</t>
        </is>
      </c>
    </row>
    <row r="5683">
      <c r="A5683" s="61" t="n">
        <v>34</v>
      </c>
      <c r="B5683" s="62" t="inlineStr">
        <is>
          <t xml:space="preserve">            losses[name].append(min(loss, MATE_CAP))</t>
        </is>
      </c>
    </row>
    <row r="5684">
      <c r="A5684" s="61" t="n">
        <v>35</v>
      </c>
      <c r="B5684" s="62" t="inlineStr">
        <is>
          <t xml:space="preserve">    for name, values in losses.items():</t>
        </is>
      </c>
    </row>
    <row r="5685">
      <c r="A5685" s="61" t="n">
        <v>36</v>
      </c>
      <c r="B5685" s="62" t="inlineStr">
        <is>
          <t xml:space="preserve">        print(f"{name:15s} positions={len(values)} mean_cp_loss={statistics.mean(values):.0f} "</t>
        </is>
      </c>
    </row>
    <row r="5686">
      <c r="A5686" s="61" t="n">
        <v>37</v>
      </c>
      <c r="B5686" s="62" t="inlineStr">
        <is>
          <t xml:space="preserve">              f"median={statistics.median(values):.0f} blunders(&gt;=300)={sum(v &gt;= 300 for v in values)}")</t>
        </is>
      </c>
    </row>
    <row r="5687">
      <c r="A5687" s="61" t="n">
        <v>38</v>
      </c>
      <c r="B5687" s="62" t="inlineStr">
        <is>
          <t xml:space="preserve">    print("Reference: Stockfish, depth 20 / 2 s per move. Report hardware and budgets alongside these numbers.")</t>
        </is>
      </c>
    </row>
    <row r="5688">
      <c r="A5688" s="61" t="n">
        <v>39</v>
      </c>
      <c r="B5688" s="62" t="inlineStr">
        <is>
          <t xml:space="preserve">    reference.close()</t>
        </is>
      </c>
    </row>
    <row r="5689">
      <c r="A5689" s="61" t="n">
        <v>40</v>
      </c>
      <c r="B5689" s="62" t="inlineStr">
        <is>
          <t xml:space="preserve">    fast.close()</t>
        </is>
      </c>
    </row>
    <row r="5690">
      <c r="A5690" s="61" t="n">
        <v>41</v>
      </c>
      <c r="B5690" s="62" t="n"/>
    </row>
    <row r="5691">
      <c r="A5691" s="61" t="n">
        <v>42</v>
      </c>
      <c r="B5691" s="62" t="n"/>
    </row>
    <row r="5692">
      <c r="A5692" s="61" t="n">
        <v>43</v>
      </c>
      <c r="B5692" s="62" t="inlineStr">
        <is>
          <t>if __name__ == "__main__":</t>
        </is>
      </c>
    </row>
    <row r="5693">
      <c r="A5693" s="61" t="n">
        <v>44</v>
      </c>
      <c r="B5693" s="62" t="inlineStr">
        <is>
          <t xml:space="preserve">    main(sys.argv[1], float(sys.argv[2]))</t>
        </is>
      </c>
    </row>
    <row r="5696">
      <c r="A5696" s="60" t="inlineStr">
        <is>
          <t>C93</t>
        </is>
      </c>
      <c r="B5696" s="60" t="inlineStr">
        <is>
          <t>evaluation/compare_models.py   ·   Phase S6   ·   Constant vs Elo vs logistic regression on held-out attempts.</t>
        </is>
      </c>
    </row>
    <row r="5697">
      <c r="B5697" s="55" t="inlineStr">
        <is>
          <t>↑ back to Code Index</t>
        </is>
      </c>
    </row>
    <row r="5698">
      <c r="A5698" s="61" t="n">
        <v>1</v>
      </c>
      <c r="B5698" s="62" t="inlineStr">
        <is>
          <t>"""Stretch phase S6: does logistic regression predict puzzle success better than the Elo baseline?</t>
        </is>
      </c>
    </row>
    <row r="5699">
      <c r="A5699" s="61" t="n">
        <v>2</v>
      </c>
      <c r="B5699" s="62" t="n"/>
    </row>
    <row r="5700">
      <c r="A5700" s="61" t="n">
        <v>3</v>
      </c>
      <c r="B5700" s="62" t="inlineStr">
        <is>
          <t>Export attempts first (in psql, one row per finished practice session, oldest first):</t>
        </is>
      </c>
    </row>
    <row r="5701">
      <c r="A5701" s="61" t="n">
        <v>4</v>
      </c>
      <c r="B5701" s="62" t="inlineStr">
        <is>
          <t xml:space="preserve">  \\copy (SELECT s.owner_id, s.concept, s.started_at, s.predicted_p, s.rating_before, p.rating AS puzzle_rating,</t>
        </is>
      </c>
    </row>
    <row r="5702">
      <c r="A5702" s="61" t="n">
        <v>5</v>
      </c>
      <c r="B5702" s="62" t="inlineStr">
        <is>
          <t xml:space="preserve">           s.exposure_count, s.first_try_success::int AS y</t>
        </is>
      </c>
    </row>
    <row r="5703">
      <c r="A5703" s="61" t="n">
        <v>6</v>
      </c>
      <c r="B5703" s="62" t="inlineStr">
        <is>
          <t xml:space="preserve">          FROM practice_sessions s JOIN puzzles p ON p.id = s.puzzle_id</t>
        </is>
      </c>
    </row>
    <row r="5704">
      <c r="A5704" s="61" t="n">
        <v>7</v>
      </c>
      <c r="B5704" s="62" t="inlineStr">
        <is>
          <t xml:space="preserve">          WHERE s.state IN ('solved','failed') AND s.mode = 'practice' ORDER BY s.started_at) TO 'attempts.csv' CSV HEADER</t>
        </is>
      </c>
    </row>
    <row r="5705">
      <c r="A5705" s="61" t="n">
        <v>8</v>
      </c>
      <c r="B5705" s="62" t="n"/>
    </row>
    <row r="5706">
      <c r="A5706" s="61" t="n">
        <v>9</v>
      </c>
      <c r="B5706" s="62" t="inlineStr">
        <is>
          <t>Run:  python evaluation/compare_models.py attempts.csv</t>
        </is>
      </c>
    </row>
    <row r="5707">
      <c r="A5707" s="61" t="n">
        <v>10</v>
      </c>
      <c r="B5707" s="62" t="inlineStr">
        <is>
          <t>Every feature must be known BEFORE the attempt (no peeking at the outcome or the future).</t>
        </is>
      </c>
    </row>
    <row r="5708">
      <c r="A5708" s="61" t="n">
        <v>11</v>
      </c>
      <c r="B5708" s="62" t="inlineStr">
        <is>
          <t>"""</t>
        </is>
      </c>
    </row>
    <row r="5709">
      <c r="A5709" s="61" t="n">
        <v>12</v>
      </c>
      <c r="B5709" s="62" t="inlineStr">
        <is>
          <t>import csv</t>
        </is>
      </c>
    </row>
    <row r="5710">
      <c r="A5710" s="61" t="n">
        <v>13</v>
      </c>
      <c r="B5710" s="62" t="inlineStr">
        <is>
          <t>import sys</t>
        </is>
      </c>
    </row>
    <row r="5711">
      <c r="A5711" s="61" t="n">
        <v>14</v>
      </c>
      <c r="B5711" s="62" t="inlineStr">
        <is>
          <t>from collections import defaultdict</t>
        </is>
      </c>
    </row>
    <row r="5712">
      <c r="A5712" s="61" t="n">
        <v>15</v>
      </c>
      <c r="B5712" s="62" t="n"/>
    </row>
    <row r="5713">
      <c r="A5713" s="61" t="n">
        <v>16</v>
      </c>
      <c r="B5713" s="62" t="inlineStr">
        <is>
          <t>from metrics import brier_score, calibration_bins, log_loss</t>
        </is>
      </c>
    </row>
    <row r="5714">
      <c r="A5714" s="61" t="n">
        <v>17</v>
      </c>
      <c r="B5714" s="62" t="inlineStr">
        <is>
          <t>from sklearn.linear_model import LogisticRegression</t>
        </is>
      </c>
    </row>
    <row r="5715">
      <c r="A5715" s="61" t="n">
        <v>18</v>
      </c>
      <c r="B5715" s="62" t="n"/>
    </row>
    <row r="5716">
      <c r="A5716" s="61" t="n">
        <v>19</v>
      </c>
      <c r="B5716" s="62" t="n"/>
    </row>
    <row r="5717">
      <c r="A5717" s="61" t="n">
        <v>20</v>
      </c>
      <c r="B5717" s="62" t="inlineStr">
        <is>
          <t>def load(path: str) -&gt; list[dict]:</t>
        </is>
      </c>
    </row>
    <row r="5718">
      <c r="A5718" s="61" t="n">
        <v>21</v>
      </c>
      <c r="B5718" s="62" t="inlineStr">
        <is>
          <t xml:space="preserve">    rows = list(csv.DictReader(open(path, encoding="utf-8")))</t>
        </is>
      </c>
    </row>
    <row r="5719">
      <c r="A5719" s="61" t="n">
        <v>22</v>
      </c>
      <c r="B5719" s="62" t="inlineStr">
        <is>
          <t xml:space="preserve">    prior_success: dict[tuple, list[int]] = defaultdict(list)</t>
        </is>
      </c>
    </row>
    <row r="5720">
      <c r="A5720" s="61" t="n">
        <v>23</v>
      </c>
      <c r="B5720" s="62" t="inlineStr">
        <is>
          <t xml:space="preserve">    for r in rows:  # rows are in time order, so "prior" really means earlier</t>
        </is>
      </c>
    </row>
    <row r="5721">
      <c r="A5721" s="61" t="n">
        <v>24</v>
      </c>
      <c r="B5721" s="62" t="inlineStr">
        <is>
          <t xml:space="preserve">        key = (r["owner_id"], r["concept"])</t>
        </is>
      </c>
    </row>
    <row r="5722">
      <c r="A5722" s="61" t="n">
        <v>25</v>
      </c>
      <c r="B5722" s="62" t="inlineStr">
        <is>
          <t xml:space="preserve">        history = prior_success[key]</t>
        </is>
      </c>
    </row>
    <row r="5723">
      <c r="A5723" s="61" t="n">
        <v>26</v>
      </c>
      <c r="B5723" s="62" t="inlineStr">
        <is>
          <t xml:space="preserve">        r["prior_rate"] = sum(history) / len(history) if history else 0.5</t>
        </is>
      </c>
    </row>
    <row r="5724">
      <c r="A5724" s="61" t="n">
        <v>27</v>
      </c>
      <c r="B5724" s="62" t="inlineStr">
        <is>
          <t xml:space="preserve">        r["prior_n"] = len(history)</t>
        </is>
      </c>
    </row>
    <row r="5725">
      <c r="A5725" s="61" t="n">
        <v>28</v>
      </c>
      <c r="B5725" s="62" t="inlineStr">
        <is>
          <t xml:space="preserve">        history.append(int(r["y"]))</t>
        </is>
      </c>
    </row>
    <row r="5726">
      <c r="A5726" s="61" t="n">
        <v>29</v>
      </c>
      <c r="B5726" s="62" t="inlineStr">
        <is>
          <t xml:space="preserve">    return rows</t>
        </is>
      </c>
    </row>
    <row r="5727">
      <c r="A5727" s="61" t="n">
        <v>30</v>
      </c>
      <c r="B5727" s="62" t="n"/>
    </row>
    <row r="5728">
      <c r="A5728" s="61" t="n">
        <v>31</v>
      </c>
      <c r="B5728" s="62" t="n"/>
    </row>
    <row r="5729">
      <c r="A5729" s="61" t="n">
        <v>32</v>
      </c>
      <c r="B5729" s="62" t="inlineStr">
        <is>
          <t>def features(r: dict) -&gt; list[float]:</t>
        </is>
      </c>
    </row>
    <row r="5730">
      <c r="A5730" s="61" t="n">
        <v>33</v>
      </c>
      <c r="B5730" s="62" t="inlineStr">
        <is>
          <t xml:space="preserve">    return [float(r["rating_before"]) - float(r["puzzle_rating"]), r["prior_rate"], min(r["prior_n"], 50),</t>
        </is>
      </c>
    </row>
    <row r="5731">
      <c r="A5731" s="61" t="n">
        <v>34</v>
      </c>
      <c r="B5731" s="62" t="inlineStr">
        <is>
          <t xml:space="preserve">            float(r["exposure_count"])]</t>
        </is>
      </c>
    </row>
    <row r="5732">
      <c r="A5732" s="61" t="n">
        <v>35</v>
      </c>
      <c r="B5732" s="62" t="n"/>
    </row>
    <row r="5733">
      <c r="A5733" s="61" t="n">
        <v>36</v>
      </c>
      <c r="B5733" s="62" t="n"/>
    </row>
    <row r="5734">
      <c r="A5734" s="61" t="n">
        <v>37</v>
      </c>
      <c r="B5734" s="62" t="inlineStr">
        <is>
          <t>def main(path: str) -&gt; None:</t>
        </is>
      </c>
    </row>
    <row r="5735">
      <c r="A5735" s="61" t="n">
        <v>38</v>
      </c>
      <c r="B5735" s="62" t="inlineStr">
        <is>
          <t xml:space="preserve">    rows = load(path)</t>
        </is>
      </c>
    </row>
    <row r="5736">
      <c r="A5736" s="61" t="n">
        <v>39</v>
      </c>
      <c r="B5736" s="62" t="inlineStr">
        <is>
          <t xml:space="preserve">    cut = int(len(rows) * 0.7)  # chronological split: train on the past, test on the future</t>
        </is>
      </c>
    </row>
    <row r="5737">
      <c r="A5737" s="61" t="n">
        <v>40</v>
      </c>
      <c r="B5737" s="62" t="inlineStr">
        <is>
          <t xml:space="preserve">    train, test = rows[:cut], rows[cut:]</t>
        </is>
      </c>
    </row>
    <row r="5738">
      <c r="A5738" s="61" t="n">
        <v>41</v>
      </c>
      <c r="B5738" s="62" t="inlineStr">
        <is>
          <t xml:space="preserve">    if len(test) &lt; 50:</t>
        </is>
      </c>
    </row>
    <row r="5739">
      <c r="A5739" s="61" t="n">
        <v>42</v>
      </c>
      <c r="B5739" s="62" t="inlineStr">
        <is>
          <t xml:space="preserve">        print(f"Only {len(test)} test attempts: too few for a meaningful comparison. Collect more data first.")</t>
        </is>
      </c>
    </row>
    <row r="5740">
      <c r="A5740" s="61" t="n">
        <v>43</v>
      </c>
      <c r="B5740" s="62" t="inlineStr">
        <is>
          <t xml:space="preserve">    y_test = [int(r["y"]) for r in test]</t>
        </is>
      </c>
    </row>
    <row r="5741">
      <c r="A5741" s="61" t="n">
        <v>44</v>
      </c>
      <c r="B5741" s="62" t="inlineStr">
        <is>
          <t xml:space="preserve">    base_rate = sum(int(r["y"]) for r in train) / len(train)</t>
        </is>
      </c>
    </row>
    <row r="5742">
      <c r="A5742" s="61" t="n">
        <v>45</v>
      </c>
      <c r="B5742" s="62" t="inlineStr">
        <is>
          <t xml:space="preserve">    model = LogisticRegression().fit([features(r) for r in train], [int(r["y"]) for r in train])</t>
        </is>
      </c>
    </row>
    <row r="5743">
      <c r="A5743" s="61" t="n">
        <v>46</v>
      </c>
      <c r="B5743" s="62" t="inlineStr">
        <is>
          <t xml:space="preserve">    candidates = {</t>
        </is>
      </c>
    </row>
    <row r="5744">
      <c r="A5744" s="61" t="n">
        <v>47</v>
      </c>
      <c r="B5744" s="62" t="inlineStr">
        <is>
          <t xml:space="preserve">        "constant_base_rate": [base_rate] * len(test),</t>
        </is>
      </c>
    </row>
    <row r="5745">
      <c r="A5745" s="61" t="n">
        <v>48</v>
      </c>
      <c r="B5745" s="62" t="inlineStr">
        <is>
          <t xml:space="preserve">        "elo_baseline": [float(r["predicted_p"]) for r in test],</t>
        </is>
      </c>
    </row>
    <row r="5746">
      <c r="A5746" s="61" t="n">
        <v>49</v>
      </c>
      <c r="B5746" s="62" t="inlineStr">
        <is>
          <t xml:space="preserve">        "logistic_regression": list(model.predict_proba([features(r) for r in test])[:, 1]),</t>
        </is>
      </c>
    </row>
    <row r="5747">
      <c r="A5747" s="61" t="n">
        <v>50</v>
      </c>
      <c r="B5747" s="62" t="inlineStr">
        <is>
          <t xml:space="preserve">    }</t>
        </is>
      </c>
    </row>
    <row r="5748">
      <c r="A5748" s="61" t="n">
        <v>51</v>
      </c>
      <c r="B5748" s="62" t="inlineStr">
        <is>
          <t xml:space="preserve">    print(f"train={len(train)} test={len(test)} positives_in_test={sum(y_test)}")</t>
        </is>
      </c>
    </row>
    <row r="5749">
      <c r="A5749" s="61" t="n">
        <v>52</v>
      </c>
      <c r="B5749" s="62" t="inlineStr">
        <is>
          <t xml:space="preserve">    for name, preds in candidates.items():</t>
        </is>
      </c>
    </row>
    <row r="5750">
      <c r="A5750" s="61" t="n">
        <v>53</v>
      </c>
      <c r="B5750" s="62" t="inlineStr">
        <is>
          <t xml:space="preserve">        print(f"{name:22s} brier={brier_score(preds, y_test):.4f} log_loss={log_loss(preds, y_test):.4f}")</t>
        </is>
      </c>
    </row>
    <row r="5751">
      <c r="A5751" s="61" t="n">
        <v>54</v>
      </c>
      <c r="B5751" s="62" t="inlineStr">
        <is>
          <t xml:space="preserve">        for b in calibration_bins(preds, y_test):</t>
        </is>
      </c>
    </row>
    <row r="5752">
      <c r="A5752" s="61" t="n">
        <v>55</v>
      </c>
      <c r="B5752" s="62" t="inlineStr">
        <is>
          <t xml:space="preserve">            print(f"    {b['bin']}: n={b['n']:4d} predicted={b['mean_predicted']:.2f} observed={b['observed']:.2f}")</t>
        </is>
      </c>
    </row>
    <row r="5753">
      <c r="A5753" s="61" t="n">
        <v>56</v>
      </c>
      <c r="B5753" s="62" t="inlineStr">
        <is>
          <t xml:space="preserve">    print("coefficients:", dict(zip(["rating_gap", "prior_rate", "prior_n", "exposures"], model.coef_[0].round(4))))</t>
        </is>
      </c>
    </row>
    <row r="5754">
      <c r="A5754" s="61" t="n">
        <v>57</v>
      </c>
      <c r="B5754" s="62" t="inlineStr">
        <is>
          <t xml:space="preserve">    print("Keep Elo in production unless regression is clearly better on held-out data (and on new players).")</t>
        </is>
      </c>
    </row>
    <row r="5755">
      <c r="A5755" s="61" t="n">
        <v>58</v>
      </c>
      <c r="B5755" s="62" t="n"/>
    </row>
    <row r="5756">
      <c r="A5756" s="61" t="n">
        <v>59</v>
      </c>
      <c r="B5756" s="62" t="n"/>
    </row>
    <row r="5757">
      <c r="A5757" s="61" t="n">
        <v>60</v>
      </c>
      <c r="B5757" s="62" t="inlineStr">
        <is>
          <t>if __name__ == "__main__":</t>
        </is>
      </c>
    </row>
    <row r="5758">
      <c r="A5758" s="61" t="n">
        <v>61</v>
      </c>
      <c r="B5758" s="62" t="inlineStr">
        <is>
          <t xml:space="preserve">    main(sys.argv[1])</t>
        </is>
      </c>
    </row>
  </sheetData>
  <mergeCells count="1">
    <mergeCell ref="A1:B1"/>
  </mergeCells>
  <hyperlinks>
    <hyperlink ref="B4" location="'Code Index'!A1" display="↑ back to Code Index"/>
    <hyperlink ref="B29" location="'Code Index'!A1" display="↑ back to Code Index"/>
    <hyperlink ref="B82" location="'Code Index'!A1" display="↑ back to Code Index"/>
    <hyperlink ref="B116" location="'Code Index'!A1" display="↑ back to Code Index"/>
    <hyperlink ref="B139" location="'Code Index'!A1" display="↑ back to Code Index"/>
    <hyperlink ref="B202" location="'Code Index'!A1" display="↑ back to Code Index"/>
    <hyperlink ref="B233" location="'Code Index'!A1" display="↑ back to Code Index"/>
    <hyperlink ref="B457" location="'Code Index'!A1" display="↑ back to Code Index"/>
    <hyperlink ref="B474" location="'Code Index'!A1" display="↑ back to Code Index"/>
    <hyperlink ref="B517" location="'Code Index'!A1" display="↑ back to Code Index"/>
    <hyperlink ref="B568" location="'Code Index'!A1" display="↑ back to Code Index"/>
    <hyperlink ref="B609" location="'Code Index'!A1" display="↑ back to Code Index"/>
    <hyperlink ref="B653" location="'Code Index'!A1" display="↑ back to Code Index"/>
    <hyperlink ref="B701" location="'Code Index'!A1" display="↑ back to Code Index"/>
    <hyperlink ref="B779" location="'Code Index'!A1" display="↑ back to Code Index"/>
    <hyperlink ref="B785" location="'Code Index'!A1" display="↑ back to Code Index"/>
    <hyperlink ref="B798" location="'Code Index'!A1" display="↑ back to Code Index"/>
    <hyperlink ref="B812" location="'Code Index'!A1" display="↑ back to Code Index"/>
    <hyperlink ref="B863" location="'Code Index'!A1" display="↑ back to Code Index"/>
    <hyperlink ref="B950" location="'Code Index'!A1" display="↑ back to Code Index"/>
    <hyperlink ref="B1034" location="'Code Index'!A1" display="↑ back to Code Index"/>
    <hyperlink ref="B1156" location="'Code Index'!A1" display="↑ back to Code Index"/>
    <hyperlink ref="B1218" location="'Code Index'!A1" display="↑ back to Code Index"/>
    <hyperlink ref="B1251" location="'Code Index'!A1" display="↑ back to Code Index"/>
    <hyperlink ref="B1337" location="'Code Index'!A1" display="↑ back to Code Index"/>
    <hyperlink ref="B1366" location="'Code Index'!A1" display="↑ back to Code Index"/>
    <hyperlink ref="B1395" location="'Code Index'!A1" display="↑ back to Code Index"/>
    <hyperlink ref="B1504" location="'Code Index'!A1" display="↑ back to Code Index"/>
    <hyperlink ref="B1539" location="'Code Index'!A1" display="↑ back to Code Index"/>
    <hyperlink ref="B1570" location="'Code Index'!A1" display="↑ back to Code Index"/>
    <hyperlink ref="B1738" location="'Code Index'!A1" display="↑ back to Code Index"/>
    <hyperlink ref="B1750" location="'Code Index'!A1" display="↑ back to Code Index"/>
    <hyperlink ref="B1779" location="'Code Index'!A1" display="↑ back to Code Index"/>
    <hyperlink ref="B1809" location="'Code Index'!A1" display="↑ back to Code Index"/>
    <hyperlink ref="B1820" location="'Code Index'!A1" display="↑ back to Code Index"/>
    <hyperlink ref="B1865" location="'Code Index'!A1" display="↑ back to Code Index"/>
    <hyperlink ref="B1882" location="'Code Index'!A1" display="↑ back to Code Index"/>
    <hyperlink ref="B1933" location="'Code Index'!A1" display="↑ back to Code Index"/>
    <hyperlink ref="B2036" location="'Code Index'!A1" display="↑ back to Code Index"/>
    <hyperlink ref="B2228" location="'Code Index'!A1" display="↑ back to Code Index"/>
    <hyperlink ref="B2352" location="'Code Index'!A1" display="↑ back to Code Index"/>
    <hyperlink ref="B2402" location="'Code Index'!A1" display="↑ back to Code Index"/>
    <hyperlink ref="B2474" location="'Code Index'!A1" display="↑ back to Code Index"/>
    <hyperlink ref="B2631" location="'Code Index'!A1" display="↑ back to Code Index"/>
    <hyperlink ref="B2714" location="'Code Index'!A1" display="↑ back to Code Index"/>
    <hyperlink ref="B2793" location="'Code Index'!A1" display="↑ back to Code Index"/>
    <hyperlink ref="B2920" location="'Code Index'!A1" display="↑ back to Code Index"/>
    <hyperlink ref="B2968" location="'Code Index'!A1" display="↑ back to Code Index"/>
    <hyperlink ref="B3059" location="'Code Index'!A1" display="↑ back to Code Index"/>
    <hyperlink ref="B3096" location="'Code Index'!A1" display="↑ back to Code Index"/>
    <hyperlink ref="B3120" location="'Code Index'!A1" display="↑ back to Code Index"/>
    <hyperlink ref="B3185" location="'Code Index'!A1" display="↑ back to Code Index"/>
    <hyperlink ref="B3269" location="'Code Index'!A1" display="↑ back to Code Index"/>
    <hyperlink ref="B3381" location="'Code Index'!A1" display="↑ back to Code Index"/>
    <hyperlink ref="B3495" location="'Code Index'!A1" display="↑ back to Code Index"/>
    <hyperlink ref="B3553" location="'Code Index'!A1" display="↑ back to Code Index"/>
    <hyperlink ref="B3636" location="'Code Index'!A1" display="↑ back to Code Index"/>
    <hyperlink ref="B3738" location="'Code Index'!A1" display="↑ back to Code Index"/>
    <hyperlink ref="B3773" location="'Code Index'!A1" display="↑ back to Code Index"/>
    <hyperlink ref="B3802" location="'Code Index'!A1" display="↑ back to Code Index"/>
    <hyperlink ref="B3841" location="'Code Index'!A1" display="↑ back to Code Index"/>
    <hyperlink ref="B3979" location="'Code Index'!A1" display="↑ back to Code Index"/>
    <hyperlink ref="B4031" location="'Code Index'!A1" display="↑ back to Code Index"/>
    <hyperlink ref="B4104" location="'Code Index'!A1" display="↑ back to Code Index"/>
    <hyperlink ref="B4154" location="'Code Index'!A1" display="↑ back to Code Index"/>
    <hyperlink ref="B4318" location="'Code Index'!A1" display="↑ back to Code Index"/>
    <hyperlink ref="B4435" location="'Code Index'!A1" display="↑ back to Code Index"/>
    <hyperlink ref="B4469" location="'Code Index'!A1" display="↑ back to Code Index"/>
    <hyperlink ref="B4504" location="'Code Index'!A1" display="↑ back to Code Index"/>
    <hyperlink ref="B4564" location="'Code Index'!A1" display="↑ back to Code Index"/>
    <hyperlink ref="B4649" location="'Code Index'!A1" display="↑ back to Code Index"/>
    <hyperlink ref="B4698" location="'Code Index'!A1" display="↑ back to Code Index"/>
    <hyperlink ref="B4762" location="'Code Index'!A1" display="↑ back to Code Index"/>
    <hyperlink ref="B4881" location="'Code Index'!A1" display="↑ back to Code Index"/>
    <hyperlink ref="B4968" location="'Code Index'!A1" display="↑ back to Code Index"/>
    <hyperlink ref="B4997" location="'Code Index'!A1" display="↑ back to Code Index"/>
    <hyperlink ref="B5085" location="'Code Index'!A1" display="↑ back to Code Index"/>
    <hyperlink ref="B5091" location="'Code Index'!A1" display="↑ back to Code Index"/>
    <hyperlink ref="B5114" location="'Code Index'!A1" display="↑ back to Code Index"/>
    <hyperlink ref="B5152" location="'Code Index'!A1" display="↑ back to Code Index"/>
    <hyperlink ref="B5180" location="'Code Index'!A1" display="↑ back to Code Index"/>
    <hyperlink ref="B5224" location="'Code Index'!A1" display="↑ back to Code Index"/>
    <hyperlink ref="B5273" location="'Code Index'!A1" display="↑ back to Code Index"/>
    <hyperlink ref="B5291" location="'Code Index'!A1" display="↑ back to Code Index"/>
    <hyperlink ref="B5330" location="'Code Index'!A1" display="↑ back to Code Index"/>
    <hyperlink ref="B5350" location="'Code Index'!A1" display="↑ back to Code Index"/>
    <hyperlink ref="B5419" location="'Code Index'!A1" display="↑ back to Code Index"/>
    <hyperlink ref="B5483" location="'Code Index'!A1" display="↑ back to Code Index"/>
    <hyperlink ref="B5563" location="'Code Index'!A1" display="↑ back to Code Index"/>
    <hyperlink ref="B5609" location="'Code Index'!A1" display="↑ back to Code Index"/>
    <hyperlink ref="B5618" location="'Code Index'!A1" display="↑ back to Code Index"/>
    <hyperlink ref="B5649" location="'Code Index'!A1" display="↑ back to Code Index"/>
    <hyperlink ref="B5697" location="'Code Index'!A1" display="↑ back to Code Index"/>
  </hyperlinks>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16" customWidth="1" min="3" max="3"/>
    <col width="36" customWidth="1" min="4" max="4"/>
    <col width="46" customWidth="1" min="5" max="5"/>
    <col width="9" customWidth="1" min="6" max="6"/>
    <col width="38" customWidth="1" min="7" max="7"/>
  </cols>
  <sheetData>
    <row r="1" ht="30" customHeight="1">
      <c r="A1" s="13" t="inlineStr">
        <is>
          <t>Method</t>
        </is>
      </c>
      <c r="B1" s="13" t="inlineStr">
        <is>
          <t>Path</t>
        </is>
      </c>
      <c r="C1" s="13" t="inlineStr">
        <is>
          <t>Auth</t>
        </is>
      </c>
      <c r="D1" s="13" t="inlineStr">
        <is>
          <t>Request body</t>
        </is>
      </c>
      <c r="E1" s="13" t="inlineStr">
        <is>
          <t>Response</t>
        </is>
      </c>
      <c r="F1" s="13" t="inlineStr">
        <is>
          <t>Success</t>
        </is>
      </c>
      <c r="G1" s="13" t="inlineStr">
        <is>
          <t>Error codes</t>
        </is>
      </c>
    </row>
    <row r="2" ht="16.6" customHeight="1">
      <c r="A2" s="15" t="inlineStr">
        <is>
          <t>POST</t>
        </is>
      </c>
      <c r="B2" s="40" t="inlineStr">
        <is>
          <t>/v1/sessions</t>
        </is>
      </c>
      <c r="C2" s="15" t="inlineStr">
        <is>
          <t>No (rate-limited)</t>
        </is>
      </c>
      <c r="D2" s="40" t="inlineStr">
        <is>
          <t>—</t>
        </is>
      </c>
      <c r="E2" s="40" t="inlineStr">
        <is>
          <t>{token, visitor_id, expires_at}</t>
        </is>
      </c>
      <c r="F2" s="15" t="inlineStr">
        <is>
          <t>201</t>
        </is>
      </c>
      <c r="G2" s="15" t="inlineStr">
        <is>
          <t>RATE_LIMITED</t>
        </is>
      </c>
    </row>
    <row r="3" ht="16.6" customHeight="1">
      <c r="A3" s="15" t="inlineStr">
        <is>
          <t>GET</t>
        </is>
      </c>
      <c r="B3" s="40" t="inlineStr">
        <is>
          <t>/v1/me</t>
        </is>
      </c>
      <c r="C3" s="15" t="inlineStr">
        <is>
          <t>Bearer</t>
        </is>
      </c>
      <c r="D3" s="40" t="inlineStr">
        <is>
          <t>—</t>
        </is>
      </c>
      <c r="E3" s="40" t="inlineStr">
        <is>
          <t>{visitor_id, expires_at}</t>
        </is>
      </c>
      <c r="F3" s="15" t="inlineStr">
        <is>
          <t>200</t>
        </is>
      </c>
      <c r="G3" s="15" t="inlineStr">
        <is>
          <t>AUTH_REQUIRED, AUTH_INVALID</t>
        </is>
      </c>
    </row>
    <row r="4" ht="16.6" customHeight="1">
      <c r="A4" s="15" t="inlineStr">
        <is>
          <t>POST</t>
        </is>
      </c>
      <c r="B4" s="40" t="inlineStr">
        <is>
          <t>/v1/games</t>
        </is>
      </c>
      <c r="C4" s="15" t="inlineStr">
        <is>
          <t>Bearer</t>
        </is>
      </c>
      <c r="D4" s="40" t="inlineStr">
        <is>
          <t>{pgn, player_color, engine_label}</t>
        </is>
      </c>
      <c r="E4" s="40" t="inlineStr">
        <is>
          <t>{game_id, analysis_job_id}</t>
        </is>
      </c>
      <c r="F4" s="15" t="inlineStr">
        <is>
          <t>201</t>
        </is>
      </c>
      <c r="G4" s="15" t="inlineStr">
        <is>
          <t>INVALID_PGN, VALIDATION_FAILED</t>
        </is>
      </c>
    </row>
    <row r="5" ht="16.6" customHeight="1">
      <c r="A5" s="15" t="inlineStr">
        <is>
          <t>GET</t>
        </is>
      </c>
      <c r="B5" s="40" t="inlineStr">
        <is>
          <t>/v1/games</t>
        </is>
      </c>
      <c r="C5" s="15" t="inlineStr">
        <is>
          <t>Bearer</t>
        </is>
      </c>
      <c r="D5" s="40" t="inlineStr">
        <is>
          <t>—</t>
        </is>
      </c>
      <c r="E5" s="40" t="inlineStr">
        <is>
          <t>[GameSummary]</t>
        </is>
      </c>
      <c r="F5" s="15" t="inlineStr">
        <is>
          <t>200</t>
        </is>
      </c>
      <c r="G5" s="15" t="inlineStr"/>
    </row>
    <row r="6" ht="16.6" customHeight="1">
      <c r="A6" s="15" t="inlineStr">
        <is>
          <t>GET</t>
        </is>
      </c>
      <c r="B6" s="40" t="inlineStr">
        <is>
          <t>/v1/games/{id}</t>
        </is>
      </c>
      <c r="C6" s="15" t="inlineStr">
        <is>
          <t>Bearer (owner)</t>
        </is>
      </c>
      <c r="D6" s="40" t="inlineStr">
        <is>
          <t>—</t>
        </is>
      </c>
      <c r="E6" s="40" t="inlineStr">
        <is>
          <t>GameDetail (pgn, initial_fen ...)</t>
        </is>
      </c>
      <c r="F6" s="15" t="inlineStr">
        <is>
          <t>200</t>
        </is>
      </c>
      <c r="G6" s="15" t="inlineStr">
        <is>
          <t>GAME_NOT_FOUND</t>
        </is>
      </c>
    </row>
    <row r="7" ht="16.6" customHeight="1">
      <c r="A7" s="15" t="inlineStr">
        <is>
          <t>POST</t>
        </is>
      </c>
      <c r="B7" s="40" t="inlineStr">
        <is>
          <t>/v1/games/{id}/analysis</t>
        </is>
      </c>
      <c r="C7" s="15" t="inlineStr">
        <is>
          <t>Bearer (owner)</t>
        </is>
      </c>
      <c r="D7" s="40" t="inlineStr">
        <is>
          <t>—</t>
        </is>
      </c>
      <c r="E7" s="40" t="inlineStr">
        <is>
          <t>{game_id, analysis_job_id}</t>
        </is>
      </c>
      <c r="F7" s="15" t="inlineStr">
        <is>
          <t>202</t>
        </is>
      </c>
      <c r="G7" s="15" t="inlineStr">
        <is>
          <t>GAME_NOT_FOUND</t>
        </is>
      </c>
    </row>
    <row r="8" ht="16.6" customHeight="1">
      <c r="A8" s="15" t="inlineStr">
        <is>
          <t>GET</t>
        </is>
      </c>
      <c r="B8" s="40" t="inlineStr">
        <is>
          <t>/v1/games/{id}/review</t>
        </is>
      </c>
      <c r="C8" s="15" t="inlineStr">
        <is>
          <t>Bearer (owner)</t>
        </is>
      </c>
      <c r="D8" s="40" t="inlineStr">
        <is>
          <t>—</t>
        </is>
      </c>
      <c r="E8" s="40" t="inlineStr">
        <is>
          <t>Review (state, coverage, findings[])</t>
        </is>
      </c>
      <c r="F8" s="15" t="inlineStr">
        <is>
          <t>200</t>
        </is>
      </c>
      <c r="G8" s="15" t="inlineStr">
        <is>
          <t>GAME_NOT_FOUND</t>
        </is>
      </c>
    </row>
    <row r="9" ht="16.6" customHeight="1">
      <c r="A9" s="15" t="inlineStr">
        <is>
          <t>GET</t>
        </is>
      </c>
      <c r="B9" s="40" t="inlineStr">
        <is>
          <t>/v1/demo/review</t>
        </is>
      </c>
      <c r="C9" s="15" t="inlineStr">
        <is>
          <t>No</t>
        </is>
      </c>
      <c r="D9" s="40" t="inlineStr">
        <is>
          <t>—</t>
        </is>
      </c>
      <c r="E9" s="40" t="inlineStr">
        <is>
          <t>Review (is_demo = true)</t>
        </is>
      </c>
      <c r="F9" s="15" t="inlineStr">
        <is>
          <t>200</t>
        </is>
      </c>
      <c r="G9" s="15" t="inlineStr">
        <is>
          <t>DEMO_MISSING</t>
        </is>
      </c>
    </row>
    <row r="10" ht="16.6" customHeight="1">
      <c r="A10" s="15" t="inlineStr">
        <is>
          <t>POST</t>
        </is>
      </c>
      <c r="B10" s="40" t="inlineStr">
        <is>
          <t>/v1/imports</t>
        </is>
      </c>
      <c r="C10" s="15" t="inlineStr">
        <is>
          <t>Bearer</t>
        </is>
      </c>
      <c r="D10" s="40" t="inlineStr">
        <is>
          <t>{provider, username, max_games&lt;=200}</t>
        </is>
      </c>
      <c r="E10" s="40" t="inlineStr">
        <is>
          <t>ImportRun</t>
        </is>
      </c>
      <c r="F10" s="15" t="inlineStr">
        <is>
          <t>202</t>
        </is>
      </c>
      <c r="G10" s="15" t="inlineStr">
        <is>
          <t>IMPORT_RATE_LIMITED, VALIDATION_FAILED</t>
        </is>
      </c>
    </row>
    <row r="11" ht="29.2" customHeight="1">
      <c r="A11" s="15" t="inlineStr">
        <is>
          <t>POST</t>
        </is>
      </c>
      <c r="B11" s="40" t="inlineStr">
        <is>
          <t>/v1/imports/pgn</t>
        </is>
      </c>
      <c r="C11" s="15" t="inlineStr">
        <is>
          <t>Bearer</t>
        </is>
      </c>
      <c r="D11" s="40" t="inlineStr">
        <is>
          <t>multipart: file, player_name?, player_color</t>
        </is>
      </c>
      <c r="E11" s="40" t="inlineStr">
        <is>
          <t>{import_id, accepted, duplicates, errors[]}</t>
        </is>
      </c>
      <c r="F11" s="15" t="inlineStr">
        <is>
          <t>202</t>
        </is>
      </c>
      <c r="G11" s="15" t="inlineStr">
        <is>
          <t>UPLOAD_TOO_LARGE</t>
        </is>
      </c>
    </row>
    <row r="12" ht="16.6" customHeight="1">
      <c r="A12" s="15" t="inlineStr">
        <is>
          <t>GET</t>
        </is>
      </c>
      <c r="B12" s="40" t="inlineStr">
        <is>
          <t>/v1/imports/{id}</t>
        </is>
      </c>
      <c r="C12" s="15" t="inlineStr">
        <is>
          <t>Bearer (owner)</t>
        </is>
      </c>
      <c r="D12" s="40" t="inlineStr">
        <is>
          <t>—</t>
        </is>
      </c>
      <c r="E12" s="40" t="inlineStr">
        <is>
          <t>ImportRun (fetched, eligible, excluded, analyzed)</t>
        </is>
      </c>
      <c r="F12" s="15" t="inlineStr">
        <is>
          <t>200</t>
        </is>
      </c>
      <c r="G12" s="15" t="inlineStr">
        <is>
          <t>IMPORT_NOT_FOUND</t>
        </is>
      </c>
    </row>
    <row r="13" ht="16.6" customHeight="1">
      <c r="A13" s="15" t="inlineStr">
        <is>
          <t>GET</t>
        </is>
      </c>
      <c r="B13" s="40" t="inlineStr">
        <is>
          <t>/v1/jobs/{id}</t>
        </is>
      </c>
      <c r="C13" s="15" t="inlineStr">
        <is>
          <t>Bearer (owner)</t>
        </is>
      </c>
      <c r="D13" s="40" t="inlineStr">
        <is>
          <t>—</t>
        </is>
      </c>
      <c r="E13" s="40" t="inlineStr">
        <is>
          <t>{status, attempts, progress, error_code}</t>
        </is>
      </c>
      <c r="F13" s="15" t="inlineStr">
        <is>
          <t>200</t>
        </is>
      </c>
      <c r="G13" s="15" t="inlineStr">
        <is>
          <t>JOB_NOT_FOUND</t>
        </is>
      </c>
    </row>
    <row r="14" ht="16.6" customHeight="1">
      <c r="A14" s="15" t="inlineStr">
        <is>
          <t>POST</t>
        </is>
      </c>
      <c r="B14" s="40" t="inlineStr">
        <is>
          <t>/v1/jobs/{id}/cancel</t>
        </is>
      </c>
      <c r="C14" s="15" t="inlineStr">
        <is>
          <t>Bearer (owner)</t>
        </is>
      </c>
      <c r="D14" s="40" t="inlineStr">
        <is>
          <t>—</t>
        </is>
      </c>
      <c r="E14" s="40" t="inlineStr">
        <is>
          <t>{status}</t>
        </is>
      </c>
      <c r="F14" s="15" t="inlineStr">
        <is>
          <t>200</t>
        </is>
      </c>
      <c r="G14" s="15" t="inlineStr">
        <is>
          <t>JOB_NOT_FOUND</t>
        </is>
      </c>
    </row>
    <row r="15" ht="16.6" customHeight="1">
      <c r="A15" s="15" t="inlineStr">
        <is>
          <t>POST</t>
        </is>
      </c>
      <c r="B15" s="40" t="inlineStr">
        <is>
          <t>/v1/practice/sessions</t>
        </is>
      </c>
      <c r="C15" s="15" t="inlineStr">
        <is>
          <t>Bearer</t>
        </is>
      </c>
      <c r="D15" s="40" t="inlineStr">
        <is>
          <t>{concept?, evidence_id?, mode}</t>
        </is>
      </c>
      <c r="E15" s="40" t="inlineStr">
        <is>
          <t>PracticeSession (no solution!)</t>
        </is>
      </c>
      <c r="F15" s="15" t="inlineStr">
        <is>
          <t>201</t>
        </is>
      </c>
      <c r="G15" s="15" t="inlineStr">
        <is>
          <t>NO_PUZZLE_AVAILABLE, EVIDENCE_NOT_FOUND</t>
        </is>
      </c>
    </row>
    <row r="16" ht="16.6" customHeight="1">
      <c r="A16" s="15" t="inlineStr">
        <is>
          <t>GET</t>
        </is>
      </c>
      <c r="B16" s="40" t="inlineStr">
        <is>
          <t>/v1/practice/sessions/{id}</t>
        </is>
      </c>
      <c r="C16" s="15" t="inlineStr">
        <is>
          <t>Bearer (owner)</t>
        </is>
      </c>
      <c r="D16" s="40" t="inlineStr">
        <is>
          <t>—</t>
        </is>
      </c>
      <c r="E16" s="40" t="inlineStr">
        <is>
          <t>PracticeSession</t>
        </is>
      </c>
      <c r="F16" s="15" t="inlineStr">
        <is>
          <t>200</t>
        </is>
      </c>
      <c r="G16" s="15" t="inlineStr">
        <is>
          <t>SESSION_NOT_FOUND</t>
        </is>
      </c>
    </row>
    <row r="17" ht="29.2" customHeight="1">
      <c r="A17" s="15" t="inlineStr">
        <is>
          <t>POST</t>
        </is>
      </c>
      <c r="B17" s="40" t="inlineStr">
        <is>
          <t>/v1/practice/sessions/{id}/moves</t>
        </is>
      </c>
      <c r="C17" s="15" t="inlineStr">
        <is>
          <t>Bearer (owner)</t>
        </is>
      </c>
      <c r="D17" s="40" t="inlineStr">
        <is>
          <t>{uci}</t>
        </is>
      </c>
      <c r="E17" s="40" t="inlineStr">
        <is>
          <t>{outcome, fen, opponent_reply_uci, state, first_try_success, rating_after}</t>
        </is>
      </c>
      <c r="F17" s="15" t="inlineStr">
        <is>
          <t>200</t>
        </is>
      </c>
      <c r="G17" s="15" t="inlineStr">
        <is>
          <t>ILLEGAL_MOVE, SESSION_FINISHED</t>
        </is>
      </c>
    </row>
    <row r="18" ht="16.6" customHeight="1">
      <c r="A18" s="15" t="inlineStr">
        <is>
          <t>POST</t>
        </is>
      </c>
      <c r="B18" s="40" t="inlineStr">
        <is>
          <t>/v1/practice/sessions/{id}/hint</t>
        </is>
      </c>
      <c r="C18" s="15" t="inlineStr">
        <is>
          <t>Bearer (owner)</t>
        </is>
      </c>
      <c r="D18" s="40" t="inlineStr">
        <is>
          <t>—</t>
        </is>
      </c>
      <c r="E18" s="40" t="inlineStr">
        <is>
          <t>{level, text}</t>
        </is>
      </c>
      <c r="F18" s="15" t="inlineStr">
        <is>
          <t>200</t>
        </is>
      </c>
      <c r="G18" s="15" t="inlineStr">
        <is>
          <t>SESSION_FINISHED</t>
        </is>
      </c>
    </row>
    <row r="19" ht="16.6" customHeight="1">
      <c r="A19" s="15" t="inlineStr">
        <is>
          <t>POST</t>
        </is>
      </c>
      <c r="B19" s="40" t="inlineStr">
        <is>
          <t>/v1/practice/sessions/{id}/give-up</t>
        </is>
      </c>
      <c r="C19" s="15" t="inlineStr">
        <is>
          <t>Bearer (owner)</t>
        </is>
      </c>
      <c r="D19" s="40" t="inlineStr">
        <is>
          <t>—</t>
        </is>
      </c>
      <c r="E19" s="40" t="inlineStr">
        <is>
          <t>MoveResult (final position)</t>
        </is>
      </c>
      <c r="F19" s="15" t="inlineStr">
        <is>
          <t>200</t>
        </is>
      </c>
      <c r="G19" s="15" t="inlineStr">
        <is>
          <t>SESSION_FINISHED</t>
        </is>
      </c>
    </row>
    <row r="20" ht="16.6" customHeight="1">
      <c r="A20" s="15" t="inlineStr">
        <is>
          <t>GET</t>
        </is>
      </c>
      <c r="B20" s="40" t="inlineStr">
        <is>
          <t>/v1/progress</t>
        </is>
      </c>
      <c r="C20" s="15" t="inlineStr">
        <is>
          <t>Bearer</t>
        </is>
      </c>
      <c r="D20" s="40" t="inlineStr">
        <is>
          <t>—</t>
        </is>
      </c>
      <c r="E20" s="40" t="inlineStr">
        <is>
          <t>{concepts[], note}</t>
        </is>
      </c>
      <c r="F20" s="15" t="inlineStr">
        <is>
          <t>200</t>
        </is>
      </c>
      <c r="G20" s="15" t="inlineStr"/>
    </row>
    <row r="21" ht="16.6" customHeight="1">
      <c r="A21" s="15" t="inlineStr">
        <is>
          <t>DELETE</t>
        </is>
      </c>
      <c r="B21" s="40" t="inlineStr">
        <is>
          <t>/v1/me/data</t>
        </is>
      </c>
      <c r="C21" s="15" t="inlineStr">
        <is>
          <t>Bearer</t>
        </is>
      </c>
      <c r="D21" s="40" t="inlineStr">
        <is>
          <t>—</t>
        </is>
      </c>
      <c r="E21" s="40" t="inlineStr">
        <is>
          <t>(empty)</t>
        </is>
      </c>
      <c r="F21" s="15" t="inlineStr">
        <is>
          <t>204</t>
        </is>
      </c>
      <c r="G21" s="15" t="inlineStr"/>
    </row>
    <row r="22" ht="16.6" customHeight="1">
      <c r="A22" s="15" t="inlineStr">
        <is>
          <t>GET</t>
        </is>
      </c>
      <c r="B22" s="40" t="inlineStr">
        <is>
          <t>/health/live</t>
        </is>
      </c>
      <c r="C22" s="15" t="inlineStr">
        <is>
          <t>No</t>
        </is>
      </c>
      <c r="D22" s="40" t="inlineStr">
        <is>
          <t>—</t>
        </is>
      </c>
      <c r="E22" s="40" t="inlineStr">
        <is>
          <t>{status: ok}</t>
        </is>
      </c>
      <c r="F22" s="15" t="inlineStr">
        <is>
          <t>200</t>
        </is>
      </c>
      <c r="G22" s="15" t="inlineStr"/>
    </row>
    <row r="23" ht="16.6" customHeight="1">
      <c r="A23" s="15" t="inlineStr">
        <is>
          <t>GET</t>
        </is>
      </c>
      <c r="B23" s="40" t="inlineStr">
        <is>
          <t>/health/ready</t>
        </is>
      </c>
      <c r="C23" s="15" t="inlineStr">
        <is>
          <t>No</t>
        </is>
      </c>
      <c r="D23" s="40" t="inlineStr">
        <is>
          <t>—</t>
        </is>
      </c>
      <c r="E23" s="40" t="inlineStr">
        <is>
          <t>{status: ready, environment}</t>
        </is>
      </c>
      <c r="F23" s="15" t="inlineStr">
        <is>
          <t>200</t>
        </is>
      </c>
      <c r="G23" s="15" t="inlineStr">
        <is>
          <t>500 if DB unreachable</t>
        </is>
      </c>
    </row>
    <row r="25">
      <c r="A25" s="12" t="inlineStr">
        <is>
          <t>Error shape for every failure: {"error": {"code": "STABLE_CODE", "message": "Human text"}}. Interactive docs: http://localhost:8010/docs (and /docs on your Render URL).</t>
        </is>
      </c>
    </row>
  </sheetData>
  <pageMargins left="0.75" right="0.75" top="1" bottom="1" header="0.5" footer="0.5"/>
</worksheet>
</file>

<file path=xl/worksheets/sheet9.xml><?xml version="1.0" encoding="utf-8"?>
<worksheet xmlns="http://schemas.openxmlformats.org/spreadsheetml/2006/main">
  <sheetPr>
    <tabColor rgb="00808080"/>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44" customWidth="1" min="3" max="3"/>
    <col width="40" customWidth="1" min="4" max="4"/>
    <col width="10" customWidth="1" min="5" max="5"/>
    <col width="50" customWidth="1" min="6" max="6"/>
  </cols>
  <sheetData>
    <row r="1" ht="30" customHeight="1">
      <c r="A1" s="13" t="inlineStr">
        <is>
          <t>Variable</t>
        </is>
      </c>
      <c r="B1" s="13" t="inlineStr">
        <is>
          <t>Used by</t>
        </is>
      </c>
      <c r="C1" s="13" t="inlineStr">
        <is>
          <t>Local value</t>
        </is>
      </c>
      <c r="D1" s="13" t="inlineStr">
        <is>
          <t>Production value / where set</t>
        </is>
      </c>
      <c r="E1" s="13" t="inlineStr">
        <is>
          <t>Kind</t>
        </is>
      </c>
      <c r="F1" s="13" t="inlineStr">
        <is>
          <t>Notes</t>
        </is>
      </c>
    </row>
    <row r="2" ht="29.2" customHeight="1">
      <c r="A2" s="40" t="inlineStr">
        <is>
          <t>DATABASE_URL</t>
        </is>
      </c>
      <c r="B2" s="15" t="inlineStr">
        <is>
          <t>API, worker</t>
        </is>
      </c>
      <c r="C2" s="40" t="inlineStr">
        <is>
          <t>postgresql+psycopg://chesslab:chesslab@localhost:5433/chesslab</t>
        </is>
      </c>
      <c r="D2" s="15" t="inlineStr">
        <is>
          <t>Render: from database (internal URL)</t>
        </is>
      </c>
      <c r="E2" s="63" t="inlineStr">
        <is>
          <t>Secret</t>
        </is>
      </c>
      <c r="F2" s="15" t="inlineStr">
        <is>
          <t>Contains the DB password. Never log it.</t>
        </is>
      </c>
    </row>
    <row r="3" ht="16.6" customHeight="1">
      <c r="A3" s="40" t="inlineStr">
        <is>
          <t>ALLOWED_ORIGINS</t>
        </is>
      </c>
      <c r="B3" s="15" t="inlineStr">
        <is>
          <t>API</t>
        </is>
      </c>
      <c r="C3" s="40" t="inlineStr">
        <is>
          <t>http://localhost:5180</t>
        </is>
      </c>
      <c r="D3" s="15" t="inlineStr">
        <is>
          <t>https://&lt;project&gt;.vercel.app</t>
        </is>
      </c>
      <c r="E3" s="15" t="inlineStr">
        <is>
          <t>Config</t>
        </is>
      </c>
      <c r="F3" s="15" t="inlineStr">
        <is>
          <t>Comma-separated exact origins, no trailing slash.</t>
        </is>
      </c>
    </row>
    <row r="4" ht="16.6" customHeight="1">
      <c r="A4" s="40" t="inlineStr">
        <is>
          <t>ENVIRONMENT</t>
        </is>
      </c>
      <c r="B4" s="15" t="inlineStr">
        <is>
          <t>API, worker</t>
        </is>
      </c>
      <c r="C4" s="40" t="inlineStr">
        <is>
          <t>development</t>
        </is>
      </c>
      <c r="D4" s="15" t="inlineStr">
        <is>
          <t>production</t>
        </is>
      </c>
      <c r="E4" s="15" t="inlineStr">
        <is>
          <t>Config</t>
        </is>
      </c>
      <c r="F4" s="15" t="inlineStr">
        <is>
          <t>Shown by /health/ready.</t>
        </is>
      </c>
    </row>
    <row r="5" ht="16.6" customHeight="1">
      <c r="A5" s="40" t="inlineStr">
        <is>
          <t>SESSION_TTL_DAYS</t>
        </is>
      </c>
      <c r="B5" s="15" t="inlineStr">
        <is>
          <t>API</t>
        </is>
      </c>
      <c r="C5" s="40" t="inlineStr">
        <is>
          <t>30</t>
        </is>
      </c>
      <c r="D5" s="15" t="inlineStr">
        <is>
          <t>30</t>
        </is>
      </c>
      <c r="E5" s="15" t="inlineStr">
        <is>
          <t>Config</t>
        </is>
      </c>
      <c r="F5" s="15" t="inlineStr">
        <is>
          <t>Sliding guest expiry.</t>
        </is>
      </c>
    </row>
    <row r="6" ht="16.6" customHeight="1">
      <c r="A6" s="40" t="inlineStr">
        <is>
          <t>STOCKFISH_PATH</t>
        </is>
      </c>
      <c r="B6" s="15" t="inlineStr">
        <is>
          <t>Worker</t>
        </is>
      </c>
      <c r="C6" s="40" t="inlineStr">
        <is>
          <t>stockfish</t>
        </is>
      </c>
      <c r="D6" s="15" t="inlineStr">
        <is>
          <t>/usr/games/stockfish (set in Dockerfile)</t>
        </is>
      </c>
      <c r="E6" s="15" t="inlineStr">
        <is>
          <t>Config</t>
        </is>
      </c>
      <c r="F6" s="15" t="inlineStr">
        <is>
          <t>Never user-controlled.</t>
        </is>
      </c>
    </row>
    <row r="7" ht="16.6" customHeight="1">
      <c r="A7" s="40" t="inlineStr">
        <is>
          <t>ENGINE_THREADS</t>
        </is>
      </c>
      <c r="B7" s="15" t="inlineStr">
        <is>
          <t>Worker</t>
        </is>
      </c>
      <c r="C7" s="40" t="inlineStr">
        <is>
          <t>1</t>
        </is>
      </c>
      <c r="D7" s="15" t="inlineStr">
        <is>
          <t>1</t>
        </is>
      </c>
      <c r="E7" s="15" t="inlineStr">
        <is>
          <t>Config</t>
        </is>
      </c>
      <c r="F7" s="15" t="inlineStr">
        <is>
          <t>Keep 1 on small instances.</t>
        </is>
      </c>
    </row>
    <row r="8" ht="16.6" customHeight="1">
      <c r="A8" s="40" t="inlineStr">
        <is>
          <t>ENGINE_HASH_MB</t>
        </is>
      </c>
      <c r="B8" s="15" t="inlineStr">
        <is>
          <t>Worker</t>
        </is>
      </c>
      <c r="C8" s="40" t="inlineStr">
        <is>
          <t>32</t>
        </is>
      </c>
      <c r="D8" s="15" t="inlineStr">
        <is>
          <t>32</t>
        </is>
      </c>
      <c r="E8" s="15" t="inlineStr">
        <is>
          <t>Config</t>
        </is>
      </c>
      <c r="F8" s="15" t="inlineStr">
        <is>
          <t>Memory per engine.</t>
        </is>
      </c>
    </row>
    <row r="9" ht="29.2" customHeight="1">
      <c r="A9" s="40" t="inlineStr">
        <is>
          <t>ANALYSIS_DEPTH</t>
        </is>
      </c>
      <c r="B9" s="15" t="inlineStr">
        <is>
          <t>Worker</t>
        </is>
      </c>
      <c r="C9" s="40" t="inlineStr">
        <is>
          <t>14</t>
        </is>
      </c>
      <c r="D9" s="15" t="inlineStr">
        <is>
          <t>14</t>
        </is>
      </c>
      <c r="E9" s="15" t="inlineStr">
        <is>
          <t>Config</t>
        </is>
      </c>
      <c r="F9" s="15" t="inlineStr">
        <is>
          <t>Part of the evidence record; changing it changes results.</t>
        </is>
      </c>
    </row>
    <row r="10" ht="16.6" customHeight="1">
      <c r="A10" s="40" t="inlineStr">
        <is>
          <t>ANALYSIS_TIME_S</t>
        </is>
      </c>
      <c r="B10" s="15" t="inlineStr">
        <is>
          <t>Worker</t>
        </is>
      </c>
      <c r="C10" s="40" t="inlineStr">
        <is>
          <t>0.5</t>
        </is>
      </c>
      <c r="D10" s="15" t="inlineStr">
        <is>
          <t>0.5</t>
        </is>
      </c>
      <c r="E10" s="15" t="inlineStr">
        <is>
          <t>Config</t>
        </is>
      </c>
      <c r="F10" s="15" t="inlineStr">
        <is>
          <t>Per evaluated move.</t>
        </is>
      </c>
    </row>
    <row r="11" ht="16.6" customHeight="1">
      <c r="A11" s="40" t="inlineStr">
        <is>
          <t>MAX_CANDIDATES_PER_POSITION</t>
        </is>
      </c>
      <c r="B11" s="15" t="inlineStr">
        <is>
          <t>Worker</t>
        </is>
      </c>
      <c r="C11" s="40" t="inlineStr">
        <is>
          <t>3</t>
        </is>
      </c>
      <c r="D11" s="15" t="inlineStr">
        <is>
          <t>3</t>
        </is>
      </c>
      <c r="E11" s="15" t="inlineStr">
        <is>
          <t>Config</t>
        </is>
      </c>
      <c r="F11" s="15" t="inlineStr">
        <is>
          <t>Budget.</t>
        </is>
      </c>
    </row>
    <row r="12" ht="16.6" customHeight="1">
      <c r="A12" s="40" t="inlineStr">
        <is>
          <t>MAX_IMPORT_GAMES</t>
        </is>
      </c>
      <c r="B12" s="15" t="inlineStr">
        <is>
          <t>API</t>
        </is>
      </c>
      <c r="C12" s="40" t="inlineStr">
        <is>
          <t>200</t>
        </is>
      </c>
      <c r="D12" s="15" t="inlineStr">
        <is>
          <t>200</t>
        </is>
      </c>
      <c r="E12" s="15" t="inlineStr">
        <is>
          <t>Config</t>
        </is>
      </c>
      <c r="F12" s="15" t="inlineStr">
        <is>
          <t>Upper bound per import.</t>
        </is>
      </c>
    </row>
    <row r="13" ht="16.6" customHeight="1">
      <c r="A13" s="40" t="inlineStr">
        <is>
          <t>MAX_PGN_BYTES</t>
        </is>
      </c>
      <c r="B13" s="15" t="inlineStr">
        <is>
          <t>API</t>
        </is>
      </c>
      <c r="C13" s="40" t="inlineStr">
        <is>
          <t>2000000</t>
        </is>
      </c>
      <c r="D13" s="15" t="inlineStr">
        <is>
          <t>2000000</t>
        </is>
      </c>
      <c r="E13" s="15" t="inlineStr">
        <is>
          <t>Config</t>
        </is>
      </c>
      <c r="F13" s="15" t="inlineStr">
        <is>
          <t>Upload limit.</t>
        </is>
      </c>
    </row>
    <row r="14" ht="29.2" customHeight="1">
      <c r="A14" s="40" t="inlineStr">
        <is>
          <t>PROVIDER_USER_AGENT</t>
        </is>
      </c>
      <c r="B14" s="15" t="inlineStr">
        <is>
          <t>Worker</t>
        </is>
      </c>
      <c r="C14" s="40" t="inlineStr">
        <is>
          <t>ChessLab portfolio project (contact: you@example.com)</t>
        </is>
      </c>
      <c r="D14" s="15" t="inlineStr">
        <is>
          <t>same with your email</t>
        </is>
      </c>
      <c r="E14" s="15" t="inlineStr">
        <is>
          <t>Config</t>
        </is>
      </c>
      <c r="F14" s="15" t="inlineStr">
        <is>
          <t>Lichess/Chess.com etiquette.</t>
        </is>
      </c>
    </row>
    <row r="15" ht="16.6" customHeight="1">
      <c r="A15" s="40" t="inlineStr">
        <is>
          <t>JOB_LEASE_SECONDS</t>
        </is>
      </c>
      <c r="B15" s="15" t="inlineStr">
        <is>
          <t>Worker</t>
        </is>
      </c>
      <c r="C15" s="40" t="inlineStr">
        <is>
          <t>60</t>
        </is>
      </c>
      <c r="D15" s="15" t="inlineStr">
        <is>
          <t>60</t>
        </is>
      </c>
      <c r="E15" s="15" t="inlineStr">
        <is>
          <t>Config</t>
        </is>
      </c>
      <c r="F15" s="15" t="inlineStr">
        <is>
          <t>Lease length; heartbeats extend it.</t>
        </is>
      </c>
    </row>
    <row r="16" ht="16.6" customHeight="1">
      <c r="A16" s="40" t="inlineStr">
        <is>
          <t>WORKER_POLL_SECONDS</t>
        </is>
      </c>
      <c r="B16" s="15" t="inlineStr">
        <is>
          <t>Worker</t>
        </is>
      </c>
      <c r="C16" s="40" t="inlineStr">
        <is>
          <t>1.0</t>
        </is>
      </c>
      <c r="D16" s="15" t="inlineStr">
        <is>
          <t>1.0</t>
        </is>
      </c>
      <c r="E16" s="15" t="inlineStr">
        <is>
          <t>Config</t>
        </is>
      </c>
      <c r="F16" s="15" t="inlineStr">
        <is>
          <t>Sleep when queue is empty.</t>
        </is>
      </c>
    </row>
    <row r="17" ht="16.6" customHeight="1">
      <c r="A17" s="40" t="inlineStr">
        <is>
          <t>LOG_LEVEL</t>
        </is>
      </c>
      <c r="B17" s="15" t="inlineStr">
        <is>
          <t>API, worker</t>
        </is>
      </c>
      <c r="C17" s="40" t="inlineStr">
        <is>
          <t>INFO</t>
        </is>
      </c>
      <c r="D17" s="15" t="inlineStr">
        <is>
          <t>INFO</t>
        </is>
      </c>
      <c r="E17" s="15" t="inlineStr">
        <is>
          <t>Config</t>
        </is>
      </c>
      <c r="F17" s="15" t="inlineStr"/>
    </row>
    <row r="18" ht="16.6" customHeight="1">
      <c r="A18" s="40" t="inlineStr">
        <is>
          <t>LLM_REWORDING_ENABLED</t>
        </is>
      </c>
      <c r="B18" s="15" t="inlineStr">
        <is>
          <t>Worker (S3)</t>
        </is>
      </c>
      <c r="C18" s="40" t="inlineStr">
        <is>
          <t>false</t>
        </is>
      </c>
      <c r="D18" s="15" t="inlineStr">
        <is>
          <t>false until evaluated</t>
        </is>
      </c>
      <c r="E18" s="15" t="inlineStr">
        <is>
          <t>Config</t>
        </is>
      </c>
      <c r="F18" s="15" t="inlineStr">
        <is>
          <t>Feature flag.</t>
        </is>
      </c>
    </row>
    <row r="19" ht="16.6" customHeight="1">
      <c r="A19" s="40" t="inlineStr">
        <is>
          <t>ANTHROPIC_MODEL</t>
        </is>
      </c>
      <c r="B19" s="15" t="inlineStr">
        <is>
          <t>Worker (S3)</t>
        </is>
      </c>
      <c r="C19" s="40" t="inlineStr">
        <is>
          <t>claude-opus-5-5</t>
        </is>
      </c>
      <c r="D19" s="15" t="inlineStr">
        <is>
          <t>your measured choice</t>
        </is>
      </c>
      <c r="E19" s="15" t="inlineStr">
        <is>
          <t>Config</t>
        </is>
      </c>
      <c r="F19" s="15" t="inlineStr">
        <is>
          <t>Model id for rewording.</t>
        </is>
      </c>
    </row>
    <row r="20" ht="16.6" customHeight="1">
      <c r="A20" s="40" t="inlineStr">
        <is>
          <t>ANTHROPIC_API_KEY</t>
        </is>
      </c>
      <c r="B20" s="15" t="inlineStr">
        <is>
          <t>Worker (S3)</t>
        </is>
      </c>
      <c r="C20" s="40" t="inlineStr">
        <is>
          <t>(local .env only)</t>
        </is>
      </c>
      <c r="D20" s="15" t="inlineStr">
        <is>
          <t>Render secret</t>
        </is>
      </c>
      <c r="E20" s="63" t="inlineStr">
        <is>
          <t>Secret</t>
        </is>
      </c>
      <c r="F20" s="15" t="inlineStr">
        <is>
          <t>Never in the frontend or Git.</t>
        </is>
      </c>
    </row>
    <row r="21" ht="16.6" customHeight="1">
      <c r="A21" s="40" t="inlineStr">
        <is>
          <t>PORT</t>
        </is>
      </c>
      <c r="B21" s="15" t="inlineStr">
        <is>
          <t>API</t>
        </is>
      </c>
      <c r="C21" s="40" t="inlineStr">
        <is>
          <t>(set by uvicorn command)</t>
        </is>
      </c>
      <c r="D21" s="15" t="inlineStr">
        <is>
          <t>Set by Render automatically</t>
        </is>
      </c>
      <c r="E21" s="15" t="inlineStr">
        <is>
          <t>Platform</t>
        </is>
      </c>
      <c r="F21" s="15" t="inlineStr">
        <is>
          <t>API must bind 0.0.0.0:$PORT.</t>
        </is>
      </c>
    </row>
    <row r="22" ht="16.6" customHeight="1">
      <c r="A22" s="40" t="inlineStr">
        <is>
          <t>VITE_API_BASE_URL</t>
        </is>
      </c>
      <c r="B22" s="15" t="inlineStr">
        <is>
          <t>Frontend build</t>
        </is>
      </c>
      <c r="C22" s="40" t="inlineStr">
        <is>
          <t>http://localhost:8010</t>
        </is>
      </c>
      <c r="D22" s="15" t="inlineStr">
        <is>
          <t>https://&lt;api&gt;.onrender.com</t>
        </is>
      </c>
      <c r="E22" s="19" t="inlineStr">
        <is>
          <t>PUBLIC</t>
        </is>
      </c>
      <c r="F22" s="15" t="inlineStr">
        <is>
          <t>Baked into the JS bundle at build time.</t>
        </is>
      </c>
    </row>
    <row r="24" ht="30" customHeight="1">
      <c r="A24" s="13" t="inlineStr">
        <is>
          <t>Local port</t>
        </is>
      </c>
      <c r="B24" s="13" t="inlineStr">
        <is>
          <t>Value</t>
        </is>
      </c>
      <c r="C24" s="13" t="inlineStr">
        <is>
          <t>Why</t>
        </is>
      </c>
      <c r="D24" s="13" t="inlineStr"/>
      <c r="E24" s="13" t="inlineStr"/>
      <c r="F24" s="13" t="inlineStr"/>
    </row>
    <row r="25" ht="28" customHeight="1">
      <c r="A25" s="15" t="inlineStr">
        <is>
          <t>Postgres (Docker, host side)</t>
        </is>
      </c>
      <c r="B25" s="15" t="inlineStr">
        <is>
          <t>5433</t>
        </is>
      </c>
      <c r="C25" s="15" t="inlineStr">
        <is>
          <t>5432 is used by another project's Postgres on this machine (tomi-ren-postgres-1).</t>
        </is>
      </c>
      <c r="D25" s="64" t="n"/>
      <c r="E25" s="64" t="n"/>
      <c r="F25" s="65" t="n"/>
    </row>
    <row r="26" ht="28" customHeight="1">
      <c r="A26" s="15" t="inlineStr">
        <is>
          <t>API (Docker, host side)</t>
        </is>
      </c>
      <c r="B26" s="15" t="inlineStr">
        <is>
          <t>8010</t>
        </is>
      </c>
      <c r="C26" s="15" t="inlineStr">
        <is>
          <t>8000 is used by fastapi-iam on this machine.</t>
        </is>
      </c>
      <c r="D26" s="64" t="n"/>
      <c r="E26" s="64" t="n"/>
      <c r="F26" s="65" t="n"/>
    </row>
    <row r="27" ht="28" customHeight="1">
      <c r="A27" s="15" t="inlineStr">
        <is>
          <t>Web dev server (Vite)</t>
        </is>
      </c>
      <c r="B27" s="15" t="inlineStr">
        <is>
          <t>5180</t>
        </is>
      </c>
      <c r="C27" s="15" t="inlineStr">
        <is>
          <t>5173 is used by another Vite app (TomiRen) on this machine.</t>
        </is>
      </c>
      <c r="D27" s="64" t="n"/>
      <c r="E27" s="64" t="n"/>
      <c r="F27" s="65" t="n"/>
    </row>
    <row r="28" ht="28" customHeight="1">
      <c r="A28" s="15" t="inlineStr">
        <is>
          <t>Inside Docker network</t>
        </is>
      </c>
      <c r="B28" s="15" t="inlineStr">
        <is>
          <t>db:5432, api:8000</t>
        </is>
      </c>
      <c r="C28" s="15" t="inlineStr">
        <is>
          <t>Containers talk to each other on internal ports by service name.</t>
        </is>
      </c>
      <c r="D28" s="64" t="n"/>
      <c r="E28" s="64" t="n"/>
      <c r="F28" s="65" t="n"/>
    </row>
  </sheetData>
  <mergeCells count="4">
    <mergeCell ref="C27:F27"/>
    <mergeCell ref="C26:F26"/>
    <mergeCell ref="C28:F28"/>
    <mergeCell ref="C25:F25"/>
  </mergeCells>
  <pageMargins left="0.75" right="0.75" top="1" bottom="1" header="0.5" footer="0.5"/>
</worksheet>
</file>

<file path=xl/worksheets/sheet10.xml><?xml version="1.0" encoding="utf-8"?>
<worksheet xmlns="http://schemas.openxmlformats.org/spreadsheetml/2006/main">
  <sheetPr>
    <tabColor rgb="00808080"/>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 width="12" customWidth="1" min="3" max="3"/>
    <col width="14" customWidth="1" min="4" max="4"/>
    <col width="30" customWidth="1" min="5" max="5"/>
  </cols>
  <sheetData>
    <row r="1" ht="30" customHeight="1">
      <c r="A1" s="13" t="inlineStr">
        <is>
          <t>Area</t>
        </is>
      </c>
      <c r="B1" s="13" t="inlineStr">
        <is>
          <t>Check</t>
        </is>
      </c>
      <c r="C1" s="13" t="inlineStr">
        <is>
          <t>Task</t>
        </is>
      </c>
      <c r="D1" s="13" t="inlineStr">
        <is>
          <t>Status (edit)</t>
        </is>
      </c>
      <c r="E1" s="13" t="inlineStr">
        <is>
          <t>Evidence / notes (edit)</t>
        </is>
      </c>
    </row>
    <row r="2" ht="16.6" customHeight="1">
      <c r="A2" s="19" t="inlineStr">
        <is>
          <t>Security</t>
        </is>
      </c>
      <c r="B2" s="15" t="inlineStr">
        <is>
          <t>A second guest gets 404 for the first guest's game, review, job and cancel endpoints</t>
        </is>
      </c>
      <c r="C2" s="41" t="inlineStr">
        <is>
          <t>P13.01</t>
        </is>
      </c>
      <c r="D2" s="43" t="inlineStr">
        <is>
          <t>Not started</t>
        </is>
      </c>
      <c r="E2" s="52" t="n"/>
    </row>
    <row r="3" ht="16.6" customHeight="1">
      <c r="A3" s="19" t="inlineStr">
        <is>
          <t>Security</t>
        </is>
      </c>
      <c r="B3" s="15" t="inlineStr">
        <is>
          <t>Upload over 2 MB returns 413; &gt;200 games are truncated; &gt;400-ply games rejected</t>
        </is>
      </c>
      <c r="C3" s="41" t="inlineStr">
        <is>
          <t>P13.01</t>
        </is>
      </c>
      <c r="D3" s="43" t="inlineStr">
        <is>
          <t>Not started</t>
        </is>
      </c>
      <c r="E3" s="52" t="n"/>
    </row>
    <row r="4" ht="16.6" customHeight="1">
      <c r="A4" s="19" t="inlineStr">
        <is>
          <t>Security</t>
        </is>
      </c>
      <c r="B4" s="15" t="inlineStr">
        <is>
          <t>Invalid username returns 422; only lichess.org / api.chess.com are ever fetched</t>
        </is>
      </c>
      <c r="C4" s="41" t="inlineStr">
        <is>
          <t>P13.01</t>
        </is>
      </c>
      <c r="D4" s="43" t="inlineStr">
        <is>
          <t>Not started</t>
        </is>
      </c>
      <c r="E4" s="52" t="n"/>
    </row>
    <row r="5" ht="16.6" customHeight="1">
      <c r="A5" s="19" t="inlineStr">
        <is>
          <t>Security</t>
        </is>
      </c>
      <c r="B5" s="15" t="inlineStr">
        <is>
          <t>Second simultaneous import returns 429; 11 session creations/min per IP return 429</t>
        </is>
      </c>
      <c r="C5" s="41" t="inlineStr">
        <is>
          <t>P13.01</t>
        </is>
      </c>
      <c r="D5" s="43" t="inlineStr">
        <is>
          <t>Not started</t>
        </is>
      </c>
      <c r="E5" s="52" t="n"/>
    </row>
    <row r="6" ht="16.6" customHeight="1">
      <c r="A6" s="19" t="inlineStr">
        <is>
          <t>Security</t>
        </is>
      </c>
      <c r="B6" s="15" t="inlineStr">
        <is>
          <t>No traceback or SQL in any error response</t>
        </is>
      </c>
      <c r="C6" s="41" t="inlineStr">
        <is>
          <t>P13.01</t>
        </is>
      </c>
      <c r="D6" s="43" t="inlineStr">
        <is>
          <t>Not started</t>
        </is>
      </c>
      <c r="E6" s="52" t="n"/>
    </row>
    <row r="7" ht="16.6" customHeight="1">
      <c r="A7" s="19" t="inlineStr">
        <is>
          <t>Security</t>
        </is>
      </c>
      <c r="B7" s="15" t="inlineStr">
        <is>
          <t>No tokens, DATABASE_URL or API keys in logs (search Render logs)</t>
        </is>
      </c>
      <c r="C7" s="41" t="inlineStr">
        <is>
          <t>P13.05</t>
        </is>
      </c>
      <c r="D7" s="43" t="inlineStr">
        <is>
          <t>Not started</t>
        </is>
      </c>
      <c r="E7" s="52" t="n"/>
    </row>
    <row r="8" ht="16.6" customHeight="1">
      <c r="A8" s="19" t="inlineStr">
        <is>
          <t>Security</t>
        </is>
      </c>
      <c r="B8" s="15" t="inlineStr">
        <is>
          <t>Containers run as non-root (whoami -&gt; appuser)</t>
        </is>
      </c>
      <c r="C8" s="41" t="inlineStr">
        <is>
          <t>P13.01</t>
        </is>
      </c>
      <c r="D8" s="43" t="inlineStr">
        <is>
          <t>Not started</t>
        </is>
      </c>
      <c r="E8" s="52" t="n"/>
    </row>
    <row r="9" ht="16.6" customHeight="1">
      <c r="A9" s="19" t="inlineStr">
        <is>
          <t>Security</t>
        </is>
      </c>
      <c r="B9" s="15" t="inlineStr">
        <is>
          <t>CSP active; no violations in console; no dangerouslySetInnerHTML</t>
        </is>
      </c>
      <c r="C9" s="41" t="inlineStr">
        <is>
          <t>P13.02</t>
        </is>
      </c>
      <c r="D9" s="43" t="inlineStr">
        <is>
          <t>Not started</t>
        </is>
      </c>
      <c r="E9" s="52" t="n"/>
    </row>
    <row r="10" ht="16.6" customHeight="1">
      <c r="A10" s="19" t="inlineStr">
        <is>
          <t>Security</t>
        </is>
      </c>
      <c r="B10" s="15" t="inlineStr">
        <is>
          <t>ALLOWED_ORIGINS is the exact Vercel origin (no '*')</t>
        </is>
      </c>
      <c r="C10" s="41" t="inlineStr">
        <is>
          <t>P5.09</t>
        </is>
      </c>
      <c r="D10" s="43" t="inlineStr">
        <is>
          <t>Not started</t>
        </is>
      </c>
      <c r="E10" s="52" t="n"/>
    </row>
    <row r="11" ht="16.6" customHeight="1">
      <c r="A11" s="19" t="inlineStr">
        <is>
          <t>Privacy</t>
        </is>
      </c>
      <c r="B11" s="15" t="inlineStr">
        <is>
          <t>'Delete my data' removes everything and invalidates the token</t>
        </is>
      </c>
      <c r="C11" s="41" t="inlineStr">
        <is>
          <t>P13.03</t>
        </is>
      </c>
      <c r="D11" s="43" t="inlineStr">
        <is>
          <t>Not started</t>
        </is>
      </c>
      <c r="E11" s="52" t="n"/>
    </row>
    <row r="12" ht="16.6" customHeight="1">
      <c r="A12" s="19" t="inlineStr">
        <is>
          <t>Privacy</t>
        </is>
      </c>
      <c r="B12" s="15" t="inlineStr">
        <is>
          <t>Expired guests deleted by the hourly cleanup</t>
        </is>
      </c>
      <c r="C12" s="41" t="inlineStr">
        <is>
          <t>P13.03</t>
        </is>
      </c>
      <c r="D12" s="43" t="inlineStr">
        <is>
          <t>Not started</t>
        </is>
      </c>
      <c r="E12" s="52" t="n"/>
    </row>
    <row r="13" ht="16.6" customHeight="1">
      <c r="A13" s="19" t="inlineStr">
        <is>
          <t>Privacy</t>
        </is>
      </c>
      <c r="B13" s="15" t="inlineStr">
        <is>
          <t>Demo clearly labelled as a sample; never mixed with private history</t>
        </is>
      </c>
      <c r="C13" s="41" t="inlineStr">
        <is>
          <t>P9.06</t>
        </is>
      </c>
      <c r="D13" s="43" t="inlineStr">
        <is>
          <t>Not started</t>
        </is>
      </c>
      <c r="E13" s="52" t="n"/>
    </row>
    <row r="14" ht="16.6" customHeight="1">
      <c r="A14" s="19" t="inlineStr">
        <is>
          <t>Deployment verification</t>
        </is>
      </c>
      <c r="B14" s="15" t="inlineStr">
        <is>
          <t>Open the frontend in incognito on another device/network with no local servers running</t>
        </is>
      </c>
      <c r="C14" s="41" t="inlineStr">
        <is>
          <t>P14.09</t>
        </is>
      </c>
      <c r="D14" s="43" t="inlineStr">
        <is>
          <t>Not started</t>
        </is>
      </c>
      <c r="E14" s="52" t="n"/>
    </row>
    <row r="15" ht="16.6" customHeight="1">
      <c r="A15" s="19" t="inlineStr">
        <is>
          <t>Deployment verification</t>
        </is>
      </c>
      <c r="B15" s="15" t="inlineStr">
        <is>
          <t>Choose Black and receive a legal engine opening move</t>
        </is>
      </c>
      <c r="C15" s="41" t="inlineStr">
        <is>
          <t>P14.09</t>
        </is>
      </c>
      <c r="D15" s="43" t="inlineStr">
        <is>
          <t>Not started</t>
        </is>
      </c>
      <c r="E15" s="52" t="n"/>
    </row>
    <row r="16" ht="16.6" customHeight="1">
      <c r="A16" s="19" t="inlineStr">
        <is>
          <t>Deployment verification</t>
        </is>
      </c>
      <c r="B16" s="15" t="inlineStr">
        <is>
          <t>Exercise promotion (all four pieces) and a terminal state</t>
        </is>
      </c>
      <c r="C16" s="41" t="inlineStr">
        <is>
          <t>P14.09</t>
        </is>
      </c>
      <c r="D16" s="43" t="inlineStr">
        <is>
          <t>Not started</t>
        </is>
      </c>
      <c r="E16" s="52" t="n"/>
    </row>
    <row r="17" ht="16.6" customHeight="1">
      <c r="A17" s="19" t="inlineStr">
        <is>
          <t>Deployment verification</t>
        </is>
      </c>
      <c r="B17" s="15" t="inlineStr">
        <is>
          <t>Finish/resign a game, review findings, launch related practice</t>
        </is>
      </c>
      <c r="C17" s="41" t="inlineStr">
        <is>
          <t>P14.09</t>
        </is>
      </c>
      <c r="D17" s="43" t="inlineStr">
        <is>
          <t>Not started</t>
        </is>
      </c>
      <c r="E17" s="52" t="n"/>
    </row>
    <row r="18" ht="16.6" customHeight="1">
      <c r="A18" s="19" t="inlineStr">
        <is>
          <t>Deployment verification</t>
        </is>
      </c>
      <c r="B18" s="15" t="inlineStr">
        <is>
          <t>Submit a practice attempt; progress persists after refresh</t>
        </is>
      </c>
      <c r="C18" s="41" t="inlineStr">
        <is>
          <t>P14.09</t>
        </is>
      </c>
      <c r="D18" s="43" t="inlineStr">
        <is>
          <t>Not started</t>
        </is>
      </c>
      <c r="E18" s="52" t="n"/>
    </row>
    <row r="19" ht="16.6" customHeight="1">
      <c r="A19" s="19" t="inlineStr">
        <is>
          <t>Deployment verification</t>
        </is>
      </c>
      <c r="B19" s="15" t="inlineStr">
        <is>
          <t>Import a real/test Lichess username; partial progress and deduplication on re-import</t>
        </is>
      </c>
      <c r="C19" s="41" t="inlineStr">
        <is>
          <t>P14.09</t>
        </is>
      </c>
      <c r="D19" s="43" t="inlineStr">
        <is>
          <t>Not started</t>
        </is>
      </c>
      <c r="E19" s="52" t="n"/>
    </row>
    <row r="20" ht="16.6" customHeight="1">
      <c r="A20" s="19" t="inlineStr">
        <is>
          <t>Deployment verification</t>
        </is>
      </c>
      <c r="B20" s="15" t="inlineStr">
        <is>
          <t>Upload valid and invalid PGN files; safe per-game errors</t>
        </is>
      </c>
      <c r="C20" s="41" t="inlineStr">
        <is>
          <t>P14.09</t>
        </is>
      </c>
      <c r="D20" s="43" t="inlineStr">
        <is>
          <t>Not started</t>
        </is>
      </c>
      <c r="E20" s="52" t="n"/>
    </row>
    <row r="21" ht="16.6" customHeight="1">
      <c r="A21" s="19" t="inlineStr">
        <is>
          <t>Deployment verification</t>
        </is>
      </c>
      <c r="B21" s="15" t="inlineStr">
        <is>
          <t>Run an import while playing and saving another game; interactive analysis still prompt</t>
        </is>
      </c>
      <c r="C21" s="41" t="inlineStr">
        <is>
          <t>P14.09</t>
        </is>
      </c>
      <c r="D21" s="43" t="inlineStr">
        <is>
          <t>Not started</t>
        </is>
      </c>
      <c r="E21" s="52" t="n"/>
    </row>
    <row r="22" ht="16.6" customHeight="1">
      <c r="A22" s="19" t="inlineStr">
        <is>
          <t>Deployment verification</t>
        </is>
      </c>
      <c r="B22" s="15" t="inlineStr">
        <is>
          <t>Cancel a batch; it stops at the next safe boundary</t>
        </is>
      </c>
      <c r="C22" s="41" t="inlineStr">
        <is>
          <t>P14.09</t>
        </is>
      </c>
      <c r="D22" s="43" t="inlineStr">
        <is>
          <t>Not started</t>
        </is>
      </c>
      <c r="E22" s="52" t="n"/>
    </row>
    <row r="23" ht="16.6" customHeight="1">
      <c r="A23" s="19" t="inlineStr">
        <is>
          <t>Deployment verification</t>
        </is>
      </c>
      <c r="B23" s="15" t="inlineStr">
        <is>
          <t>Open the demo while Lichess is unreachable</t>
        </is>
      </c>
      <c r="C23" s="41" t="inlineStr">
        <is>
          <t>P14.09</t>
        </is>
      </c>
      <c r="D23" s="43" t="inlineStr">
        <is>
          <t>Not started</t>
        </is>
      </c>
      <c r="E23" s="52" t="n"/>
    </row>
    <row r="24" ht="16.6" customHeight="1">
      <c r="A24" s="19" t="inlineStr">
        <is>
          <t>Deployment verification</t>
        </is>
      </c>
      <c r="B24" s="15" t="inlineStr">
        <is>
          <t>Restart API and worker; durable records survive</t>
        </is>
      </c>
      <c r="C24" s="41" t="inlineStr">
        <is>
          <t>P14.09</t>
        </is>
      </c>
      <c r="D24" s="43" t="inlineStr">
        <is>
          <t>Not started</t>
        </is>
      </c>
      <c r="E24" s="52" t="n"/>
    </row>
    <row r="25" ht="16.6" customHeight="1">
      <c r="A25" s="19" t="inlineStr">
        <is>
          <t>Deployment verification</t>
        </is>
      </c>
      <c r="B25" s="15" t="inlineStr">
        <is>
          <t>Reload a deep URL (/review/&lt;id&gt;, /practice) and routing works</t>
        </is>
      </c>
      <c r="C25" s="41" t="inlineStr">
        <is>
          <t>P14.09</t>
        </is>
      </c>
      <c r="D25" s="43" t="inlineStr">
        <is>
          <t>Not started</t>
        </is>
      </c>
      <c r="E25" s="52" t="n"/>
    </row>
    <row r="26" ht="16.6" customHeight="1">
      <c r="A26" s="19" t="inlineStr">
        <is>
          <t>Deployment verification</t>
        </is>
      </c>
      <c r="B26" s="15" t="inlineStr">
        <is>
          <t>Console/network clean: no CORS errors, mixed content, missing assets or leaked credentials</t>
        </is>
      </c>
      <c r="C26" s="41" t="inlineStr">
        <is>
          <t>P14.09</t>
        </is>
      </c>
      <c r="D26" s="43" t="inlineStr">
        <is>
          <t>Not started</t>
        </is>
      </c>
      <c r="E26" s="52" t="n"/>
    </row>
    <row r="27" ht="29.2" customHeight="1">
      <c r="A27" s="19" t="inlineStr">
        <is>
          <t>Engineering</t>
        </is>
      </c>
      <c r="B27" s="15" t="inlineStr">
        <is>
          <t>CI green on the exact deployed revision (lint, migrations check, pytest, docker build, tsc, vitest, build, Playwright)</t>
        </is>
      </c>
      <c r="C27" s="41" t="inlineStr">
        <is>
          <t>P5.05</t>
        </is>
      </c>
      <c r="D27" s="43" t="inlineStr">
        <is>
          <t>Not started</t>
        </is>
      </c>
      <c r="E27" s="52" t="n"/>
    </row>
    <row r="28" ht="16.6" customHeight="1">
      <c r="A28" s="19" t="inlineStr">
        <is>
          <t>Engineering</t>
        </is>
      </c>
      <c r="B28" s="15" t="inlineStr">
        <is>
          <t>Worker crash recovery demonstrated (lease reclaim, no duplicates)</t>
        </is>
      </c>
      <c r="C28" s="41" t="inlineStr">
        <is>
          <t>P6.12</t>
        </is>
      </c>
      <c r="D28" s="43" t="inlineStr">
        <is>
          <t>Not started</t>
        </is>
      </c>
      <c r="E28" s="52" t="n"/>
    </row>
    <row r="29" ht="16.6" customHeight="1">
      <c r="A29" s="19" t="inlineStr">
        <is>
          <t>Engineering</t>
        </is>
      </c>
      <c r="B29" s="15" t="inlineStr">
        <is>
          <t>Backup restore drill done and documented</t>
        </is>
      </c>
      <c r="C29" s="41" t="inlineStr">
        <is>
          <t>P13.04</t>
        </is>
      </c>
      <c r="D29" s="43" t="inlineStr">
        <is>
          <t>Not started</t>
        </is>
      </c>
      <c r="E29" s="52" t="n"/>
    </row>
    <row r="30" ht="16.6" customHeight="1">
      <c r="A30" s="19" t="inlineStr">
        <is>
          <t>Engineering</t>
        </is>
      </c>
      <c r="B30" s="15" t="inlineStr">
        <is>
          <t>Capacity measured on the deployed plan and recorded</t>
        </is>
      </c>
      <c r="C30" s="41" t="inlineStr">
        <is>
          <t>P13.06</t>
        </is>
      </c>
      <c r="D30" s="43" t="inlineStr">
        <is>
          <t>Not started</t>
        </is>
      </c>
      <c r="E30" s="52" t="n"/>
    </row>
    <row r="31" ht="16.6" customHeight="1">
      <c r="A31" s="19" t="inlineStr">
        <is>
          <t>Engineering</t>
        </is>
      </c>
      <c r="B31" s="15" t="inlineStr">
        <is>
          <t>Release record: git revision, pipeline, engine, dataset versions</t>
        </is>
      </c>
      <c r="C31" s="41" t="inlineStr">
        <is>
          <t>P14.09</t>
        </is>
      </c>
      <c r="D31" s="43" t="inlineStr">
        <is>
          <t>Not started</t>
        </is>
      </c>
      <c r="E31" s="52" t="n"/>
    </row>
    <row r="32" ht="16.6" customHeight="1">
      <c r="A32" s="19" t="inlineStr">
        <is>
          <t>AI evidence</t>
        </is>
      </c>
      <c r="B32" s="15" t="inlineStr">
        <is>
          <t>Dataset manifest committed (source, licence, filters, counts, checksum)</t>
        </is>
      </c>
      <c r="C32" s="41" t="inlineStr">
        <is>
          <t>P10.03</t>
        </is>
      </c>
      <c r="D32" s="43" t="inlineStr">
        <is>
          <t>Not started</t>
        </is>
      </c>
      <c r="E32" s="52" t="n"/>
    </row>
    <row r="33" ht="16.6" customHeight="1">
      <c r="A33" s="19" t="inlineStr">
        <is>
          <t>AI evidence</t>
        </is>
      </c>
      <c r="B33" s="15" t="inlineStr">
        <is>
          <t>Evaluation SPEC with frozen thresholds committed before the final run</t>
        </is>
      </c>
      <c r="C33" s="41" t="inlineStr">
        <is>
          <t>P12.02</t>
        </is>
      </c>
      <c r="D33" s="43" t="inlineStr">
        <is>
          <t>Not started</t>
        </is>
      </c>
      <c r="E33" s="52" t="n"/>
    </row>
    <row r="34" ht="16.6" customHeight="1">
      <c r="A34" s="19" t="inlineStr">
        <is>
          <t>AI evidence</t>
        </is>
      </c>
      <c r="B34" s="15" t="inlineStr">
        <is>
          <t>Real-game precision/recall with Wilson intervals and n reported</t>
        </is>
      </c>
      <c r="C34" s="41" t="inlineStr">
        <is>
          <t>P12.05</t>
        </is>
      </c>
      <c r="D34" s="43" t="inlineStr">
        <is>
          <t>Not started</t>
        </is>
      </c>
      <c r="E34" s="52" t="n"/>
    </row>
    <row r="35" ht="16.6" customHeight="1">
      <c r="A35" s="19" t="inlineStr">
        <is>
          <t>AI evidence</t>
        </is>
      </c>
      <c r="B35" s="15" t="inlineStr">
        <is>
          <t>Puzzle theme agreement reported separately as agreement</t>
        </is>
      </c>
      <c r="C35" s="41" t="inlineStr">
        <is>
          <t>P12.05</t>
        </is>
      </c>
      <c r="D35" s="43" t="inlineStr">
        <is>
          <t>Not started</t>
        </is>
      </c>
      <c r="E35" s="52" t="n"/>
    </row>
    <row r="36" ht="16.6" customHeight="1">
      <c r="A36" s="19" t="inlineStr">
        <is>
          <t>AI evidence</t>
        </is>
      </c>
      <c r="B36" s="15" t="inlineStr">
        <is>
          <t>Predictions saved before attempts; calibration checked when data allows</t>
        </is>
      </c>
      <c r="C36" s="41" t="inlineStr">
        <is>
          <t>P11.06</t>
        </is>
      </c>
      <c r="D36" s="43" t="inlineStr">
        <is>
          <t>Not started</t>
        </is>
      </c>
      <c r="E36" s="52" t="n"/>
    </row>
    <row r="37" ht="16.6" customHeight="1">
      <c r="A37" s="19" t="inlineStr">
        <is>
          <t>AI evidence</t>
        </is>
      </c>
      <c r="B37" s="15" t="inlineStr">
        <is>
          <t>No invented numbers anywhere (README, Methodology, resume)</t>
        </is>
      </c>
      <c r="C37" s="41" t="inlineStr">
        <is>
          <t>P14.06</t>
        </is>
      </c>
      <c r="D37" s="43" t="inlineStr">
        <is>
          <t>Not started</t>
        </is>
      </c>
      <c r="E37" s="52" t="n"/>
    </row>
    <row r="38" ht="16.6" customHeight="1">
      <c r="A38" s="19" t="inlineStr">
        <is>
          <t>Portfolio</t>
        </is>
      </c>
      <c r="B38" s="15" t="inlineStr">
        <is>
          <t>README with pitch, live link, demo, screenshots, built-vs-integrated, results, limitations</t>
        </is>
      </c>
      <c r="C38" s="41" t="inlineStr">
        <is>
          <t>P14.06</t>
        </is>
      </c>
      <c r="D38" s="43" t="inlineStr">
        <is>
          <t>Not started</t>
        </is>
      </c>
      <c r="E38" s="52" t="n"/>
    </row>
    <row r="39" ht="16.6" customHeight="1">
      <c r="A39" s="19" t="inlineStr">
        <is>
          <t>Portfolio</t>
        </is>
      </c>
      <c r="B39" s="15" t="inlineStr">
        <is>
          <t>5 ADRs, 1 case study, THIRD_PARTY_NOTICES, LICENSE</t>
        </is>
      </c>
      <c r="C39" s="41" t="inlineStr">
        <is>
          <t>P14.05</t>
        </is>
      </c>
      <c r="D39" s="43" t="inlineStr">
        <is>
          <t>Not started</t>
        </is>
      </c>
      <c r="E39" s="52" t="n"/>
    </row>
    <row r="40" ht="16.6" customHeight="1">
      <c r="A40" s="19" t="inlineStr">
        <is>
          <t>Portfolio</t>
        </is>
      </c>
      <c r="B40" s="15" t="inlineStr">
        <is>
          <t>60-90 s demo video linked</t>
        </is>
      </c>
      <c r="C40" s="41" t="inlineStr">
        <is>
          <t>P14.07</t>
        </is>
      </c>
      <c r="D40" s="43" t="inlineStr">
        <is>
          <t>Not started</t>
        </is>
      </c>
      <c r="E40" s="52" t="n"/>
    </row>
    <row r="41" ht="16.6" customHeight="1">
      <c r="A41" s="19" t="inlineStr">
        <is>
          <t>Engineering</t>
        </is>
      </c>
      <c r="B41" s="15" t="inlineStr">
        <is>
          <t>Both of you can push to main from your own laptop, and CI is green on the latest commit</t>
        </is>
      </c>
      <c r="C41" s="41" t="inlineStr">
        <is>
          <t>P5.05</t>
        </is>
      </c>
      <c r="D41" s="43" t="inlineStr">
        <is>
          <t>Not started</t>
        </is>
      </c>
      <c r="E41" s="52" t="n"/>
    </row>
    <row r="43">
      <c r="B43" s="21" t="inlineStr">
        <is>
          <t>Checks done</t>
        </is>
      </c>
      <c r="D43">
        <f>COUNTIF(D2:D41,"Done")&amp;" / "&amp;COUNTIF(B2:B41,"*")</f>
        <v/>
      </c>
    </row>
  </sheetData>
  <autoFilter ref="A1:E41"/>
  <conditionalFormatting sqref="A2:E41">
    <cfRule type="expression" priority="1" dxfId="0">
      <formula>$D2="Done"</formula>
    </cfRule>
    <cfRule type="expression" priority="2" dxfId="1">
      <formula>$D2="In progress"</formula>
    </cfRule>
    <cfRule type="expression" priority="3" dxfId="2">
      <formula>$D2="Blocked"</formula>
    </cfRule>
    <cfRule type="expression" priority="4" dxfId="3">
      <formula>$D2="Skipped"</formula>
    </cfRule>
  </conditionalFormatting>
  <dataValidations count="1">
    <dataValidation sqref="D2:D41" showDropDown="0" showInputMessage="0" showErrorMessage="0" allowBlank="1" error="Choose a status from the list." prompt="Set your progress" type="list">
      <formula1>"Not started,In progress,Done,Skipped,Blocked"</formula1>
    </dataValidation>
  </dataValidations>
  <hyperlinks>
    <hyperlink ref="C2" location="'Tasks'!A154" display="P13.01"/>
    <hyperlink ref="C3" location="'Tasks'!A154" display="P13.01"/>
    <hyperlink ref="C4" location="'Tasks'!A154" display="P13.01"/>
    <hyperlink ref="C5" location="'Tasks'!A154" display="P13.01"/>
    <hyperlink ref="C6" location="'Tasks'!A154" display="P13.01"/>
    <hyperlink ref="C7" location="'Tasks'!A158" display="P13.05"/>
    <hyperlink ref="C8" location="'Tasks'!A154" display="P13.01"/>
    <hyperlink ref="C9" location="'Tasks'!A155" display="P13.02"/>
    <hyperlink ref="C10" location="'Tasks'!A79" display="P5.09"/>
    <hyperlink ref="C11" location="'Tasks'!A156" display="P13.03"/>
    <hyperlink ref="C12" location="'Tasks'!A156" display="P13.03"/>
    <hyperlink ref="C13" location="'Tasks'!A126" display="P9.06"/>
    <hyperlink ref="C14" location="'Tasks'!A170" display="P14.09"/>
    <hyperlink ref="C15" location="'Tasks'!A170" display="P14.09"/>
    <hyperlink ref="C16" location="'Tasks'!A170" display="P14.09"/>
    <hyperlink ref="C17" location="'Tasks'!A170" display="P14.09"/>
    <hyperlink ref="C18" location="'Tasks'!A170" display="P14.09"/>
    <hyperlink ref="C19" location="'Tasks'!A170" display="P14.09"/>
    <hyperlink ref="C20" location="'Tasks'!A170" display="P14.09"/>
    <hyperlink ref="C21" location="'Tasks'!A170" display="P14.09"/>
    <hyperlink ref="C22" location="'Tasks'!A170" display="P14.09"/>
    <hyperlink ref="C23" location="'Tasks'!A170" display="P14.09"/>
    <hyperlink ref="C24" location="'Tasks'!A170" display="P14.09"/>
    <hyperlink ref="C25" location="'Tasks'!A170" display="P14.09"/>
    <hyperlink ref="C26" location="'Tasks'!A170" display="P14.09"/>
    <hyperlink ref="C27" location="'Tasks'!A75" display="P5.05"/>
    <hyperlink ref="C28" location="'Tasks'!A94" display="P6.12"/>
    <hyperlink ref="C29" location="'Tasks'!A157" display="P13.04"/>
    <hyperlink ref="C30" location="'Tasks'!A159" display="P13.06"/>
    <hyperlink ref="C31" location="'Tasks'!A170" display="P14.09"/>
    <hyperlink ref="C32" location="'Tasks'!A131" display="P10.03"/>
    <hyperlink ref="C33" location="'Tasks'!A148" display="P12.02"/>
    <hyperlink ref="C34" location="'Tasks'!A151" display="P12.05"/>
    <hyperlink ref="C35" location="'Tasks'!A151" display="P12.05"/>
    <hyperlink ref="C36" location="'Tasks'!A145" display="P11.06"/>
    <hyperlink ref="C37" location="'Tasks'!A167" display="P14.06"/>
    <hyperlink ref="C38" location="'Tasks'!A167" display="P14.06"/>
    <hyperlink ref="C39" location="'Tasks'!A166" display="P14.05"/>
    <hyperlink ref="C40" location="'Tasks'!A168" display="P14.07"/>
    <hyperlink ref="C41" location="'Tasks'!A75" display="P5.05"/>
  </hyperlinks>
  <pageMargins left="0.75" right="0.75" top="1" bottom="1" header="0.5" footer="0.5"/>
</worksheet>
</file>

<file path=xl/worksheets/sheet11.xml><?xml version="1.0" encoding="utf-8"?>
<worksheet xmlns="http://schemas.openxmlformats.org/spreadsheetml/2006/main">
  <sheetPr>
    <tabColor rgb="00808080"/>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52" customWidth="1" min="3" max="3"/>
    <col width="70" customWidth="1" min="4" max="4"/>
  </cols>
  <sheetData>
    <row r="1" ht="30" customHeight="1">
      <c r="A1" s="13" t="inlineStr">
        <is>
          <t>Area</t>
        </is>
      </c>
      <c r="B1" s="13" t="inlineStr">
        <is>
          <t>Symptom</t>
        </is>
      </c>
      <c r="C1" s="13" t="inlineStr">
        <is>
          <t>Likely cause</t>
        </is>
      </c>
      <c r="D1" s="13" t="inlineStr">
        <is>
          <t>Fix</t>
        </is>
      </c>
    </row>
    <row r="2" ht="29.2" customHeight="1">
      <c r="A2" s="15" t="inlineStr">
        <is>
          <t>Setup</t>
        </is>
      </c>
      <c r="B2" s="19" t="inlineStr">
        <is>
          <t>'uv' (or 'node') is not recognized</t>
        </is>
      </c>
      <c r="C2" s="15" t="inlineStr">
        <is>
          <t>The installer changed PATH but your terminal started before.</t>
        </is>
      </c>
      <c r="D2" s="15" t="inlineStr">
        <is>
          <t>Close and reopen the terminal (and VS Code). Check with 'uv --version'.</t>
        </is>
      </c>
    </row>
    <row r="3" ht="29.2" customHeight="1">
      <c r="A3" s="15" t="inlineStr">
        <is>
          <t>Setup</t>
        </is>
      </c>
      <c r="B3" s="19" t="inlineStr">
        <is>
          <t>docker: 'Cannot connect to the Docker daemon' / engine not running</t>
        </is>
      </c>
      <c r="C3" s="15" t="inlineStr">
        <is>
          <t>Docker Desktop is closed or WSL2 is not ready.</t>
        </is>
      </c>
      <c r="D3" s="15" t="inlineStr">
        <is>
          <t>Start Docker Desktop and wait for 'Engine running'. Run 'wsl --status'; enable WSL2 integration in Docker settings.</t>
        </is>
      </c>
    </row>
    <row r="4" ht="29.2" customHeight="1">
      <c r="A4" s="15" t="inlineStr">
        <is>
          <t>Setup</t>
        </is>
      </c>
      <c r="B4" s="19" t="inlineStr">
        <is>
          <t>'port is already allocated' when starting Compose</t>
        </is>
      </c>
      <c r="C4" s="15" t="inlineStr">
        <is>
          <t>Another program uses the port. On this machine 5432, 5434, 8000, 8080 and 5173 are already used by other projects.</t>
        </is>
      </c>
      <c r="D4" s="15" t="inlineStr">
        <is>
          <t>Use ChessLab's ports (5433, 8010, 5180). Find the owner with 'docker ps --format "{{.Names}} {{.Ports}}"' or 'netstat -ano | findstr :5433'.</t>
        </is>
      </c>
    </row>
    <row r="5" ht="41.8" customHeight="1">
      <c r="A5" s="15" t="inlineStr">
        <is>
          <t>Setup</t>
        </is>
      </c>
      <c r="B5" s="19" t="inlineStr">
        <is>
          <t>Playwright tests interact with a different website</t>
        </is>
      </c>
      <c r="C5" s="15" t="inlineStr">
        <is>
          <t>reuseExistingServer reused another app already running on the same port (happened during verification on port 5173).</t>
        </is>
      </c>
      <c r="D5" s="15" t="inlineStr">
        <is>
          <t>Use the dedicated port 5180 with strictPort, and stop other dev servers.</t>
        </is>
      </c>
    </row>
    <row r="6" ht="29.2" customHeight="1">
      <c r="A6" s="15" t="inlineStr">
        <is>
          <t>Setup</t>
        </is>
      </c>
      <c r="B6" s="19" t="inlineStr">
        <is>
          <t>Git Bash turns /usr/games/stockfish into C:/Program Files/Git/usr/games/stockfish</t>
        </is>
      </c>
      <c r="C6" s="15" t="inlineStr">
        <is>
          <t>MSYS path conversion rewrites Unix-looking arguments passed to Windows programs.</t>
        </is>
      </c>
      <c r="D6" s="15" t="inlineStr">
        <is>
          <t>Run docker commands in PowerShell, or prefix them with MSYS_NO_PATHCONV=1 in Git Bash.</t>
        </is>
      </c>
    </row>
    <row r="7" ht="29.2" customHeight="1">
      <c r="A7" s="15" t="inlineStr">
        <is>
          <t>Python</t>
        </is>
      </c>
      <c r="B7" s="19" t="inlineStr">
        <is>
          <t>ModuleNotFoundError: No module named 'app'</t>
        </is>
      </c>
      <c r="C7" s="15" t="inlineStr">
        <is>
          <t>Command run from the wrong folder or without the project environment.</t>
        </is>
      </c>
      <c r="D7" s="15" t="inlineStr">
        <is>
          <t>cd services/backend and use 'uv run ...'. For pytest make sure pyproject.toml has pythonpath = ['.'].</t>
        </is>
      </c>
    </row>
    <row r="8" ht="29.2" customHeight="1">
      <c r="A8" s="15" t="inlineStr">
        <is>
          <t>Python</t>
        </is>
      </c>
      <c r="B8" s="19" t="inlineStr">
        <is>
          <t>Library fails to install on Python 3.14</t>
        </is>
      </c>
      <c r="C8" s="15" t="inlineStr">
        <is>
          <t>Very new Python versions may lack pre-built wheels.</t>
        </is>
      </c>
      <c r="D8" s="15" t="inlineStr">
        <is>
          <t>Use Python 3.12 for the project: 'uv python install 3.12' and 'uv init --python 3.12' (or 'uv python pin 3.12').</t>
        </is>
      </c>
    </row>
    <row r="9" ht="29.2" customHeight="1">
      <c r="A9" s="15" t="inlineStr">
        <is>
          <t>Python</t>
        </is>
      </c>
      <c r="B9" s="19" t="inlineStr">
        <is>
          <t>pytest errors with connection refused / 5 errors before any test runs</t>
        </is>
      </c>
      <c r="C9" s="15" t="inlineStr">
        <is>
          <t>The test database is not reachable (conftest connects at startup).</t>
        </is>
      </c>
      <c r="D9" s="15" t="inlineStr">
        <is>
          <t>Start Postgres ('docker compose up -d db'); check DATABASE_URL points at localhost:5433/chesslab_test.</t>
        </is>
      </c>
    </row>
    <row r="10" ht="29.2" customHeight="1">
      <c r="A10" s="15" t="inlineStr">
        <is>
          <t>Python</t>
        </is>
      </c>
      <c r="B10" s="19" t="inlineStr">
        <is>
          <t>Warning: Using httpx with starlette.testclient is deprecated; install httpx2</t>
        </is>
      </c>
      <c r="C10" s="15" t="inlineStr">
        <is>
          <t>Newer Starlette versions prefer the httpx2 package for TestClient.</t>
        </is>
      </c>
      <c r="D10" s="15" t="inlineStr">
        <is>
          <t>Harmless for now; optionally 'uv add --dev httpx2'. Don't remove httpx: the importers use it.</t>
        </is>
      </c>
    </row>
    <row r="11" ht="29.2" customHeight="1">
      <c r="A11" s="15" t="inlineStr">
        <is>
          <t>Database</t>
        </is>
      </c>
      <c r="B11" s="19" t="inlineStr">
        <is>
          <t>sqlalchemy.exc.NoSuchModuleError: postgres</t>
        </is>
      </c>
      <c r="C11" s="15" t="inlineStr">
        <is>
          <t>Render gives 'postgres://' URLs; SQLAlchemy needs a dialect and driver.</t>
        </is>
      </c>
      <c r="D11" s="15" t="inlineStr">
        <is>
          <t>Settings.use_psycopg_driver converts it to postgresql+psycopg://. Make sure config.py has the validator.</t>
        </is>
      </c>
    </row>
    <row r="12" ht="29.2" customHeight="1">
      <c r="A12" s="15" t="inlineStr">
        <is>
          <t>Database</t>
        </is>
      </c>
      <c r="B12" s="19" t="inlineStr">
        <is>
          <t>alembic autogenerate produces an empty migration</t>
        </is>
      </c>
      <c r="C12" s="15" t="inlineStr">
        <is>
          <t>env.py doesn't import your models or uses the wrong metadata.</t>
        </is>
      </c>
      <c r="D12" s="15" t="inlineStr">
        <is>
          <t>Add 'import app.models' and target_metadata = Base.metadata (Code: env.py.additions).</t>
        </is>
      </c>
    </row>
    <row r="13" ht="16.6" customHeight="1">
      <c r="A13" s="15" t="inlineStr">
        <is>
          <t>Database</t>
        </is>
      </c>
      <c r="B13" s="19" t="inlineStr">
        <is>
          <t>alembic: 'Target database is not up to date'</t>
        </is>
      </c>
      <c r="C13" s="15" t="inlineStr">
        <is>
          <t>You generated a revision while the DB was behind.</t>
        </is>
      </c>
      <c r="D13" s="15" t="inlineStr">
        <is>
          <t>Run 'uv run alembic upgrade head' first, then autogenerate.</t>
        </is>
      </c>
    </row>
    <row r="14" ht="16.6" customHeight="1">
      <c r="A14" s="15" t="inlineStr">
        <is>
          <t>Database</t>
        </is>
      </c>
      <c r="B14" s="19" t="inlineStr">
        <is>
          <t>ValueError: invalid interpolation syntax in alembic</t>
        </is>
      </c>
      <c r="C14" s="15" t="inlineStr">
        <is>
          <t>A '%' in the database password confuses configparser.</t>
        </is>
      </c>
      <c r="D14" s="15" t="inlineStr">
        <is>
          <t>env.py doubles it: database_url.replace('%', '%%').</t>
        </is>
      </c>
    </row>
    <row r="15" ht="29.2" customHeight="1">
      <c r="A15" s="15" t="inlineStr">
        <is>
          <t>Database</t>
        </is>
      </c>
      <c r="B15" s="19" t="inlineStr">
        <is>
          <t>psycopg.errors.UniqueViolation ... concept_ratings_pkey (HTTP 500)</t>
        </is>
      </c>
      <c r="C15" s="15" t="inlineStr">
        <is>
          <t>Check-then-insert race: two simultaneous requests created the same row (React StrictMode double effect).</t>
        </is>
      </c>
      <c r="D15" s="15" t="inlineStr">
        <is>
          <t>Use INSERT ... ON CONFLICT DO NOTHING then SELECT (selector.concept_rating). See lesson L30.</t>
        </is>
      </c>
    </row>
    <row r="16" ht="29.2" customHeight="1">
      <c r="A16" s="15" t="inlineStr">
        <is>
          <t>Database</t>
        </is>
      </c>
      <c r="B16" s="19" t="inlineStr">
        <is>
          <t>Seed prints 'inserted -1 new puzzles'</t>
        </is>
      </c>
      <c r="C16" s="15" t="inlineStr">
        <is>
          <t>psycopg reports rowcount -1 for multi-row INSERT ... VALUES.</t>
        </is>
      </c>
      <c r="D16" s="15" t="inlineStr">
        <is>
          <t>Use .returning(Puzzle.id) and count the returned rows (as in the Code sheet's seed.py).</t>
        </is>
      </c>
    </row>
    <row r="17" ht="16.6" customHeight="1">
      <c r="A17" s="15" t="inlineStr">
        <is>
          <t>Database</t>
        </is>
      </c>
      <c r="B17" s="19" t="inlineStr">
        <is>
          <t>Connection errors after Render database restarts</t>
        </is>
      </c>
      <c r="C17" s="15" t="inlineStr">
        <is>
          <t>Pooled connections were closed by the server.</t>
        </is>
      </c>
      <c r="D17" s="15" t="inlineStr">
        <is>
          <t>pool_pre_ping=True (already in db.py) replaces dead connections.</t>
        </is>
      </c>
    </row>
    <row r="18" ht="29.2" customHeight="1">
      <c r="A18" s="15" t="inlineStr">
        <is>
          <t>API</t>
        </is>
      </c>
      <c r="B18" s="19" t="inlineStr">
        <is>
          <t>Browser console: 'blocked by CORS policy'</t>
        </is>
      </c>
      <c r="C18" s="15" t="inlineStr">
        <is>
          <t>Origin not in ALLOWED_ORIGINS, trailing slash mismatch, or the server actually crashed (500 without CORS headers).</t>
        </is>
      </c>
      <c r="D18" s="15" t="inlineStr">
        <is>
          <t>Check API logs first. Set ALLOWED_ORIGINS to the exact origin (no trailing slash) and redeploy.</t>
        </is>
      </c>
    </row>
    <row r="19" ht="29.2" customHeight="1">
      <c r="A19" s="15" t="inlineStr">
        <is>
          <t>API</t>
        </is>
      </c>
      <c r="B19" s="19" t="inlineStr">
        <is>
          <t>Every request returns 401 AUTH_INVALID after a while</t>
        </is>
      </c>
      <c r="C19" s="15" t="inlineStr">
        <is>
          <t>Guest expired (30 days) or the database was reset.</t>
        </is>
      </c>
      <c r="D19" s="15" t="inlineStr">
        <is>
          <t>client.ts clears the token and creates a new guest once automatically. After a DB reset this is expected.</t>
        </is>
      </c>
    </row>
    <row r="20" ht="29.2" customHeight="1">
      <c r="A20" s="15" t="inlineStr">
        <is>
          <t>API</t>
        </is>
      </c>
      <c r="B20" s="19" t="inlineStr">
        <is>
          <t>422 VALIDATION_FAILED body.username: String should match pattern</t>
        </is>
      </c>
      <c r="C20" s="15" t="inlineStr">
        <is>
          <t>Username has characters outside A-Z a-z 0-9 _ -.</t>
        </is>
      </c>
      <c r="D20" s="15" t="inlineStr">
        <is>
          <t>Expected behaviour; fix the input.</t>
        </is>
      </c>
    </row>
    <row r="21" ht="16.6" customHeight="1">
      <c r="A21" s="15" t="inlineStr">
        <is>
          <t>API</t>
        </is>
      </c>
      <c r="B21" s="19" t="inlineStr">
        <is>
          <t>Upload returns 413 UPLOAD_TOO_LARGE</t>
        </is>
      </c>
      <c r="C21" s="15" t="inlineStr">
        <is>
          <t>File exceeds MAX_PGN_BYTES (2 MB).</t>
        </is>
      </c>
      <c r="D21" s="15" t="inlineStr">
        <is>
          <t>Split the file or raise the limit deliberately.</t>
        </is>
      </c>
    </row>
    <row r="22" ht="29.2" customHeight="1">
      <c r="A22" s="15" t="inlineStr">
        <is>
          <t>API</t>
        </is>
      </c>
      <c r="B22" s="19" t="inlineStr">
        <is>
          <t>FastAPI route with python-multipart error: 'Form data requires python-multipart'</t>
        </is>
      </c>
      <c r="C22" s="15" t="inlineStr">
        <is>
          <t>Dependency missing.</t>
        </is>
      </c>
      <c r="D22" s="15" t="inlineStr">
        <is>
          <t>uv add python-multipart.</t>
        </is>
      </c>
    </row>
    <row r="23" ht="29.2" customHeight="1">
      <c r="A23" s="15" t="inlineStr">
        <is>
          <t>Engine</t>
        </is>
      </c>
      <c r="B23" s="19" t="inlineStr">
        <is>
          <t>Stockfish WASM never answers / 'Engine did not answer uciok'</t>
        </is>
      </c>
      <c r="C23" s="15" t="inlineStr">
        <is>
          <t>Wrong STOCKFISH_URL, or the .wasm file is missing/renamed, or a CSP blocks wasm.</t>
        </is>
      </c>
      <c r="D23" s="15" t="inlineStr">
        <is>
          <t>Open the .js URL in the browser; keep the .js and .wasm base names identical; allow 'wasm-unsafe-eval' and worker-src 'self' in the CSP.</t>
        </is>
      </c>
    </row>
    <row r="24" ht="29.2" customHeight="1">
      <c r="A24" s="15" t="inlineStr">
        <is>
          <t>Engine</t>
        </is>
      </c>
      <c r="B24" s="19" t="inlineStr">
        <is>
          <t>Multi-threaded Stockfish build fails (SharedArrayBuffer is not defined)</t>
        </is>
      </c>
      <c r="C24" s="15" t="inlineStr">
        <is>
          <t>Threaded WASM needs cross-origin isolation headers.</t>
        </is>
      </c>
      <c r="D24" s="15" t="inlineStr">
        <is>
          <t>Use the lite-single build.</t>
        </is>
      </c>
    </row>
    <row r="25" ht="29.2" customHeight="1">
      <c r="A25" s="15" t="inlineStr">
        <is>
          <t>Engine</t>
        </is>
      </c>
      <c r="B25" s="19" t="inlineStr">
        <is>
          <t>EngineUnavailable: No such file or directory: 'stockfish'</t>
        </is>
      </c>
      <c r="C25" s="15" t="inlineStr">
        <is>
          <t>Running the worker outside Docker without Stockfish installed.</t>
        </is>
      </c>
      <c r="D25" s="15" t="inlineStr">
        <is>
          <t>Run the worker in Docker (Stockfish at /usr/games/stockfish) or install Stockfish and set STOCKFISH_PATH.</t>
        </is>
      </c>
    </row>
    <row r="26" ht="41.8" customHeight="1">
      <c r="A26" s="15" t="inlineStr">
        <is>
          <t>Engine</t>
        </is>
      </c>
      <c r="B26" s="19" t="inlineStr">
        <is>
          <t>A clear fork is not reported</t>
        </is>
      </c>
      <c r="C26" s="15" t="inlineStr">
        <is>
          <t>Verification correctly rejected it (e.g. knight vs nothing is a draw, so no eval gap), or the gap is below 150 cp, or the PV did not capture a target within 10 plies.</t>
        </is>
      </c>
      <c r="D26" s="15" t="inlineStr">
        <is>
          <t>Print cand_eval/actual_eval and the PV; test positions need enough material. Adjust thresholds only with a new pipeline version.</t>
        </is>
      </c>
    </row>
    <row r="27" ht="16.6" customHeight="1">
      <c r="A27" s="15" t="inlineStr">
        <is>
          <t>Engine</t>
        </is>
      </c>
      <c r="B27" s="19" t="inlineStr">
        <is>
          <t>Original engine freezes the page</t>
        </is>
      </c>
      <c r="C27" s="15" t="inlineStr">
        <is>
          <t>It ran on the main thread.</t>
        </is>
      </c>
      <c r="D27" s="15" t="inlineStr">
        <is>
          <t>Use the legacy worker (public/legacy-engine/legacy-worker.js).</t>
        </is>
      </c>
    </row>
    <row r="28" ht="29.2" customHeight="1">
      <c r="A28" s="15" t="inlineStr">
        <is>
          <t>Engine</t>
        </is>
      </c>
      <c r="B28" s="19" t="inlineStr">
        <is>
          <t>Legacy worker error: Chess is not defined</t>
        </is>
      </c>
      <c r="C28" s="15" t="inlineStr">
        <is>
          <t>chess-legacy.js not loaded or wrong file name in importScripts.</t>
        </is>
      </c>
      <c r="D28" s="15" t="inlineStr">
        <is>
          <t>Check both files exist in public/legacy-engine and names match.</t>
        </is>
      </c>
    </row>
    <row r="29" ht="16.6" customHeight="1">
      <c r="A29" s="15" t="inlineStr">
        <is>
          <t>Frontend</t>
        </is>
      </c>
      <c r="B29" s="19" t="inlineStr">
        <is>
          <t>react-chessboard props like 'options' not found</t>
        </is>
      </c>
      <c r="C29" s="15" t="inlineStr">
        <is>
          <t>You installed v5, which has a different API.</t>
        </is>
      </c>
      <c r="D29" s="15" t="inlineStr">
        <is>
          <t>npm install react-chessboard@4 (this plan uses v4 props).</t>
        </is>
      </c>
    </row>
    <row r="30" ht="29.2" customHeight="1">
      <c r="A30" s="15" t="inlineStr">
        <is>
          <t>Frontend</t>
        </is>
      </c>
      <c r="B30" s="19" t="inlineStr">
        <is>
          <t>TS1294: This syntax is not allowed when 'erasableSyntaxOnly' is enabled</t>
        </is>
      </c>
      <c r="C30" s="15" t="inlineStr">
        <is>
          <t>TypeScript parameter properties (constructor(public x)) in the strict Vite template.</t>
        </is>
      </c>
      <c r="D30" s="15" t="inlineStr">
        <is>
          <t>Declare fields explicitly and assign them in the constructor (see ApiError in client.ts).</t>
        </is>
      </c>
    </row>
    <row r="31" ht="29.2" customHeight="1">
      <c r="A31" s="15" t="inlineStr">
        <is>
          <t>Frontend</t>
        </is>
      </c>
      <c r="B31" s="19" t="inlineStr">
        <is>
          <t>Lint: 'Cannot access refs during render'</t>
        </is>
      </c>
      <c r="C31" s="15" t="inlineStr">
        <is>
          <t>Reading ref.current while rendering.</t>
        </is>
      </c>
      <c r="D31" s="15" t="inlineStr">
        <is>
          <t>Keep render data in state; touch refs only in effects/handlers (see useChessGame).</t>
        </is>
      </c>
    </row>
    <row r="32" ht="16.6" customHeight="1">
      <c r="A32" s="15" t="inlineStr">
        <is>
          <t>Frontend</t>
        </is>
      </c>
      <c r="B32" s="19" t="inlineStr">
        <is>
          <t>Deep link (e.g. /review/123) shows 404 on Vercel</t>
        </is>
      </c>
      <c r="C32" s="15" t="inlineStr">
        <is>
          <t>No SPA rewrite.</t>
        </is>
      </c>
      <c r="D32" s="15" t="inlineStr">
        <is>
          <t>Add vercel.json rewrites to /index.html.</t>
        </is>
      </c>
    </row>
    <row r="33" ht="16.6" customHeight="1">
      <c r="A33" s="15" t="inlineStr">
        <is>
          <t>Frontend</t>
        </is>
      </c>
      <c r="B33" s="19" t="inlineStr">
        <is>
          <t>VITE_API_BASE_URL change has no effect in production</t>
        </is>
      </c>
      <c r="C33" s="15" t="inlineStr">
        <is>
          <t>Vite variables are baked in at build time.</t>
        </is>
      </c>
      <c r="D33" s="15" t="inlineStr">
        <is>
          <t>Redeploy (rebuild) the Vercel project after changing it.</t>
        </is>
      </c>
    </row>
    <row r="34" ht="29.2" customHeight="1">
      <c r="A34" s="15" t="inlineStr">
        <is>
          <t>Frontend</t>
        </is>
      </c>
      <c r="B34" s="19" t="inlineStr">
        <is>
          <t>Practice page creates two sessions in development</t>
        </is>
      </c>
      <c r="C34" s="15" t="inlineStr">
        <is>
          <t>React StrictMode runs effects twice on purpose.</t>
        </is>
      </c>
      <c r="D34" s="15" t="inlineStr">
        <is>
          <t>Harmless in development; the backend must tolerate it (race-safe get-or-create).</t>
        </is>
      </c>
    </row>
    <row r="35" ht="29.2" customHeight="1">
      <c r="A35" s="15" t="inlineStr">
        <is>
          <t>Deploy</t>
        </is>
      </c>
      <c r="B35" s="19" t="inlineStr">
        <is>
          <t>Render deploy fails: 'Port scan timeout' / no open ports</t>
        </is>
      </c>
      <c r="C35" s="15" t="inlineStr">
        <is>
          <t>The API listens on 127.0.0.1 or a fixed port.</t>
        </is>
      </c>
      <c r="D35" s="15" t="inlineStr">
        <is>
          <t>CMD uses --host 0.0.0.0 --port ${PORT:-8000}.</t>
        </is>
      </c>
    </row>
    <row r="36" ht="16.6" customHeight="1">
      <c r="A36" s="15" t="inlineStr">
        <is>
          <t>Deploy</t>
        </is>
      </c>
      <c r="B36" s="19" t="inlineStr">
        <is>
          <t>First request takes ~1 minute</t>
        </is>
      </c>
      <c r="C36" s="15" t="inlineStr">
        <is>
          <t>Free Render web services sleep when idle.</t>
        </is>
      </c>
      <c r="D36" s="15" t="inlineStr">
        <is>
          <t>Use an always-on paid instance for the portfolio demo.</t>
        </is>
      </c>
    </row>
    <row r="37" ht="16.6" customHeight="1">
      <c r="A37" s="15" t="inlineStr">
        <is>
          <t>Deploy</t>
        </is>
      </c>
      <c r="B37" s="19" t="inlineStr">
        <is>
          <t>Migrations didn't run on Render</t>
        </is>
      </c>
      <c r="C37" s="15" t="inlineStr">
        <is>
          <t>No pre-deploy command.</t>
        </is>
      </c>
      <c r="D37" s="15" t="inlineStr">
        <is>
          <t>Set Pre-Deploy Command: alembic upgrade head (render.yaml preDeployCommand).</t>
        </is>
      </c>
    </row>
    <row r="38" ht="29.2" customHeight="1">
      <c r="A38" s="15" t="inlineStr">
        <is>
          <t>Deploy</t>
        </is>
      </c>
      <c r="B38" s="19" t="inlineStr">
        <is>
          <t>Worker runs but jobs stay queued</t>
        </is>
      </c>
      <c r="C38" s="15" t="inlineStr">
        <is>
          <t>Worker has a different DATABASE_URL or crashed on start.</t>
        </is>
      </c>
      <c r="D38" s="15" t="inlineStr">
        <is>
          <t>Check worker logs for 'worker started'; compare env vars with the API; run ops/queue_stats.sql.</t>
        </is>
      </c>
    </row>
    <row r="39" ht="16.6" customHeight="1">
      <c r="A39" s="15" t="inlineStr">
        <is>
          <t>Deploy</t>
        </is>
      </c>
      <c r="B39" s="19" t="inlineStr">
        <is>
          <t>CI frontend job fails at npm ci</t>
        </is>
      </c>
      <c r="C39" s="15" t="inlineStr">
        <is>
          <t>package-lock.json out of sync with package.json.</t>
        </is>
      </c>
      <c r="D39" s="15" t="inlineStr">
        <is>
          <t>Run 'npm install' locally, commit the updated lockfile.</t>
        </is>
      </c>
    </row>
    <row r="40" ht="29.2" customHeight="1">
      <c r="A40" s="15" t="inlineStr">
        <is>
          <t>Import</t>
        </is>
      </c>
      <c r="B40" s="19" t="inlineStr">
        <is>
          <t>Import fails with PROVIDER_RATE_LIMITED</t>
        </is>
      </c>
      <c r="C40" s="15" t="inlineStr">
        <is>
          <t>Lichess returned 429.</t>
        </is>
      </c>
      <c r="D40" s="15" t="inlineStr">
        <is>
          <t>Expected handling: the job waits 90 s and retries. Don't add parallel requests.</t>
        </is>
      </c>
    </row>
    <row r="41" ht="29.2" customHeight="1">
      <c r="A41" s="15" t="inlineStr">
        <is>
          <t>Import</t>
        </is>
      </c>
      <c r="B41" s="19" t="inlineStr">
        <is>
          <t>Import says 'excluded' for many games</t>
        </is>
      </c>
      <c r="C41" s="15" t="inlineStr">
        <is>
          <t>Variants, unfinished games, or your username didn't match either player.</t>
        </is>
      </c>
      <c r="D41" s="15" t="inlineStr">
        <is>
          <t>Check the username spelling and that games are standard chess.</t>
        </is>
      </c>
    </row>
    <row r="42" ht="29.2" customHeight="1">
      <c r="A42" s="15" t="inlineStr">
        <is>
          <t>Data</t>
        </is>
      </c>
      <c r="B42" s="19" t="inlineStr">
        <is>
          <t>prepare_puzzles.py is slow</t>
        </is>
      </c>
      <c r="C42" s="15" t="inlineStr">
        <is>
          <t>It streams millions of rows and validates each.</t>
        </is>
      </c>
      <c r="D42" s="15" t="inlineStr">
        <is>
          <t>Expected (several minutes). Test first with --per-concept 100 to check the output.</t>
        </is>
      </c>
    </row>
    <row r="43" ht="16.6" customHeight="1">
      <c r="A43" s="15" t="inlineStr">
        <is>
          <t>Data</t>
        </is>
      </c>
      <c r="B43" s="19" t="inlineStr">
        <is>
          <t>Puzzle positions look wrong in practice</t>
        </is>
      </c>
      <c r="C43" s="15" t="inlineStr">
        <is>
          <t>You showed the FEN before the setup move.</t>
        </is>
      </c>
      <c r="D43" s="15" t="inlineStr">
        <is>
          <t>Use playable_fen (setup move applied); the solver starts at Moves[1].</t>
        </is>
      </c>
    </row>
    <row r="44" ht="29.2" customHeight="1">
      <c r="A44" s="15" t="inlineStr">
        <is>
          <t>Git</t>
        </is>
      </c>
      <c r="B44" s="19" t="inlineStr">
        <is>
          <t>git push rejected: 'Updates were rejected because the remote contains work that you do not have'</t>
        </is>
      </c>
      <c r="C44" s="15" t="inlineStr">
        <is>
          <t>Your partner pushed first.</t>
        </is>
      </c>
      <c r="D44" s="15" t="inlineStr">
        <is>
          <t>git pull --rebase, fix any conflict, then git push again.</t>
        </is>
      </c>
    </row>
    <row r="45" ht="16.6" customHeight="1">
      <c r="A45" s="15" t="inlineStr">
        <is>
          <t>Git</t>
        </is>
      </c>
      <c r="B45" s="19" t="inlineStr">
        <is>
          <t>git push: 'Permission denied to srikanth-qaig' (403)</t>
        </is>
      </c>
      <c r="C45" s="15" t="inlineStr">
        <is>
          <t>The work account is the active gh account.</t>
        </is>
      </c>
      <c r="D45" s="15" t="inlineStr">
        <is>
          <t>gh auth switch -u msris93197-dev, gh auth setup-git, then push again.</t>
        </is>
      </c>
    </row>
    <row r="46" ht="41.8" customHeight="1">
      <c r="A46" s="15" t="inlineStr">
        <is>
          <t>Git</t>
        </is>
      </c>
      <c r="B46" s="19" t="inlineStr">
        <is>
          <t>Commits on GitHub show the work email</t>
        </is>
      </c>
      <c r="C46" s="15" t="inlineStr">
        <is>
          <t>No identity set inside the repository, so the global work identity was used.</t>
        </is>
      </c>
      <c r="D46" s="15" t="inlineStr">
        <is>
          <t>Inside the repo: git config user.name ... and git config user.email &lt;your noreply address&gt;. For the last unpushed commit: git commit --amend --reset-author --no-edit.</t>
        </is>
      </c>
    </row>
    <row r="47" ht="29.2" customHeight="1">
      <c r="A47" s="15" t="inlineStr">
        <is>
          <t>Git</t>
        </is>
      </c>
      <c r="B47" s="19" t="inlineStr">
        <is>
          <t>CONFLICT (content): Merge conflict in &lt;file&gt;</t>
        </is>
      </c>
      <c r="C47" s="15" t="inlineStr">
        <is>
          <t>You and your partner changed the same lines.</t>
        </is>
      </c>
      <c r="D47" s="15" t="inlineStr">
        <is>
          <t>Open the file, keep the right text, delete the &lt;&lt;&lt;&lt;&lt;&lt;&lt; ======= &gt;&gt;&gt;&gt;&gt;&gt;&gt; markers, git add &lt;file&gt;, git rebase --continue.</t>
        </is>
      </c>
    </row>
    <row r="48" ht="16.6" customHeight="1">
      <c r="A48" s="15" t="inlineStr">
        <is>
          <t>Git</t>
        </is>
      </c>
      <c r="B48" s="19" t="inlineStr">
        <is>
          <t>Cannot pull with rebase: You have unstaged changes</t>
        </is>
      </c>
      <c r="C48" s="15" t="inlineStr">
        <is>
          <t>Uncommitted work in progress.</t>
        </is>
      </c>
      <c r="D48" s="15" t="inlineStr">
        <is>
          <t>Commit it first (or git stash, git pull --rebase, git stash pop).</t>
        </is>
      </c>
    </row>
    <row r="49" ht="29.2" customHeight="1">
      <c r="A49" s="15" t="inlineStr">
        <is>
          <t>Git</t>
        </is>
      </c>
      <c r="B49" s="19" t="inlineStr">
        <is>
          <t>~$ChessLab_Complete_Plan.xlsx shows up next to the workbook</t>
        </is>
      </c>
      <c r="C49" s="15" t="inlineStr">
        <is>
          <t>Excel creates a lock file while the workbook is open.</t>
        </is>
      </c>
      <c r="D49" s="15" t="inlineStr">
        <is>
          <t>.gitignore ignores ~$*. Delete the file when Excel is closed.</t>
        </is>
      </c>
    </row>
    <row r="50" ht="29.2" customHeight="1">
      <c r="A50" s="15" t="inlineStr">
        <is>
          <t>Docker</t>
        </is>
      </c>
      <c r="B50" s="19" t="inlineStr">
        <is>
          <t>'the input device is not a TTY' after docker compose exec ... psql</t>
        </is>
      </c>
      <c r="C50" s="15" t="inlineStr">
        <is>
          <t>Git Bash's default window (mintty) is not a Windows console.</t>
        </is>
      </c>
      <c r="D50" s="15" t="inlineStr">
        <is>
          <t>Prefix with winpty (winpty docker compose exec db psql ...), or use -T for non-interactive commands.</t>
        </is>
      </c>
    </row>
  </sheetData>
  <autoFilter ref="A1:D50"/>
  <pageMargins left="0.75" right="0.75" top="1" bottom="1" header="0.5" footer="0.5"/>
</worksheet>
</file>

<file path=xl/worksheets/sheet12.xml><?xml version="1.0" encoding="utf-8"?>
<worksheet xmlns="http://schemas.openxmlformats.org/spreadsheetml/2006/main">
  <sheetPr>
    <tabColor rgb="00808080"/>
    <outlinePr summaryBelow="1" summaryRight="1"/>
    <pageSetUpPr/>
  </sheetPr>
  <dimension ref="A1:C118"/>
  <sheetViews>
    <sheetView workbookViewId="0">
      <pane ySplit="1" topLeftCell="A2" activePane="bottomLeft" state="frozen"/>
      <selection pane="bottomLeft" activeCell="A1" sqref="A1"/>
    </sheetView>
  </sheetViews>
  <sheetFormatPr baseColWidth="8" defaultRowHeight="15"/>
  <cols>
    <col width="30" customWidth="1" min="1" max="1"/>
    <col width="95" customWidth="1" min="2" max="2"/>
    <col width="10" customWidth="1" min="3" max="3"/>
  </cols>
  <sheetData>
    <row r="1" ht="30" customHeight="1">
      <c r="A1" s="13" t="inlineStr">
        <is>
          <t>Term</t>
        </is>
      </c>
      <c r="B1" s="13" t="inlineStr">
        <is>
          <t>Meaning</t>
        </is>
      </c>
      <c r="C1" s="13" t="inlineStr">
        <is>
          <t>Lesson</t>
        </is>
      </c>
    </row>
    <row r="2" ht="16.6" customHeight="1">
      <c r="A2" s="19" t="inlineStr">
        <is>
          <t>Alembic</t>
        </is>
      </c>
      <c r="B2" s="15" t="inlineStr">
        <is>
          <t>Python tool that applies versioned database schema migrations.</t>
        </is>
      </c>
      <c r="C2" s="41" t="inlineStr">
        <is>
          <t>L17</t>
        </is>
      </c>
    </row>
    <row r="3" ht="16.6" customHeight="1">
      <c r="A3" s="19" t="inlineStr">
        <is>
          <t>Alpha-beta pruning</t>
        </is>
      </c>
      <c r="B3" s="15" t="inlineStr">
        <is>
          <t>Search optimisation that skips branches which cannot change the minimax result.</t>
        </is>
      </c>
      <c r="C3" s="41" t="inlineStr">
        <is>
          <t>L10</t>
        </is>
      </c>
    </row>
    <row r="4" ht="16.6" customHeight="1">
      <c r="A4" s="19" t="inlineStr">
        <is>
          <t>API</t>
        </is>
      </c>
      <c r="B4" s="15" t="inlineStr">
        <is>
          <t>Application Programming Interface: here, the HTTP endpoints the frontend calls.</t>
        </is>
      </c>
      <c r="C4" s="41" t="inlineStr">
        <is>
          <t>L12</t>
        </is>
      </c>
    </row>
    <row r="5" ht="16.6" customHeight="1">
      <c r="A5" s="19" t="inlineStr">
        <is>
          <t>ApiError</t>
        </is>
      </c>
      <c r="B5" s="15" t="inlineStr">
        <is>
          <t>ChessLab's exception carrying an HTTP status, a stable code and a human message.</t>
        </is>
      </c>
      <c r="C5" s="41" t="inlineStr">
        <is>
          <t>L22</t>
        </is>
      </c>
    </row>
    <row r="6" ht="16.6" customHeight="1">
      <c r="A6" s="19" t="inlineStr">
        <is>
          <t>At-least-once delivery</t>
        </is>
      </c>
      <c r="B6" s="15" t="inlineStr">
        <is>
          <t>A job may run more than once (after crashes); handlers must therefore be idempotent.</t>
        </is>
      </c>
      <c r="C6" s="41" t="inlineStr">
        <is>
          <t>L28</t>
        </is>
      </c>
    </row>
    <row r="7" ht="16.6" customHeight="1">
      <c r="A7" s="19" t="inlineStr">
        <is>
          <t>Backoff (exponential)</t>
        </is>
      </c>
      <c r="B7" s="15" t="inlineStr">
        <is>
          <t>Waiting longer after each failed retry (5 s, 10 s, 20 s ...).</t>
        </is>
      </c>
      <c r="C7" s="41" t="inlineStr">
        <is>
          <t>L29</t>
        </is>
      </c>
    </row>
    <row r="8" ht="16.6" customHeight="1">
      <c r="A8" s="19" t="inlineStr">
        <is>
          <t>Bearer token</t>
        </is>
      </c>
      <c r="B8" s="15" t="inlineStr">
        <is>
          <t>A credential sent as 'Authorization: Bearer &lt;token&gt;'; whoever holds it is authenticated.</t>
        </is>
      </c>
      <c r="C8" s="41" t="inlineStr">
        <is>
          <t>L19</t>
        </is>
      </c>
    </row>
    <row r="9" ht="16.6" customHeight="1">
      <c r="A9" s="19" t="inlineStr">
        <is>
          <t>BKT</t>
        </is>
      </c>
      <c r="B9" s="15" t="inlineStr">
        <is>
          <t>Bayesian Knowledge Tracing: a model of whether a learner has mastered a skill.</t>
        </is>
      </c>
      <c r="C9" s="41" t="inlineStr">
        <is>
          <t>L57</t>
        </is>
      </c>
    </row>
    <row r="10" ht="16.6" customHeight="1">
      <c r="A10" s="19" t="inlineStr">
        <is>
          <t>Brier score</t>
        </is>
      </c>
      <c r="B10" s="15" t="inlineStr">
        <is>
          <t>Mean squared error of probability predictions; lower is better.</t>
        </is>
      </c>
      <c r="C10" s="41" t="inlineStr">
        <is>
          <t>L46</t>
        </is>
      </c>
    </row>
    <row r="11" ht="16.6" customHeight="1">
      <c r="A11" s="19" t="inlineStr">
        <is>
          <t>Calibration</t>
        </is>
      </c>
      <c r="B11" s="15" t="inlineStr">
        <is>
          <t>Whether predicted probabilities match observed frequencies.</t>
        </is>
      </c>
      <c r="C11" s="41" t="inlineStr">
        <is>
          <t>L46</t>
        </is>
      </c>
    </row>
    <row r="12" ht="16.6" customHeight="1">
      <c r="A12" s="19" t="inlineStr">
        <is>
          <t>Candidate (fork candidate)</t>
        </is>
      </c>
      <c r="B12" s="15" t="inlineStr">
        <is>
          <t>A geometric knight move that attacks 2+ worthwhile targets; not yet verified.</t>
        </is>
      </c>
      <c r="C12" s="41" t="inlineStr">
        <is>
          <t>L38</t>
        </is>
      </c>
    </row>
    <row r="13" ht="16.6" customHeight="1">
      <c r="A13" s="19" t="inlineStr">
        <is>
          <t>Cascade delete</t>
        </is>
      </c>
      <c r="B13" s="15" t="inlineStr">
        <is>
          <t>Foreign key rule that deletes child rows when the parent row is deleted.</t>
        </is>
      </c>
      <c r="C13" s="41" t="inlineStr">
        <is>
          <t>L14</t>
        </is>
      </c>
    </row>
    <row r="14" ht="16.6" customHeight="1">
      <c r="A14" s="19" t="inlineStr">
        <is>
          <t>Centipawn (cp)</t>
        </is>
      </c>
      <c r="B14" s="15" t="inlineStr">
        <is>
          <t>1/100 of a pawn in engine evaluations; not material and not a probability.</t>
        </is>
      </c>
      <c r="C14" s="41" t="inlineStr">
        <is>
          <t>L35</t>
        </is>
      </c>
    </row>
    <row r="15" ht="16.6" customHeight="1">
      <c r="A15" s="19" t="inlineStr">
        <is>
          <t>CI</t>
        </is>
      </c>
      <c r="B15" s="15" t="inlineStr">
        <is>
          <t>Continuous Integration: automated checks on every push/PR (GitHub Actions).</t>
        </is>
      </c>
      <c r="C15" s="41" t="inlineStr">
        <is>
          <t>L49</t>
        </is>
      </c>
    </row>
    <row r="16" ht="16.6" customHeight="1">
      <c r="A16" s="19" t="inlineStr">
        <is>
          <t>Claim (job)</t>
        </is>
      </c>
      <c r="B16" s="15" t="inlineStr">
        <is>
          <t>A worker atomically taking a queued job and setting its lease.</t>
        </is>
      </c>
      <c r="C16" s="41" t="inlineStr">
        <is>
          <t>L28</t>
        </is>
      </c>
    </row>
    <row r="17" ht="16.6" customHeight="1">
      <c r="A17" s="19" t="inlineStr">
        <is>
          <t>Classic worker</t>
        </is>
      </c>
      <c r="B17" s="15" t="inlineStr">
        <is>
          <t>A Web Worker that can use importScripts() for old-style scripts.</t>
        </is>
      </c>
      <c r="C17" s="41" t="inlineStr">
        <is>
          <t>L08</t>
        </is>
      </c>
    </row>
    <row r="18" ht="16.6" customHeight="1">
      <c r="A18" s="19" t="inlineStr">
        <is>
          <t>Cold start</t>
        </is>
      </c>
      <c r="B18" s="15" t="inlineStr">
        <is>
          <t>Delay when a sleeping service wakes up; or a learner model with no data on a new player.</t>
        </is>
      </c>
      <c r="C18" s="41" t="inlineStr">
        <is>
          <t>L48</t>
        </is>
      </c>
    </row>
    <row r="19" ht="16.6" customHeight="1">
      <c r="A19" s="19" t="inlineStr">
        <is>
          <t>Commit</t>
        </is>
      </c>
      <c r="B19" s="15" t="inlineStr">
        <is>
          <t>A recorded snapshot of changes in Git with a message.</t>
        </is>
      </c>
      <c r="C19" s="41" t="inlineStr">
        <is>
          <t>L03</t>
        </is>
      </c>
    </row>
    <row r="20" ht="16.6" customHeight="1">
      <c r="A20" s="19" t="inlineStr">
        <is>
          <t>Component (React)</t>
        </is>
      </c>
      <c r="B20" s="15" t="inlineStr">
        <is>
          <t>A function returning JSX that describes part of the UI.</t>
        </is>
      </c>
      <c r="C20" s="41" t="inlineStr">
        <is>
          <t>L06</t>
        </is>
      </c>
    </row>
    <row r="21" ht="16.6" customHeight="1">
      <c r="A21" s="19" t="inlineStr">
        <is>
          <t>Concept rating</t>
        </is>
      </c>
      <c r="B21" s="15" t="inlineStr">
        <is>
          <t>ChessLab's provisional per-concept Elo for a guest (e.g. knight_fork).</t>
        </is>
      </c>
      <c r="C21" s="41" t="inlineStr">
        <is>
          <t>L42</t>
        </is>
      </c>
    </row>
    <row r="22" ht="16.6" customHeight="1">
      <c r="A22" s="19" t="inlineStr">
        <is>
          <t>Confusion matrix</t>
        </is>
      </c>
      <c r="B22" s="15" t="inlineStr">
        <is>
          <t>Table of true/false positives/negatives for a classifier.</t>
        </is>
      </c>
      <c r="C22" s="41" t="inlineStr">
        <is>
          <t>L44</t>
        </is>
      </c>
    </row>
    <row r="23" ht="16.6" customHeight="1">
      <c r="A23" s="19" t="inlineStr">
        <is>
          <t>Container</t>
        </is>
      </c>
      <c r="B23" s="15" t="inlineStr">
        <is>
          <t>A running instance of a Docker image.</t>
        </is>
      </c>
      <c r="C23" s="41" t="inlineStr">
        <is>
          <t>L15</t>
        </is>
      </c>
    </row>
    <row r="24" ht="16.6" customHeight="1">
      <c r="A24" s="19" t="inlineStr">
        <is>
          <t>CORS</t>
        </is>
      </c>
      <c r="B24" s="15" t="inlineStr">
        <is>
          <t>Browser rules for reading responses from another origin; not an authentication mechanism.</t>
        </is>
      </c>
      <c r="C24" s="41" t="inlineStr">
        <is>
          <t>L21</t>
        </is>
      </c>
    </row>
    <row r="25" ht="16.6" customHeight="1">
      <c r="A25" s="19" t="inlineStr">
        <is>
          <t>CSP</t>
        </is>
      </c>
      <c r="B25" s="15" t="inlineStr">
        <is>
          <t>Content-Security-Policy header limiting which scripts/connections a page may use.</t>
        </is>
      </c>
      <c r="C25" s="41" t="inlineStr">
        <is>
          <t>L50</t>
        </is>
      </c>
    </row>
    <row r="26" ht="16.6" customHeight="1">
      <c r="A26" s="19" t="inlineStr">
        <is>
          <t>Dedupe key</t>
        </is>
      </c>
      <c r="B26" s="15" t="inlineStr">
        <is>
          <t>Unique string on a job (e.g. analyze:&lt;game&gt;:&lt;pipeline&gt;) preventing duplicates.</t>
        </is>
      </c>
      <c r="C26" s="41" t="inlineStr">
        <is>
          <t>L29</t>
        </is>
      </c>
    </row>
    <row r="27" ht="16.6" customHeight="1">
      <c r="A27" s="19" t="inlineStr">
        <is>
          <t>Dependency (FastAPI)</t>
        </is>
      </c>
      <c r="B27" s="15" t="inlineStr">
        <is>
          <t>A function FastAPI runs before a route (auth, DB session, rate limit).</t>
        </is>
      </c>
      <c r="C27" s="41" t="inlineStr">
        <is>
          <t>L13</t>
        </is>
      </c>
    </row>
    <row r="28" ht="16.6" customHeight="1">
      <c r="A28" s="19" t="inlineStr">
        <is>
          <t>Docker Compose</t>
        </is>
      </c>
      <c r="B28" s="15" t="inlineStr">
        <is>
          <t>Tool to define and run multi-container apps from compose.yaml.</t>
        </is>
      </c>
      <c r="C28" s="41" t="inlineStr">
        <is>
          <t>L26</t>
        </is>
      </c>
    </row>
    <row r="29" ht="16.6" customHeight="1">
      <c r="A29" s="19" t="inlineStr">
        <is>
          <t>Elo</t>
        </is>
      </c>
      <c r="B29" s="15" t="inlineStr">
        <is>
          <t>Rating system; expected score = 1/(1+10^((Rb-Ra)/400)).</t>
        </is>
      </c>
      <c r="C29" s="41" t="inlineStr">
        <is>
          <t>L42</t>
        </is>
      </c>
    </row>
    <row r="30" ht="16.6" customHeight="1">
      <c r="A30" s="19" t="inlineStr">
        <is>
          <t>Endpoint</t>
        </is>
      </c>
      <c r="B30" s="15" t="inlineStr">
        <is>
          <t>A method + path the API serves, e.g. POST /v1/games.</t>
        </is>
      </c>
      <c r="C30" s="41" t="inlineStr">
        <is>
          <t>L12</t>
        </is>
      </c>
    </row>
    <row r="31" ht="16.6" customHeight="1">
      <c r="A31" s="19" t="inlineStr">
        <is>
          <t>Evaluator (protocol)</t>
        </is>
      </c>
      <c r="B31" s="15" t="inlineStr">
        <is>
          <t>ChessLab interface for scoring a move; Stockfish or a fake in tests.</t>
        </is>
      </c>
      <c r="C31" s="41" t="inlineStr">
        <is>
          <t>L23</t>
        </is>
      </c>
    </row>
    <row r="32" ht="16.6" customHeight="1">
      <c r="A32" s="19" t="inlineStr">
        <is>
          <t>Evidence record</t>
        </is>
      </c>
      <c r="B32" s="15" t="inlineStr">
        <is>
          <t>Versioned structured record of a verified finding; prose is generated from it.</t>
        </is>
      </c>
      <c r="C32" s="41" t="inlineStr">
        <is>
          <t>L39</t>
        </is>
      </c>
    </row>
    <row r="33" ht="16.6" customHeight="1">
      <c r="A33" s="19" t="inlineStr">
        <is>
          <t>Expand/migrate/contract</t>
        </is>
      </c>
      <c r="B33" s="15" t="inlineStr">
        <is>
          <t>Safe pattern for schema changes that keeps rollback possible.</t>
        </is>
      </c>
      <c r="C33" s="41" t="inlineStr">
        <is>
          <t>L17</t>
        </is>
      </c>
    </row>
    <row r="34" ht="16.6" customHeight="1">
      <c r="A34" s="19" t="inlineStr">
        <is>
          <t>Expected score</t>
        </is>
      </c>
      <c r="B34" s="15" t="inlineStr">
        <is>
          <t>Elo's predicted probability of success.</t>
        </is>
      </c>
      <c r="C34" s="41" t="inlineStr">
        <is>
          <t>L42</t>
        </is>
      </c>
    </row>
    <row r="35" ht="16.6" customHeight="1">
      <c r="A35" s="19" t="inlineStr">
        <is>
          <t>Exploration</t>
        </is>
      </c>
      <c r="B35" s="15" t="inlineStr">
        <is>
          <t>Occasionally choosing a harder exercise to test for improvement.</t>
        </is>
      </c>
      <c r="C35" s="41" t="inlineStr">
        <is>
          <t>L43</t>
        </is>
      </c>
    </row>
    <row r="36" ht="16.6" customHeight="1">
      <c r="A36" s="19" t="inlineStr">
        <is>
          <t>FastAPI</t>
        </is>
      </c>
      <c r="B36" s="15" t="inlineStr">
        <is>
          <t>Python web framework with type-driven validation and OpenAPI docs.</t>
        </is>
      </c>
      <c r="C36" s="41" t="inlineStr">
        <is>
          <t>L13</t>
        </is>
      </c>
    </row>
    <row r="37" ht="16.6" customHeight="1">
      <c r="A37" s="19" t="inlineStr">
        <is>
          <t>FEN</t>
        </is>
      </c>
      <c r="B37" s="15" t="inlineStr">
        <is>
          <t>Text describing one chess position (no history).</t>
        </is>
      </c>
      <c r="C37" s="41" t="inlineStr">
        <is>
          <t>L09</t>
        </is>
      </c>
    </row>
    <row r="38" ht="16.6" customHeight="1">
      <c r="A38" s="19" t="inlineStr">
        <is>
          <t>Fencing token</t>
        </is>
      </c>
      <c r="B38" s="15" t="inlineStr">
        <is>
          <t>A counter (attempts) that stale workers must match to update a job.</t>
        </is>
      </c>
      <c r="C38" s="41" t="inlineStr">
        <is>
          <t>L28</t>
        </is>
      </c>
    </row>
    <row r="39" ht="16.6" customHeight="1">
      <c r="A39" s="19" t="inlineStr">
        <is>
          <t>Fixture (pytest)</t>
        </is>
      </c>
      <c r="B39" s="15" t="inlineStr">
        <is>
          <t>Reusable test setup injected by name into tests.</t>
        </is>
      </c>
      <c r="C39" s="41" t="inlineStr">
        <is>
          <t>L23</t>
        </is>
      </c>
    </row>
    <row r="40" ht="16.6" customHeight="1">
      <c r="A40" s="19" t="inlineStr">
        <is>
          <t>Flush vs commit</t>
        </is>
      </c>
      <c r="B40" s="15" t="inlineStr">
        <is>
          <t>Flush sends SQL in the open transaction; commit makes it permanent.</t>
        </is>
      </c>
      <c r="C40" s="41" t="inlineStr">
        <is>
          <t>L16</t>
        </is>
      </c>
    </row>
    <row r="41" ht="16.6" customHeight="1">
      <c r="A41" s="19" t="inlineStr">
        <is>
          <t>FOR UPDATE SKIP LOCKED</t>
        </is>
      </c>
      <c r="B41" s="15" t="inlineStr">
        <is>
          <t>Postgres clause to lock a row while skipping rows others locked.</t>
        </is>
      </c>
      <c r="C41" s="41" t="inlineStr">
        <is>
          <t>L28</t>
        </is>
      </c>
    </row>
    <row r="42" ht="16.6" customHeight="1">
      <c r="A42" s="19" t="inlineStr">
        <is>
          <t>Fork</t>
        </is>
      </c>
      <c r="B42" s="15" t="inlineStr">
        <is>
          <t>One piece attacking two or more enemy targets at once.</t>
        </is>
      </c>
      <c r="C42" s="41" t="inlineStr">
        <is>
          <t>L36</t>
        </is>
      </c>
    </row>
    <row r="43" ht="16.6" customHeight="1">
      <c r="A43" s="19" t="inlineStr">
        <is>
          <t>Git Bash</t>
        </is>
      </c>
      <c r="B43" s="15" t="inlineStr">
        <is>
          <t>Bash shell for Windows installed with Git; every command in this manual is written for it.</t>
        </is>
      </c>
      <c r="C43" s="41" t="inlineStr">
        <is>
          <t>L02</t>
        </is>
      </c>
    </row>
    <row r="44" ht="16.6" customHeight="1">
      <c r="A44" s="19" t="inlineStr">
        <is>
          <t>Guard (LLM)</t>
        </is>
      </c>
      <c r="B44" s="15" t="inlineStr">
        <is>
          <t>Checks that generated text uses only facts present in the evidence.</t>
        </is>
      </c>
      <c r="C44" s="41" t="inlineStr">
        <is>
          <t>L56</t>
        </is>
      </c>
    </row>
    <row r="45" ht="16.6" customHeight="1">
      <c r="A45" s="19" t="inlineStr">
        <is>
          <t>Hanging piece</t>
        </is>
      </c>
      <c r="B45" s="15" t="inlineStr">
        <is>
          <t>A piece that can be captured for a net gain.</t>
        </is>
      </c>
      <c r="C45" s="41" t="inlineStr">
        <is>
          <t>L36</t>
        </is>
      </c>
    </row>
    <row r="46" ht="16.6" customHeight="1">
      <c r="A46" s="19" t="inlineStr">
        <is>
          <t>Health check</t>
        </is>
      </c>
      <c r="B46" s="15" t="inlineStr">
        <is>
          <t>Endpoint the platform calls to know whether the service is alive/ready.</t>
        </is>
      </c>
      <c r="C46" s="41" t="inlineStr">
        <is>
          <t>L52</t>
        </is>
      </c>
    </row>
    <row r="47" ht="16.6" customHeight="1">
      <c r="A47" s="19" t="inlineStr">
        <is>
          <t>Heartbeat</t>
        </is>
      </c>
      <c r="B47" s="15" t="inlineStr">
        <is>
          <t>Periodic update by a worker that extends its job lease and saves progress.</t>
        </is>
      </c>
      <c r="C47" s="41" t="inlineStr">
        <is>
          <t>L28</t>
        </is>
      </c>
    </row>
    <row r="48" ht="16.6" customHeight="1">
      <c r="A48" s="19" t="inlineStr">
        <is>
          <t>Horizon effect</t>
        </is>
      </c>
      <c r="B48" s="15" t="inlineStr">
        <is>
          <t>Fixed-depth search misjudging positions just beyond its depth.</t>
        </is>
      </c>
      <c r="C48" s="41" t="inlineStr">
        <is>
          <t>L10</t>
        </is>
      </c>
    </row>
    <row r="49" ht="16.6" customHeight="1">
      <c r="A49" s="19" t="inlineStr">
        <is>
          <t>httpx</t>
        </is>
      </c>
      <c r="B49" s="15" t="inlineStr">
        <is>
          <t>Python HTTP client used for provider requests (supports streaming and timeouts).</t>
        </is>
      </c>
      <c r="C49" s="41" t="inlineStr">
        <is>
          <t>L32</t>
        </is>
      </c>
    </row>
    <row r="50" ht="16.6" customHeight="1">
      <c r="A50" s="19" t="inlineStr">
        <is>
          <t>Idempotent</t>
        </is>
      </c>
      <c r="B50" s="15" t="inlineStr">
        <is>
          <t>Repeating an operation has the same effect as doing it once.</t>
        </is>
      </c>
      <c r="C50" s="41" t="inlineStr">
        <is>
          <t>L29</t>
        </is>
      </c>
    </row>
    <row r="51" ht="16.6" customHeight="1">
      <c r="A51" s="19" t="inlineStr">
        <is>
          <t>IDOR</t>
        </is>
      </c>
      <c r="B51" s="15" t="inlineStr">
        <is>
          <t>Insecure Direct Object Reference: accessing others' data by changing an id.</t>
        </is>
      </c>
      <c r="C51" s="41" t="inlineStr">
        <is>
          <t>L20</t>
        </is>
      </c>
    </row>
    <row r="52" ht="16.6" customHeight="1">
      <c r="A52" s="19" t="inlineStr">
        <is>
          <t>Image (Docker)</t>
        </is>
      </c>
      <c r="B52" s="15" t="inlineStr">
        <is>
          <t>Packaged filesystem and start command used to create containers.</t>
        </is>
      </c>
      <c r="C52" s="41" t="inlineStr">
        <is>
          <t>L15</t>
        </is>
      </c>
    </row>
    <row r="53" ht="16.6" customHeight="1">
      <c r="A53" s="19" t="inlineStr">
        <is>
          <t>Index (database)</t>
        </is>
      </c>
      <c r="B53" s="15" t="inlineStr">
        <is>
          <t>Structure that speeds up lookups on columns.</t>
        </is>
      </c>
      <c r="C53" s="41" t="inlineStr">
        <is>
          <t>L14</t>
        </is>
      </c>
    </row>
    <row r="54" ht="16.6" customHeight="1">
      <c r="A54" s="19" t="inlineStr">
        <is>
          <t>Jitter</t>
        </is>
      </c>
      <c r="B54" s="15" t="inlineStr">
        <is>
          <t>Randomness added to retry delays so clients don't retry in sync.</t>
        </is>
      </c>
      <c r="C54" s="41" t="inlineStr">
        <is>
          <t>L29</t>
        </is>
      </c>
    </row>
    <row r="55" ht="16.6" customHeight="1">
      <c r="A55" s="19" t="inlineStr">
        <is>
          <t>JSONB</t>
        </is>
      </c>
      <c r="B55" s="15" t="inlineStr">
        <is>
          <t>Postgres binary JSON column type.</t>
        </is>
      </c>
      <c r="C55" s="41" t="inlineStr">
        <is>
          <t>L14</t>
        </is>
      </c>
    </row>
    <row r="56" ht="16.6" customHeight="1">
      <c r="A56" s="19" t="inlineStr">
        <is>
          <t>K-factor</t>
        </is>
      </c>
      <c r="B56" s="15" t="inlineStr">
        <is>
          <t>How strongly an Elo rating moves after one result.</t>
        </is>
      </c>
      <c r="C56" s="41" t="inlineStr">
        <is>
          <t>L42</t>
        </is>
      </c>
    </row>
    <row r="57" ht="16.6" customHeight="1">
      <c r="A57" s="19" t="inlineStr">
        <is>
          <t>Leakage</t>
        </is>
      </c>
      <c r="B57" s="15" t="inlineStr">
        <is>
          <t>Test information influencing the system, inflating results.</t>
        </is>
      </c>
      <c r="C57" s="41" t="inlineStr">
        <is>
          <t>L45</t>
        </is>
      </c>
    </row>
    <row r="58" ht="16.6" customHeight="1">
      <c r="A58" s="19" t="inlineStr">
        <is>
          <t>Lease</t>
        </is>
      </c>
      <c r="B58" s="15" t="inlineStr">
        <is>
          <t>Time-limited ownership of a running job; expires if the worker dies.</t>
        </is>
      </c>
      <c r="C58" s="41" t="inlineStr">
        <is>
          <t>L28</t>
        </is>
      </c>
    </row>
    <row r="59" ht="16.6" customHeight="1">
      <c r="A59" s="19" t="inlineStr">
        <is>
          <t>Lockfile</t>
        </is>
      </c>
      <c r="B59" s="15" t="inlineStr">
        <is>
          <t>File pinning exact versions of every dependency (package-lock.json, uv.lock).</t>
        </is>
      </c>
      <c r="C59" s="41" t="inlineStr">
        <is>
          <t>L04</t>
        </is>
      </c>
    </row>
    <row r="60" ht="16.6" customHeight="1">
      <c r="A60" s="19" t="inlineStr">
        <is>
          <t>Log loss</t>
        </is>
      </c>
      <c r="B60" s="15" t="inlineStr">
        <is>
          <t>Penalty for probability predictions that punishes confident errors.</t>
        </is>
      </c>
      <c r="C60" s="41" t="inlineStr">
        <is>
          <t>L46</t>
        </is>
      </c>
    </row>
    <row r="61" ht="16.6" customHeight="1">
      <c r="A61" s="19" t="inlineStr">
        <is>
          <t>Manifest (dataset)</t>
        </is>
      </c>
      <c r="B61" s="15" t="inlineStr">
        <is>
          <t>File recording a dataset's source, filters, counts and checksum.</t>
        </is>
      </c>
      <c r="C61" s="41" t="inlineStr">
        <is>
          <t>L41</t>
        </is>
      </c>
    </row>
    <row r="62" ht="16.6" customHeight="1">
      <c r="A62" s="19" t="inlineStr">
        <is>
          <t>Material</t>
        </is>
      </c>
      <c r="B62" s="15" t="inlineStr">
        <is>
          <t>Sum of piece values (P1 N3 B3 R5 Q9).</t>
        </is>
      </c>
      <c r="C62" s="41" t="inlineStr">
        <is>
          <t>L36</t>
        </is>
      </c>
    </row>
    <row r="63" ht="16.6" customHeight="1">
      <c r="A63" s="19" t="inlineStr">
        <is>
          <t>Merge conflict</t>
        </is>
      </c>
      <c r="B63" s="15" t="inlineStr">
        <is>
          <t>Both of you changed the same lines; Git asks you to choose the final text.</t>
        </is>
      </c>
      <c r="C63" s="41" t="inlineStr">
        <is>
          <t>L59</t>
        </is>
      </c>
    </row>
    <row r="64" ht="16.6" customHeight="1">
      <c r="A64" s="19" t="inlineStr">
        <is>
          <t>Migration</t>
        </is>
      </c>
      <c r="B64" s="15" t="inlineStr">
        <is>
          <t>Versioned script that changes the database schema.</t>
        </is>
      </c>
      <c r="C64" s="41" t="inlineStr">
        <is>
          <t>L17</t>
        </is>
      </c>
    </row>
    <row r="65" ht="16.6" customHeight="1">
      <c r="A65" s="19" t="inlineStr">
        <is>
          <t>Minimax</t>
        </is>
      </c>
      <c r="B65" s="15" t="inlineStr">
        <is>
          <t>Search assuming both sides play their best.</t>
        </is>
      </c>
      <c r="C65" s="41" t="inlineStr">
        <is>
          <t>L10</t>
        </is>
      </c>
    </row>
    <row r="66" ht="16.6" customHeight="1">
      <c r="A66" s="19" t="inlineStr">
        <is>
          <t>MSYS_NO_PATHCONV</t>
        </is>
      </c>
      <c r="B66" s="15" t="inlineStr">
        <is>
          <t>Git Bash setting that stops it rewriting /container/paths into Windows paths for one command.</t>
        </is>
      </c>
      <c r="C66" s="41" t="inlineStr">
        <is>
          <t>L02</t>
        </is>
      </c>
    </row>
    <row r="67" ht="16.6" customHeight="1">
      <c r="A67" s="19" t="inlineStr">
        <is>
          <t>NDJSON</t>
        </is>
      </c>
      <c r="B67" s="15" t="inlineStr">
        <is>
          <t>Newline-delimited JSON: one JSON object per line, streamable.</t>
        </is>
      </c>
      <c r="C67" s="41" t="inlineStr">
        <is>
          <t>L32</t>
        </is>
      </c>
    </row>
    <row r="68" ht="16.6" customHeight="1">
      <c r="A68" s="19" t="inlineStr">
        <is>
          <t>NNUE</t>
        </is>
      </c>
      <c r="B68" s="15" t="inlineStr">
        <is>
          <t>Neural-network evaluation used by modern Stockfish.</t>
        </is>
      </c>
      <c r="C68" s="41" t="inlineStr">
        <is>
          <t>L37</t>
        </is>
      </c>
    </row>
    <row r="69" ht="16.6" customHeight="1">
      <c r="A69" s="19" t="inlineStr">
        <is>
          <t>Opaque token</t>
        </is>
      </c>
      <c r="B69" s="15" t="inlineStr">
        <is>
          <t>Random credential with no internal meaning.</t>
        </is>
      </c>
      <c r="C69" s="41" t="inlineStr">
        <is>
          <t>L19</t>
        </is>
      </c>
    </row>
    <row r="70" ht="16.6" customHeight="1">
      <c r="A70" s="19" t="inlineStr">
        <is>
          <t>OpenAPI</t>
        </is>
      </c>
      <c r="B70" s="15" t="inlineStr">
        <is>
          <t>Machine-readable API description FastAPI generates at /openapi.json.</t>
        </is>
      </c>
      <c r="C70" s="41" t="inlineStr">
        <is>
          <t>L13</t>
        </is>
      </c>
    </row>
    <row r="71" ht="16.6" customHeight="1">
      <c r="A71" s="19" t="inlineStr">
        <is>
          <t>Origin</t>
        </is>
      </c>
      <c r="B71" s="15" t="inlineStr">
        <is>
          <t>Scheme + host + port of a URL.</t>
        </is>
      </c>
      <c r="C71" s="41" t="inlineStr">
        <is>
          <t>L01</t>
        </is>
      </c>
    </row>
    <row r="72" ht="16.6" customHeight="1">
      <c r="A72" s="19" t="inlineStr">
        <is>
          <t>Origin</t>
        </is>
      </c>
      <c r="B72" s="15" t="inlineStr">
        <is>
          <t>The default name of the GitHub repository you push to and pull from.</t>
        </is>
      </c>
      <c r="C72" s="41" t="inlineStr">
        <is>
          <t>L03</t>
        </is>
      </c>
    </row>
    <row r="73" ht="16.6" customHeight="1">
      <c r="A73" s="19" t="inlineStr">
        <is>
          <t>PaaS</t>
        </is>
      </c>
      <c r="B73" s="15" t="inlineStr">
        <is>
          <t>Platform as a Service (Render, Vercel): hosts your code without managing servers.</t>
        </is>
      </c>
      <c r="C73" s="41" t="inlineStr">
        <is>
          <t>L48</t>
        </is>
      </c>
    </row>
    <row r="74" ht="16.6" customHeight="1">
      <c r="A74" s="19" t="inlineStr">
        <is>
          <t>PGN</t>
        </is>
      </c>
      <c r="B74" s="15" t="inlineStr">
        <is>
          <t>Text format for chess games: headers + SAN moves + result.</t>
        </is>
      </c>
      <c r="C74" s="41" t="inlineStr">
        <is>
          <t>L09</t>
        </is>
      </c>
    </row>
    <row r="75" ht="16.6" customHeight="1">
      <c r="A75" s="19" t="inlineStr">
        <is>
          <t>Pipeline version</t>
        </is>
      </c>
      <c r="B75" s="15" t="inlineStr">
        <is>
          <t>Label (forks-v1) for the detection logic that produced evidence.</t>
        </is>
      </c>
      <c r="C75" s="41" t="inlineStr">
        <is>
          <t>L39</t>
        </is>
      </c>
    </row>
    <row r="76" ht="16.6" customHeight="1">
      <c r="A76" s="19" t="inlineStr">
        <is>
          <t>Ply</t>
        </is>
      </c>
      <c r="B76" s="15" t="inlineStr">
        <is>
          <t>One move by one side (half of a full move).</t>
        </is>
      </c>
      <c r="C76" s="41" t="inlineStr">
        <is>
          <t>L09</t>
        </is>
      </c>
    </row>
    <row r="77" ht="16.6" customHeight="1">
      <c r="A77" s="19" t="inlineStr">
        <is>
          <t>Polling</t>
        </is>
      </c>
      <c r="B77" s="15" t="inlineStr">
        <is>
          <t>Repeatedly asking the server for status.</t>
        </is>
      </c>
      <c r="C77" s="41" t="inlineStr">
        <is>
          <t>L31</t>
        </is>
      </c>
    </row>
    <row r="78" ht="16.6" customHeight="1">
      <c r="A78" s="19" t="inlineStr">
        <is>
          <t>Pool (puzzle)</t>
        </is>
      </c>
      <c r="B78" s="15" t="inlineStr">
        <is>
          <t>practice / assessment / eval split assigned by id hash.</t>
        </is>
      </c>
      <c r="C78" s="41" t="inlineStr">
        <is>
          <t>L41</t>
        </is>
      </c>
    </row>
    <row r="79" ht="16.6" customHeight="1">
      <c r="A79" s="19" t="inlineStr">
        <is>
          <t>Port</t>
        </is>
      </c>
      <c r="B79" s="15" t="inlineStr">
        <is>
          <t>Number a server listens on (ChessLab: 5433 db, 8010 api, 5180 web locally).</t>
        </is>
      </c>
      <c r="C79" s="41" t="inlineStr">
        <is>
          <t>L02</t>
        </is>
      </c>
    </row>
    <row r="80" ht="16.6" customHeight="1">
      <c r="A80" s="19" t="inlineStr">
        <is>
          <t>POV (point of view)</t>
        </is>
      </c>
      <c r="B80" s="15" t="inlineStr">
        <is>
          <t>Whose perspective a score is from.</t>
        </is>
      </c>
      <c r="C80" s="41" t="inlineStr">
        <is>
          <t>L35</t>
        </is>
      </c>
    </row>
    <row r="81" ht="16.6" customHeight="1">
      <c r="A81" s="19" t="inlineStr">
        <is>
          <t>Precision</t>
        </is>
      </c>
      <c r="B81" s="15" t="inlineStr">
        <is>
          <t>TP / (TP + FP): how often a positive finding is right.</t>
        </is>
      </c>
      <c r="C81" s="41" t="inlineStr">
        <is>
          <t>L44</t>
        </is>
      </c>
    </row>
    <row r="82" ht="16.6" customHeight="1">
      <c r="A82" s="19" t="inlineStr">
        <is>
          <t>Preflight</t>
        </is>
      </c>
      <c r="B82" s="15" t="inlineStr">
        <is>
          <t>Browser OPTIONS request checking CORS permission before the real request.</t>
        </is>
      </c>
      <c r="C82" s="41" t="inlineStr">
        <is>
          <t>L21</t>
        </is>
      </c>
    </row>
    <row r="83" ht="16.6" customHeight="1">
      <c r="A83" s="19" t="inlineStr">
        <is>
          <t>Principal variation (PV)</t>
        </is>
      </c>
      <c r="B83" s="15" t="inlineStr">
        <is>
          <t>The engine's predicted best line.</t>
        </is>
      </c>
      <c r="C83" s="41" t="inlineStr">
        <is>
          <t>L35</t>
        </is>
      </c>
    </row>
    <row r="84" ht="16.6" customHeight="1">
      <c r="A84" s="19" t="inlineStr">
        <is>
          <t>Priority aging</t>
        </is>
      </c>
      <c r="B84" s="15" t="inlineStr">
        <is>
          <t>Raising waiting jobs' effective priority over time to avoid starvation.</t>
        </is>
      </c>
      <c r="C84" s="41" t="inlineStr">
        <is>
          <t>L27</t>
        </is>
      </c>
    </row>
    <row r="85" ht="16.6" customHeight="1">
      <c r="A85" s="19" t="inlineStr">
        <is>
          <t>Props</t>
        </is>
      </c>
      <c r="B85" s="15" t="inlineStr">
        <is>
          <t>Inputs passed to a React component.</t>
        </is>
      </c>
      <c r="C85" s="41" t="inlineStr">
        <is>
          <t>L06</t>
        </is>
      </c>
    </row>
    <row r="86" ht="16.6" customHeight="1">
      <c r="A86" s="19" t="inlineStr">
        <is>
          <t>Provisional rating</t>
        </is>
      </c>
      <c r="B86" s="15" t="inlineStr">
        <is>
          <t>Rating based on few attempts; shown with a warning.</t>
        </is>
      </c>
      <c r="C86" s="41" t="inlineStr">
        <is>
          <t>L42</t>
        </is>
      </c>
    </row>
    <row r="87" ht="16.6" customHeight="1">
      <c r="A87" s="19" t="inlineStr">
        <is>
          <t>Pydantic</t>
        </is>
      </c>
      <c r="B87" s="15" t="inlineStr">
        <is>
          <t>Python library validating data with type hints.</t>
        </is>
      </c>
      <c r="C87" s="41" t="inlineStr">
        <is>
          <t>L13</t>
        </is>
      </c>
    </row>
    <row r="88" ht="16.6" customHeight="1">
      <c r="A88" s="19" t="inlineStr">
        <is>
          <t>Quiescence search</t>
        </is>
      </c>
      <c r="B88" s="15" t="inlineStr">
        <is>
          <t>Extending search through captures to avoid the horizon effect.</t>
        </is>
      </c>
      <c r="C88" s="41" t="inlineStr">
        <is>
          <t>L10</t>
        </is>
      </c>
    </row>
    <row r="89" ht="16.6" customHeight="1">
      <c r="A89" s="19" t="inlineStr">
        <is>
          <t>Race condition</t>
        </is>
      </c>
      <c r="B89" s="15" t="inlineStr">
        <is>
          <t>Bug whose outcome depends on the timing of concurrent operations.</t>
        </is>
      </c>
      <c r="C89" s="41" t="inlineStr">
        <is>
          <t>L30</t>
        </is>
      </c>
    </row>
    <row r="90" ht="16.6" customHeight="1">
      <c r="A90" s="19" t="inlineStr">
        <is>
          <t>Rate limit</t>
        </is>
      </c>
      <c r="B90" s="15" t="inlineStr">
        <is>
          <t>Maximum number of requests allowed per period.</t>
        </is>
      </c>
      <c r="C90" s="41" t="inlineStr">
        <is>
          <t>L50</t>
        </is>
      </c>
    </row>
    <row r="91" ht="16.6" customHeight="1">
      <c r="A91" s="19" t="inlineStr">
        <is>
          <t>Rebase</t>
        </is>
      </c>
      <c r="B91" s="15" t="inlineStr">
        <is>
          <t>git pull --rebase puts your new commits on top of your partner's latest ones.</t>
        </is>
      </c>
      <c r="C91" s="41" t="inlineStr">
        <is>
          <t>L59</t>
        </is>
      </c>
    </row>
    <row r="92" ht="16.6" customHeight="1">
      <c r="A92" s="19" t="inlineStr">
        <is>
          <t>Recall</t>
        </is>
      </c>
      <c r="B92" s="15" t="inlineStr">
        <is>
          <t>TP / (TP + FN): share of real cases that are found.</t>
        </is>
      </c>
      <c r="C92" s="41" t="inlineStr">
        <is>
          <t>L44</t>
        </is>
      </c>
    </row>
    <row r="93" ht="16.6" customHeight="1">
      <c r="A93" s="19" t="inlineStr">
        <is>
          <t>Ref (React)</t>
        </is>
      </c>
      <c r="B93" s="15" t="inlineStr">
        <is>
          <t>Mutable value that survives renders without causing them.</t>
        </is>
      </c>
      <c r="C93" s="41" t="inlineStr">
        <is>
          <t>L06</t>
        </is>
      </c>
    </row>
    <row r="94" ht="16.6" customHeight="1">
      <c r="A94" s="19" t="inlineStr">
        <is>
          <t>Regression test</t>
        </is>
      </c>
      <c r="B94" s="15" t="inlineStr">
        <is>
          <t>Test reproducing a fixed bug so it cannot return.</t>
        </is>
      </c>
      <c r="C94" s="41" t="inlineStr">
        <is>
          <t>L23</t>
        </is>
      </c>
    </row>
    <row r="95" ht="16.6" customHeight="1">
      <c r="A95" s="19" t="inlineStr">
        <is>
          <t>Reservoir sampling</t>
        </is>
      </c>
      <c r="B95" s="15" t="inlineStr">
        <is>
          <t>Uniform random sampling from a stream in one pass.</t>
        </is>
      </c>
      <c r="C95" s="41" t="inlineStr">
        <is>
          <t>L41</t>
        </is>
      </c>
    </row>
    <row r="96" ht="16.6" customHeight="1">
      <c r="A96" s="19" t="inlineStr">
        <is>
          <t>root_moves</t>
        </is>
      </c>
      <c r="B96" s="15" t="inlineStr">
        <is>
          <t>python-chess analyse() option restricting the engine to given moves.</t>
        </is>
      </c>
      <c r="C96" s="41" t="inlineStr">
        <is>
          <t>L34</t>
        </is>
      </c>
    </row>
    <row r="97" ht="16.6" customHeight="1">
      <c r="A97" s="19" t="inlineStr">
        <is>
          <t>SAN</t>
        </is>
      </c>
      <c r="B97" s="15" t="inlineStr">
        <is>
          <t>Human-readable chess move notation (Nf3, exd5, O-O).</t>
        </is>
      </c>
      <c r="C97" s="41" t="inlineStr">
        <is>
          <t>L09</t>
        </is>
      </c>
    </row>
    <row r="98" ht="16.6" customHeight="1">
      <c r="A98" s="19" t="inlineStr">
        <is>
          <t>Session (SQLAlchemy)</t>
        </is>
      </c>
      <c r="B98" s="15" t="inlineStr">
        <is>
          <t>Unit of work talking to the database.</t>
        </is>
      </c>
      <c r="C98" s="41" t="inlineStr">
        <is>
          <t>L16</t>
        </is>
      </c>
    </row>
    <row r="99" ht="16.6" customHeight="1">
      <c r="A99" s="19" t="inlineStr">
        <is>
          <t>Sliding expiry</t>
        </is>
      </c>
      <c r="B99" s="15" t="inlineStr">
        <is>
          <t>Expiry date pushed forward on each use.</t>
        </is>
      </c>
      <c r="C99" s="41" t="inlineStr">
        <is>
          <t>L19</t>
        </is>
      </c>
    </row>
    <row r="100" ht="16.6" customHeight="1">
      <c r="A100" s="19" t="inlineStr">
        <is>
          <t>SPA rewrite</t>
        </is>
      </c>
      <c r="B100" s="15" t="inlineStr">
        <is>
          <t>Hosting rule returning index.html for any path so client routing works.</t>
        </is>
      </c>
      <c r="C100" s="41" t="inlineStr">
        <is>
          <t>L07</t>
        </is>
      </c>
    </row>
    <row r="101" ht="16.6" customHeight="1">
      <c r="A101" s="19" t="inlineStr">
        <is>
          <t>SQLAlchemy</t>
        </is>
      </c>
      <c r="B101" s="15" t="inlineStr">
        <is>
          <t>Python SQL toolkit and ORM.</t>
        </is>
      </c>
      <c r="C101" s="41" t="inlineStr">
        <is>
          <t>L16</t>
        </is>
      </c>
    </row>
    <row r="102" ht="16.6" customHeight="1">
      <c r="A102" s="19" t="inlineStr">
        <is>
          <t>SSRF</t>
        </is>
      </c>
      <c r="B102" s="15" t="inlineStr">
        <is>
          <t>Server-side request forgery: tricking a server into fetching attacker-chosen URLs.</t>
        </is>
      </c>
      <c r="C102" s="41" t="inlineStr">
        <is>
          <t>L50</t>
        </is>
      </c>
    </row>
    <row r="103" ht="16.6" customHeight="1">
      <c r="A103" s="19" t="inlineStr">
        <is>
          <t>State (React)</t>
        </is>
      </c>
      <c r="B103" s="15" t="inlineStr">
        <is>
          <t>Data that triggers re-rendering when changed.</t>
        </is>
      </c>
      <c r="C103" s="41" t="inlineStr">
        <is>
          <t>L06</t>
        </is>
      </c>
    </row>
    <row r="104" ht="16.6" customHeight="1">
      <c r="A104" s="19" t="inlineStr">
        <is>
          <t>Stockfish</t>
        </is>
      </c>
      <c r="B104" s="15" t="inlineStr">
        <is>
          <t>The world's strongest open-source chess engine (GPLv3).</t>
        </is>
      </c>
      <c r="C104" s="41" t="inlineStr">
        <is>
          <t>L10</t>
        </is>
      </c>
    </row>
    <row r="105" ht="16.6" customHeight="1">
      <c r="A105" s="19" t="inlineStr">
        <is>
          <t>StrictMode</t>
        </is>
      </c>
      <c r="B105" s="15" t="inlineStr">
        <is>
          <t>React development mode that double-invokes effects to reveal bugs.</t>
        </is>
      </c>
      <c r="C105" s="41" t="inlineStr">
        <is>
          <t>L06</t>
        </is>
      </c>
    </row>
    <row r="106" ht="16.6" customHeight="1">
      <c r="A106" s="19" t="inlineStr">
        <is>
          <t>Structured outputs</t>
        </is>
      </c>
      <c r="B106" s="15" t="inlineStr">
        <is>
          <t>LLM API feature returning JSON validated against a schema.</t>
        </is>
      </c>
      <c r="C106" s="41" t="inlineStr">
        <is>
          <t>L56</t>
        </is>
      </c>
    </row>
    <row r="107" ht="16.6" customHeight="1">
      <c r="A107" s="19" t="inlineStr">
        <is>
          <t>Template (NLG)</t>
        </is>
      </c>
      <c r="B107" s="15" t="inlineStr">
        <is>
          <t>Sentence with slots filled from data.</t>
        </is>
      </c>
      <c r="C107" s="41" t="inlineStr">
        <is>
          <t>L40</t>
        </is>
      </c>
    </row>
    <row r="108" ht="16.6" customHeight="1">
      <c r="A108" s="19" t="inlineStr">
        <is>
          <t>Transaction</t>
        </is>
      </c>
      <c r="B108" s="15" t="inlineStr">
        <is>
          <t>Group of SQL statements that succeed or fail together.</t>
        </is>
      </c>
      <c r="C108" s="41" t="inlineStr">
        <is>
          <t>L14</t>
        </is>
      </c>
    </row>
    <row r="109" ht="16.6" customHeight="1">
      <c r="A109" s="19" t="inlineStr">
        <is>
          <t>UCI (move)</t>
        </is>
      </c>
      <c r="B109" s="15" t="inlineStr">
        <is>
          <t>Engine move notation: from + to (+ promotion), e.g. e7e8q.</t>
        </is>
      </c>
      <c r="C109" s="41" t="inlineStr">
        <is>
          <t>L09</t>
        </is>
      </c>
    </row>
    <row r="110" ht="16.6" customHeight="1">
      <c r="A110" s="19" t="inlineStr">
        <is>
          <t>UCI (protocol)</t>
        </is>
      </c>
      <c r="B110" s="15" t="inlineStr">
        <is>
          <t>Text protocol for talking to chess engines.</t>
        </is>
      </c>
      <c r="C110" s="41" t="inlineStr">
        <is>
          <t>L10</t>
        </is>
      </c>
    </row>
    <row r="111" ht="16.6" customHeight="1">
      <c r="A111" s="19" t="inlineStr">
        <is>
          <t>uv</t>
        </is>
      </c>
      <c r="B111" s="15" t="inlineStr">
        <is>
          <t>Fast Python package and project manager.</t>
        </is>
      </c>
      <c r="C111" s="41" t="inlineStr">
        <is>
          <t>L04</t>
        </is>
      </c>
    </row>
    <row r="112" ht="16.6" customHeight="1">
      <c r="A112" s="19" t="inlineStr">
        <is>
          <t>Verification</t>
        </is>
      </c>
      <c r="B112" s="15" t="inlineStr">
        <is>
          <t>Expensive check that a candidate really is a beneficial tactic.</t>
        </is>
      </c>
      <c r="C112" s="41" t="inlineStr">
        <is>
          <t>L38</t>
        </is>
      </c>
    </row>
    <row r="113" ht="16.6" customHeight="1">
      <c r="A113" s="19" t="inlineStr">
        <is>
          <t>Vite</t>
        </is>
      </c>
      <c r="B113" s="15" t="inlineStr">
        <is>
          <t>Frontend build tool and dev server.</t>
        </is>
      </c>
      <c r="C113" s="41" t="inlineStr">
        <is>
          <t>L07</t>
        </is>
      </c>
    </row>
    <row r="114" ht="16.6" customHeight="1">
      <c r="A114" s="19" t="inlineStr">
        <is>
          <t>WASM</t>
        </is>
      </c>
      <c r="B114" s="15" t="inlineStr">
        <is>
          <t>WebAssembly: compiled code running in the browser at near-native speed.</t>
        </is>
      </c>
      <c r="C114" s="41" t="inlineStr">
        <is>
          <t>L08</t>
        </is>
      </c>
    </row>
    <row r="115" ht="16.6" customHeight="1">
      <c r="A115" s="19" t="inlineStr">
        <is>
          <t>Web Worker</t>
        </is>
      </c>
      <c r="B115" s="15" t="inlineStr">
        <is>
          <t>Background thread for JavaScript in the browser.</t>
        </is>
      </c>
      <c r="C115" s="41" t="inlineStr">
        <is>
          <t>L08</t>
        </is>
      </c>
    </row>
    <row r="116" ht="16.6" customHeight="1">
      <c r="A116" s="19" t="inlineStr">
        <is>
          <t>Wilson interval</t>
        </is>
      </c>
      <c r="B116" s="15" t="inlineStr">
        <is>
          <t>Confidence interval for a proportion that behaves well for small samples.</t>
        </is>
      </c>
      <c r="C116" s="41" t="inlineStr">
        <is>
          <t>L44</t>
        </is>
      </c>
    </row>
    <row r="117" ht="16.6" customHeight="1">
      <c r="A117" s="19" t="inlineStr">
        <is>
          <t>Worker (backend)</t>
        </is>
      </c>
      <c r="B117" s="15" t="inlineStr">
        <is>
          <t>Separate process that claims and runs background jobs.</t>
        </is>
      </c>
      <c r="C117" s="41" t="inlineStr">
        <is>
          <t>L27</t>
        </is>
      </c>
    </row>
    <row r="118" ht="16.6" customHeight="1">
      <c r="A118" s="19" t="inlineStr">
        <is>
          <t>WSL2</t>
        </is>
      </c>
      <c r="B118" s="15" t="inlineStr">
        <is>
          <t>Windows Subsystem for Linux; Docker Desktop runs Linux containers in it.</t>
        </is>
      </c>
      <c r="C118" s="41" t="inlineStr">
        <is>
          <t>L15</t>
        </is>
      </c>
    </row>
  </sheetData>
  <autoFilter ref="A1:C118"/>
  <hyperlinks>
    <hyperlink ref="C2" location="'Lesson Notes'!A361" display="L17"/>
    <hyperlink ref="C3" location="'Lesson Notes'!A200" display="L10"/>
    <hyperlink ref="C4" location="'Lesson Notes'!A245" display="L12"/>
    <hyperlink ref="C5" location="'Lesson Notes'!A458" display="L22"/>
    <hyperlink ref="C6" location="'Lesson Notes'!A573" display="L28"/>
    <hyperlink ref="C7" location="'Lesson Notes'!A594" display="L29"/>
    <hyperlink ref="C8" location="'Lesson Notes'!A402" display="L19"/>
    <hyperlink ref="C9" location="'Lesson Notes'!A1106" display="L57"/>
    <hyperlink ref="C10" location="'Lesson Notes'!A901" display="L46"/>
    <hyperlink ref="C11" location="'Lesson Notes'!A901" display="L46"/>
    <hyperlink ref="C12" location="'Lesson Notes'!A762" display="L38"/>
    <hyperlink ref="C13" location="'Lesson Notes'!A291" display="L14"/>
    <hyperlink ref="C14" location="'Lesson Notes'!A705" display="L35"/>
    <hyperlink ref="C15" location="'Lesson Notes'!A958" display="L49"/>
    <hyperlink ref="C16" location="'Lesson Notes'!A573" display="L28"/>
    <hyperlink ref="C17" location="'Lesson Notes'!A160" display="L08"/>
    <hyperlink ref="C18" location="'Lesson Notes'!A931" display="L48"/>
    <hyperlink ref="C19" location="'Lesson Notes'!A50" display="L03"/>
    <hyperlink ref="C20" location="'Lesson Notes'!A115" display="L06"/>
    <hyperlink ref="C21" location="'Lesson Notes'!A829" display="L42"/>
    <hyperlink ref="C22" location="'Lesson Notes'!A866" display="L44"/>
    <hyperlink ref="C23" location="'Lesson Notes'!A315" display="L15"/>
    <hyperlink ref="C24" location="'Lesson Notes'!A439" display="L21"/>
    <hyperlink ref="C25" location="'Lesson Notes'!A978" display="L50"/>
    <hyperlink ref="C26" location="'Lesson Notes'!A594" display="L29"/>
    <hyperlink ref="C27" location="'Lesson Notes'!A265" display="L13"/>
    <hyperlink ref="C28" location="'Lesson Notes'!A539" display="L26"/>
    <hyperlink ref="C29" location="'Lesson Notes'!A829" display="L42"/>
    <hyperlink ref="C30" location="'Lesson Notes'!A245" display="L12"/>
    <hyperlink ref="C31" location="'Lesson Notes'!A476" display="L23"/>
    <hyperlink ref="C32" location="'Lesson Notes'!A778" display="L39"/>
    <hyperlink ref="C33" location="'Lesson Notes'!A361" display="L17"/>
    <hyperlink ref="C34" location="'Lesson Notes'!A829" display="L42"/>
    <hyperlink ref="C35" location="'Lesson Notes'!A849" display="L43"/>
    <hyperlink ref="C36" location="'Lesson Notes'!A265" display="L13"/>
    <hyperlink ref="C37" location="'Lesson Notes'!A180" display="L09"/>
    <hyperlink ref="C38" location="'Lesson Notes'!A573" display="L28"/>
    <hyperlink ref="C39" location="'Lesson Notes'!A476" display="L23"/>
    <hyperlink ref="C40" location="'Lesson Notes'!A336" display="L16"/>
    <hyperlink ref="C41" location="'Lesson Notes'!A573" display="L28"/>
    <hyperlink ref="C42" location="'Lesson Notes'!A725" display="L36"/>
    <hyperlink ref="C43" location="'Lesson Notes'!A25" display="L02"/>
    <hyperlink ref="C44" location="'Lesson Notes'!A1081" display="L56"/>
    <hyperlink ref="C45" location="'Lesson Notes'!A725" display="L36"/>
    <hyperlink ref="C46" location="'Lesson Notes'!A1015" display="L52"/>
    <hyperlink ref="C47" location="'Lesson Notes'!A573" display="L28"/>
    <hyperlink ref="C48" location="'Lesson Notes'!A200" display="L10"/>
    <hyperlink ref="C49" location="'Lesson Notes'!A644" display="L32"/>
    <hyperlink ref="C50" location="'Lesson Notes'!A594" display="L29"/>
    <hyperlink ref="C51" location="'Lesson Notes'!A423" display="L20"/>
    <hyperlink ref="C52" location="'Lesson Notes'!A315" display="L15"/>
    <hyperlink ref="C53" location="'Lesson Notes'!A291" display="L14"/>
    <hyperlink ref="C54" location="'Lesson Notes'!A594" display="L29"/>
    <hyperlink ref="C55" location="'Lesson Notes'!A291" display="L14"/>
    <hyperlink ref="C56" location="'Lesson Notes'!A829" display="L42"/>
    <hyperlink ref="C57" location="'Lesson Notes'!A886" display="L45"/>
    <hyperlink ref="C58" location="'Lesson Notes'!A573" display="L28"/>
    <hyperlink ref="C59" location="'Lesson Notes'!A72" display="L04"/>
    <hyperlink ref="C60" location="'Lesson Notes'!A901" display="L46"/>
    <hyperlink ref="C61" location="'Lesson Notes'!A807" display="L41"/>
    <hyperlink ref="C62" location="'Lesson Notes'!A725" display="L36"/>
    <hyperlink ref="C63" location="'Lesson Notes'!A1140" display="L59"/>
    <hyperlink ref="C64" location="'Lesson Notes'!A361" display="L17"/>
    <hyperlink ref="C65" location="'Lesson Notes'!A200" display="L10"/>
    <hyperlink ref="C66" location="'Lesson Notes'!A25" display="L02"/>
    <hyperlink ref="C67" location="'Lesson Notes'!A644" display="L32"/>
    <hyperlink ref="C68" location="'Lesson Notes'!A744" display="L37"/>
    <hyperlink ref="C69" location="'Lesson Notes'!A402" display="L19"/>
    <hyperlink ref="C70" location="'Lesson Notes'!A265" display="L13"/>
    <hyperlink ref="C71" location="'Lesson Notes'!A3" display="L01"/>
    <hyperlink ref="C72" location="'Lesson Notes'!A50" display="L03"/>
    <hyperlink ref="C73" location="'Lesson Notes'!A931" display="L48"/>
    <hyperlink ref="C74" location="'Lesson Notes'!A180" display="L09"/>
    <hyperlink ref="C75" location="'Lesson Notes'!A778" display="L39"/>
    <hyperlink ref="C76" location="'Lesson Notes'!A180" display="L09"/>
    <hyperlink ref="C77" location="'Lesson Notes'!A629" display="L31"/>
    <hyperlink ref="C78" location="'Lesson Notes'!A807" display="L41"/>
    <hyperlink ref="C79" location="'Lesson Notes'!A25" display="L02"/>
    <hyperlink ref="C80" location="'Lesson Notes'!A705" display="L35"/>
    <hyperlink ref="C81" location="'Lesson Notes'!A866" display="L44"/>
    <hyperlink ref="C82" location="'Lesson Notes'!A439" display="L21"/>
    <hyperlink ref="C83" location="'Lesson Notes'!A705" display="L35"/>
    <hyperlink ref="C84" location="'Lesson Notes'!A555" display="L27"/>
    <hyperlink ref="C85" location="'Lesson Notes'!A115" display="L06"/>
    <hyperlink ref="C86" location="'Lesson Notes'!A829" display="L42"/>
    <hyperlink ref="C87" location="'Lesson Notes'!A265" display="L13"/>
    <hyperlink ref="C88" location="'Lesson Notes'!A200" display="L10"/>
    <hyperlink ref="C89" location="'Lesson Notes'!A612" display="L30"/>
    <hyperlink ref="C90" location="'Lesson Notes'!A978" display="L50"/>
    <hyperlink ref="C91" location="'Lesson Notes'!A1140" display="L59"/>
    <hyperlink ref="C92" location="'Lesson Notes'!A866" display="L44"/>
    <hyperlink ref="C93" location="'Lesson Notes'!A115" display="L06"/>
    <hyperlink ref="C94" location="'Lesson Notes'!A476" display="L23"/>
    <hyperlink ref="C95" location="'Lesson Notes'!A807" display="L41"/>
    <hyperlink ref="C96" location="'Lesson Notes'!A684" display="L34"/>
    <hyperlink ref="C97" location="'Lesson Notes'!A180" display="L09"/>
    <hyperlink ref="C98" location="'Lesson Notes'!A336" display="L16"/>
    <hyperlink ref="C99" location="'Lesson Notes'!A402" display="L19"/>
    <hyperlink ref="C100" location="'Lesson Notes'!A141" display="L07"/>
    <hyperlink ref="C101" location="'Lesson Notes'!A336" display="L16"/>
    <hyperlink ref="C102" location="'Lesson Notes'!A978" display="L50"/>
    <hyperlink ref="C103" location="'Lesson Notes'!A115" display="L06"/>
    <hyperlink ref="C104" location="'Lesson Notes'!A200" display="L10"/>
    <hyperlink ref="C105" location="'Lesson Notes'!A115" display="L06"/>
    <hyperlink ref="C106" location="'Lesson Notes'!A1081" display="L56"/>
    <hyperlink ref="C107" location="'Lesson Notes'!A793" display="L40"/>
    <hyperlink ref="C108" location="'Lesson Notes'!A291" display="L14"/>
    <hyperlink ref="C109" location="'Lesson Notes'!A180" display="L09"/>
    <hyperlink ref="C110" location="'Lesson Notes'!A200" display="L10"/>
    <hyperlink ref="C111" location="'Lesson Notes'!A72" display="L04"/>
    <hyperlink ref="C112" location="'Lesson Notes'!A762" display="L38"/>
    <hyperlink ref="C113" location="'Lesson Notes'!A141" display="L07"/>
    <hyperlink ref="C114" location="'Lesson Notes'!A160" display="L08"/>
    <hyperlink ref="C115" location="'Lesson Notes'!A160" display="L08"/>
    <hyperlink ref="C116" location="'Lesson Notes'!A866" display="L44"/>
    <hyperlink ref="C117" location="'Lesson Notes'!A555" display="L27"/>
    <hyperlink ref="C118" location="'Lesson Notes'!A315" display="L15"/>
  </hyperlinks>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D182"/>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56" customWidth="1" min="3" max="3"/>
    <col width="70" customWidth="1" min="4" max="4"/>
  </cols>
  <sheetData>
    <row r="1" ht="30" customHeight="1">
      <c r="A1" s="13" t="inlineStr">
        <is>
          <t>Lesson</t>
        </is>
      </c>
      <c r="B1" s="13" t="inlineStr">
        <is>
          <t>Lesson title</t>
        </is>
      </c>
      <c r="C1" s="13" t="inlineStr">
        <is>
          <t>Resource</t>
        </is>
      </c>
      <c r="D1" s="13" t="inlineStr">
        <is>
          <t>Link (click)</t>
        </is>
      </c>
    </row>
    <row r="2" ht="29.2" customHeight="1">
      <c r="A2" s="15" t="inlineStr">
        <is>
          <t>L01</t>
        </is>
      </c>
      <c r="B2" s="15" t="inlineStr">
        <is>
          <t>How the web works: browsers, servers, HTTP and JSON</t>
        </is>
      </c>
      <c r="C2" s="19" t="inlineStr">
        <is>
          <t>MDN: An overview of HTTP</t>
        </is>
      </c>
      <c r="D2" s="41" t="inlineStr">
        <is>
          <t>https://developer.mozilla.org/en-US/docs/Web/HTTP/Overview</t>
        </is>
      </c>
    </row>
    <row r="3" ht="29.2" customHeight="1">
      <c r="A3" s="15" t="inlineStr">
        <is>
          <t>L01</t>
        </is>
      </c>
      <c r="B3" s="15" t="inlineStr">
        <is>
          <t>How the web works: browsers, servers, HTTP and JSON</t>
        </is>
      </c>
      <c r="C3" s="19" t="inlineStr">
        <is>
          <t>MDN: HTTP response status codes</t>
        </is>
      </c>
      <c r="D3" s="41" t="inlineStr">
        <is>
          <t>https://developer.mozilla.org/en-US/docs/Web/HTTP/Status</t>
        </is>
      </c>
    </row>
    <row r="4" ht="29.2" customHeight="1">
      <c r="A4" s="15" t="inlineStr">
        <is>
          <t>L01</t>
        </is>
      </c>
      <c r="B4" s="15" t="inlineStr">
        <is>
          <t>How the web works: browsers, servers, HTTP and JSON</t>
        </is>
      </c>
      <c r="C4" s="19" t="inlineStr">
        <is>
          <t>MDN: Learn web development</t>
        </is>
      </c>
      <c r="D4" s="41" t="inlineStr">
        <is>
          <t>https://developer.mozilla.org/en-US/docs/Learn_web_development</t>
        </is>
      </c>
    </row>
    <row r="5" ht="29.2" customHeight="1">
      <c r="A5" s="15" t="inlineStr">
        <is>
          <t>L01</t>
        </is>
      </c>
      <c r="B5" s="15" t="inlineStr">
        <is>
          <t>How the web works: browsers, servers, HTTP and JSON</t>
        </is>
      </c>
      <c r="C5" s="19" t="inlineStr">
        <is>
          <t>Full Stack Open (free university course)</t>
        </is>
      </c>
      <c r="D5" s="41" t="inlineStr">
        <is>
          <t>https://fullstackopen.com/en/</t>
        </is>
      </c>
    </row>
    <row r="6" ht="29.2" customHeight="1">
      <c r="A6" s="15" t="inlineStr">
        <is>
          <t>L02</t>
        </is>
      </c>
      <c r="B6" s="15" t="inlineStr">
        <is>
          <t>The terminal on Windows: Git Bash, paths and environment variables</t>
        </is>
      </c>
      <c r="C6" s="19" t="inlineStr">
        <is>
          <t>Git for Windows (includes Git Bash)</t>
        </is>
      </c>
      <c r="D6" s="41" t="inlineStr">
        <is>
          <t>https://gitforwindows.org/</t>
        </is>
      </c>
    </row>
    <row r="7" ht="29.2" customHeight="1">
      <c r="A7" s="15" t="inlineStr">
        <is>
          <t>L02</t>
        </is>
      </c>
      <c r="B7" s="15" t="inlineStr">
        <is>
          <t>The terminal on Windows: Git Bash, paths and environment variables</t>
        </is>
      </c>
      <c r="C7" s="19" t="inlineStr">
        <is>
          <t>The Missing Semester (MIT): the shell</t>
        </is>
      </c>
      <c r="D7" s="41" t="inlineStr">
        <is>
          <t>https://missing.csail.mit.edu/2020/course-shell/</t>
        </is>
      </c>
    </row>
    <row r="8" ht="29.2" customHeight="1">
      <c r="A8" s="15" t="inlineStr">
        <is>
          <t>L02</t>
        </is>
      </c>
      <c r="B8" s="15" t="inlineStr">
        <is>
          <t>The terminal on Windows: Git Bash, paths and environment variables</t>
        </is>
      </c>
      <c r="C8" s="19" t="inlineStr">
        <is>
          <t>GNU Bash manual</t>
        </is>
      </c>
      <c r="D8" s="41" t="inlineStr">
        <is>
          <t>https://www.gnu.org/software/bash/manual/bash.html</t>
        </is>
      </c>
    </row>
    <row r="9" ht="29.2" customHeight="1">
      <c r="A9" s="15" t="inlineStr">
        <is>
          <t>L02</t>
        </is>
      </c>
      <c r="B9" s="15" t="inlineStr">
        <is>
          <t>The terminal on Windows: Git Bash, paths and environment variables</t>
        </is>
      </c>
      <c r="C9" s="19" t="inlineStr">
        <is>
          <t>VS Code: integrated terminal profiles</t>
        </is>
      </c>
      <c r="D9" s="41" t="inlineStr">
        <is>
          <t>https://code.visualstudio.com/docs/terminal/profiles</t>
        </is>
      </c>
    </row>
    <row r="10" ht="16.6" customHeight="1">
      <c r="A10" s="15" t="inlineStr">
        <is>
          <t>L03</t>
        </is>
      </c>
      <c r="B10" s="15" t="inlineStr">
        <is>
          <t>Git and GitHub: commits, branches, pull requests</t>
        </is>
      </c>
      <c r="C10" s="19" t="inlineStr">
        <is>
          <t>Pro Git book (free)</t>
        </is>
      </c>
      <c r="D10" s="41" t="inlineStr">
        <is>
          <t>https://git-scm.com/book/en/v2</t>
        </is>
      </c>
    </row>
    <row r="11" ht="16.6" customHeight="1">
      <c r="A11" s="15" t="inlineStr">
        <is>
          <t>L03</t>
        </is>
      </c>
      <c r="B11" s="15" t="inlineStr">
        <is>
          <t>Git and GitHub: commits, branches, pull requests</t>
        </is>
      </c>
      <c r="C11" s="19" t="inlineStr">
        <is>
          <t>Learn Git Branching (interactive)</t>
        </is>
      </c>
      <c r="D11" s="41" t="inlineStr">
        <is>
          <t>https://learngitbranching.js.org/</t>
        </is>
      </c>
    </row>
    <row r="12" ht="29.2" customHeight="1">
      <c r="A12" s="15" t="inlineStr">
        <is>
          <t>L03</t>
        </is>
      </c>
      <c r="B12" s="15" t="inlineStr">
        <is>
          <t>Git and GitHub: commits, branches, pull requests</t>
        </is>
      </c>
      <c r="C12" s="19" t="inlineStr">
        <is>
          <t>GitHub Docs: About pull requests</t>
        </is>
      </c>
      <c r="D12" s="41" t="inlineStr">
        <is>
          <t>https://docs.github.com/en/pull-requests/collaborating-with-pull-requests/proposing-changes-to-your-work-with-pull-requests/about-pull-requests</t>
        </is>
      </c>
    </row>
    <row r="13" ht="16.6" customHeight="1">
      <c r="A13" s="15" t="inlineStr">
        <is>
          <t>L03</t>
        </is>
      </c>
      <c r="B13" s="15" t="inlineStr">
        <is>
          <t>Git and GitHub: commits, branches, pull requests</t>
        </is>
      </c>
      <c r="C13" s="19" t="inlineStr">
        <is>
          <t>Conventional Commits</t>
        </is>
      </c>
      <c r="D13" s="41" t="inlineStr">
        <is>
          <t>https://www.conventionalcommits.org/</t>
        </is>
      </c>
    </row>
    <row r="14" ht="29.2" customHeight="1">
      <c r="A14" s="15" t="inlineStr">
        <is>
          <t>L04</t>
        </is>
      </c>
      <c r="B14" s="15" t="inlineStr">
        <is>
          <t>Package managers and lockfiles (npm for JavaScript, uv for Python)</t>
        </is>
      </c>
      <c r="C14" s="19" t="inlineStr">
        <is>
          <t>uv documentation</t>
        </is>
      </c>
      <c r="D14" s="41" t="inlineStr">
        <is>
          <t>https://docs.astral.sh/uv/</t>
        </is>
      </c>
    </row>
    <row r="15" ht="29.2" customHeight="1">
      <c r="A15" s="15" t="inlineStr">
        <is>
          <t>L04</t>
        </is>
      </c>
      <c r="B15" s="15" t="inlineStr">
        <is>
          <t>Package managers and lockfiles (npm for JavaScript, uv for Python)</t>
        </is>
      </c>
      <c r="C15" s="19" t="inlineStr">
        <is>
          <t>npm Docs: package-lock.json</t>
        </is>
      </c>
      <c r="D15" s="41" t="inlineStr">
        <is>
          <t>https://docs.npmjs.com/cli/v10/configuring-npm/package-lock-json</t>
        </is>
      </c>
    </row>
    <row r="16" ht="29.2" customHeight="1">
      <c r="A16" s="15" t="inlineStr">
        <is>
          <t>L04</t>
        </is>
      </c>
      <c r="B16" s="15" t="inlineStr">
        <is>
          <t>Package managers and lockfiles (npm for JavaScript, uv for Python)</t>
        </is>
      </c>
      <c r="C16" s="19" t="inlineStr">
        <is>
          <t>Semantic Versioning</t>
        </is>
      </c>
      <c r="D16" s="41" t="inlineStr">
        <is>
          <t>https://semver.org/</t>
        </is>
      </c>
    </row>
    <row r="17" ht="16.6" customHeight="1">
      <c r="A17" s="15" t="inlineStr">
        <is>
          <t>L05</t>
        </is>
      </c>
      <c r="B17" s="15" t="inlineStr">
        <is>
          <t>TypeScript essentials for this project</t>
        </is>
      </c>
      <c r="C17" s="19" t="inlineStr">
        <is>
          <t>TypeScript Handbook</t>
        </is>
      </c>
      <c r="D17" s="41" t="inlineStr">
        <is>
          <t>https://www.typescriptlang.org/docs/handbook/intro.html</t>
        </is>
      </c>
    </row>
    <row r="18" ht="16.6" customHeight="1">
      <c r="A18" s="15" t="inlineStr">
        <is>
          <t>L05</t>
        </is>
      </c>
      <c r="B18" s="15" t="inlineStr">
        <is>
          <t>TypeScript essentials for this project</t>
        </is>
      </c>
      <c r="C18" s="19" t="inlineStr">
        <is>
          <t>TypeScript for JavaScript Programmers</t>
        </is>
      </c>
      <c r="D18" s="41" t="inlineStr">
        <is>
          <t>https://www.typescriptlang.org/docs/handbook/typescript-in-5-minutes.html</t>
        </is>
      </c>
    </row>
    <row r="19" ht="29.2" customHeight="1">
      <c r="A19" s="15" t="inlineStr">
        <is>
          <t>L05</t>
        </is>
      </c>
      <c r="B19" s="15" t="inlineStr">
        <is>
          <t>TypeScript essentials for this project</t>
        </is>
      </c>
      <c r="C19" s="19" t="inlineStr">
        <is>
          <t>MDN: async function</t>
        </is>
      </c>
      <c r="D19" s="41" t="inlineStr">
        <is>
          <t>https://developer.mozilla.org/en-US/docs/Web/JavaScript/Reference/Statements/async_function</t>
        </is>
      </c>
    </row>
    <row r="20" ht="29.2" customHeight="1">
      <c r="A20" s="15" t="inlineStr">
        <is>
          <t>L06</t>
        </is>
      </c>
      <c r="B20" s="15" t="inlineStr">
        <is>
          <t>React fundamentals: components, props, state, effects and refs</t>
        </is>
      </c>
      <c r="C20" s="19" t="inlineStr">
        <is>
          <t>react.dev: Learn React</t>
        </is>
      </c>
      <c r="D20" s="41" t="inlineStr">
        <is>
          <t>https://react.dev/learn</t>
        </is>
      </c>
    </row>
    <row r="21" ht="29.2" customHeight="1">
      <c r="A21" s="15" t="inlineStr">
        <is>
          <t>L06</t>
        </is>
      </c>
      <c r="B21" s="15" t="inlineStr">
        <is>
          <t>React fundamentals: components, props, state, effects and refs</t>
        </is>
      </c>
      <c r="C21" s="19" t="inlineStr">
        <is>
          <t>react.dev: Synchronizing with Effects</t>
        </is>
      </c>
      <c r="D21" s="41" t="inlineStr">
        <is>
          <t>https://react.dev/learn/synchronizing-with-effects</t>
        </is>
      </c>
    </row>
    <row r="22" ht="29.2" customHeight="1">
      <c r="A22" s="15" t="inlineStr">
        <is>
          <t>L06</t>
        </is>
      </c>
      <c r="B22" s="15" t="inlineStr">
        <is>
          <t>React fundamentals: components, props, state, effects and refs</t>
        </is>
      </c>
      <c r="C22" s="19" t="inlineStr">
        <is>
          <t>react.dev: Referencing values with Refs</t>
        </is>
      </c>
      <c r="D22" s="41" t="inlineStr">
        <is>
          <t>https://react.dev/learn/referencing-values-with-refs</t>
        </is>
      </c>
    </row>
    <row r="23" ht="29.2" customHeight="1">
      <c r="A23" s="15" t="inlineStr">
        <is>
          <t>L06</t>
        </is>
      </c>
      <c r="B23" s="15" t="inlineStr">
        <is>
          <t>React fundamentals: components, props, state, effects and refs</t>
        </is>
      </c>
      <c r="C23" s="19" t="inlineStr">
        <is>
          <t>react.dev: You Might Not Need an Effect</t>
        </is>
      </c>
      <c r="D23" s="41" t="inlineStr">
        <is>
          <t>https://react.dev/learn/you-might-not-need-an-effect</t>
        </is>
      </c>
    </row>
    <row r="24" ht="29.2" customHeight="1">
      <c r="A24" s="15" t="inlineStr">
        <is>
          <t>L06</t>
        </is>
      </c>
      <c r="B24" s="15" t="inlineStr">
        <is>
          <t>React fundamentals: components, props, state, effects and refs</t>
        </is>
      </c>
      <c r="C24" s="19" t="inlineStr">
        <is>
          <t>React Router v6 tutorial</t>
        </is>
      </c>
      <c r="D24" s="41" t="inlineStr">
        <is>
          <t>https://reactrouter.com/6.30.0/start/tutorial</t>
        </is>
      </c>
    </row>
    <row r="25" ht="16.6" customHeight="1">
      <c r="A25" s="15" t="inlineStr">
        <is>
          <t>L07</t>
        </is>
      </c>
      <c r="B25" s="15" t="inlineStr">
        <is>
          <t>Vite, dev servers and production builds</t>
        </is>
      </c>
      <c r="C25" s="19" t="inlineStr">
        <is>
          <t>Vite Guide</t>
        </is>
      </c>
      <c r="D25" s="41" t="inlineStr">
        <is>
          <t>https://vite.dev/guide/</t>
        </is>
      </c>
    </row>
    <row r="26" ht="16.6" customHeight="1">
      <c r="A26" s="15" t="inlineStr">
        <is>
          <t>L07</t>
        </is>
      </c>
      <c r="B26" s="15" t="inlineStr">
        <is>
          <t>Vite, dev servers and production builds</t>
        </is>
      </c>
      <c r="C26" s="19" t="inlineStr">
        <is>
          <t>Vite: Env Variables and Modes</t>
        </is>
      </c>
      <c r="D26" s="41" t="inlineStr">
        <is>
          <t>https://vite.dev/guide/env-and-mode</t>
        </is>
      </c>
    </row>
    <row r="27" ht="16.6" customHeight="1">
      <c r="A27" s="15" t="inlineStr">
        <is>
          <t>L07</t>
        </is>
      </c>
      <c r="B27" s="15" t="inlineStr">
        <is>
          <t>Vite, dev servers and production builds</t>
        </is>
      </c>
      <c r="C27" s="19" t="inlineStr">
        <is>
          <t>Vercel: Vite on Vercel</t>
        </is>
      </c>
      <c r="D27" s="41" t="inlineStr">
        <is>
          <t>https://vercel.com/docs/frameworks/frontend/vite</t>
        </is>
      </c>
    </row>
    <row r="28" ht="29.2" customHeight="1">
      <c r="A28" s="15" t="inlineStr">
        <is>
          <t>L08</t>
        </is>
      </c>
      <c r="B28" s="15" t="inlineStr">
        <is>
          <t>Web Workers: keeping the page responsive while an engine thinks</t>
        </is>
      </c>
      <c r="C28" s="19" t="inlineStr">
        <is>
          <t>MDN: Using Web Workers</t>
        </is>
      </c>
      <c r="D28" s="41" t="inlineStr">
        <is>
          <t>https://developer.mozilla.org/en-US/docs/Web/API/Web_Workers_API/Using_web_workers</t>
        </is>
      </c>
    </row>
    <row r="29" ht="29.2" customHeight="1">
      <c r="A29" s="15" t="inlineStr">
        <is>
          <t>L08</t>
        </is>
      </c>
      <c r="B29" s="15" t="inlineStr">
        <is>
          <t>Web Workers: keeping the page responsive while an engine thinks</t>
        </is>
      </c>
      <c r="C29" s="19" t="inlineStr">
        <is>
          <t>stockfish.js (WASM build) on GitHub</t>
        </is>
      </c>
      <c r="D29" s="41" t="inlineStr">
        <is>
          <t>https://github.com/nmrugg/stockfish.js</t>
        </is>
      </c>
    </row>
    <row r="30" ht="29.2" customHeight="1">
      <c r="A30" s="15" t="inlineStr">
        <is>
          <t>L08</t>
        </is>
      </c>
      <c r="B30" s="15" t="inlineStr">
        <is>
          <t>Web Workers: keeping the page responsive while an engine thinks</t>
        </is>
      </c>
      <c r="C30" s="19" t="inlineStr">
        <is>
          <t>MDN: WebAssembly concepts</t>
        </is>
      </c>
      <c r="D30" s="41" t="inlineStr">
        <is>
          <t>https://developer.mozilla.org/en-US/docs/WebAssembly/Concepts</t>
        </is>
      </c>
    </row>
    <row r="31" ht="29.2" customHeight="1">
      <c r="A31" s="15" t="inlineStr">
        <is>
          <t>L09</t>
        </is>
      </c>
      <c r="B31" s="15" t="inlineStr">
        <is>
          <t>Chess notation for programmers: FEN, PGN, SAN and UCI</t>
        </is>
      </c>
      <c r="C31" s="19" t="inlineStr">
        <is>
          <t>Chess Programming Wiki: FEN</t>
        </is>
      </c>
      <c r="D31" s="41" t="inlineStr">
        <is>
          <t>https://www.chessprogramming.org/Forsyth-Edwards_Notation</t>
        </is>
      </c>
    </row>
    <row r="32" ht="29.2" customHeight="1">
      <c r="A32" s="15" t="inlineStr">
        <is>
          <t>L09</t>
        </is>
      </c>
      <c r="B32" s="15" t="inlineStr">
        <is>
          <t>Chess notation for programmers: FEN, PGN, SAN and UCI</t>
        </is>
      </c>
      <c r="C32" s="19" t="inlineStr">
        <is>
          <t>PGN specification (archive)</t>
        </is>
      </c>
      <c r="D32" s="41" t="inlineStr">
        <is>
          <t>https://www.saremba.de/chessgml/standards/pgn/pgn-complete.htm</t>
        </is>
      </c>
    </row>
    <row r="33" ht="29.2" customHeight="1">
      <c r="A33" s="15" t="inlineStr">
        <is>
          <t>L09</t>
        </is>
      </c>
      <c r="B33" s="15" t="inlineStr">
        <is>
          <t>Chess notation for programmers: FEN, PGN, SAN and UCI</t>
        </is>
      </c>
      <c r="C33" s="19" t="inlineStr">
        <is>
          <t>Chess Programming Wiki: Algebraic Chess Notation</t>
        </is>
      </c>
      <c r="D33" s="41" t="inlineStr">
        <is>
          <t>https://www.chessprogramming.org/Algebraic_Chess_Notation</t>
        </is>
      </c>
    </row>
    <row r="34" ht="29.2" customHeight="1">
      <c r="A34" s="15" t="inlineStr">
        <is>
          <t>L10</t>
        </is>
      </c>
      <c r="B34" s="15" t="inlineStr">
        <is>
          <t>How chess engines work: minimax, alpha-beta, evaluation, and Stockfish over UCI</t>
        </is>
      </c>
      <c r="C34" s="19" t="inlineStr">
        <is>
          <t>Chess Programming Wiki: Minimax</t>
        </is>
      </c>
      <c r="D34" s="41" t="inlineStr">
        <is>
          <t>https://www.chessprogramming.org/Minimax</t>
        </is>
      </c>
    </row>
    <row r="35" ht="29.2" customHeight="1">
      <c r="A35" s="15" t="inlineStr">
        <is>
          <t>L10</t>
        </is>
      </c>
      <c r="B35" s="15" t="inlineStr">
        <is>
          <t>How chess engines work: minimax, alpha-beta, evaluation, and Stockfish over UCI</t>
        </is>
      </c>
      <c r="C35" s="19" t="inlineStr">
        <is>
          <t>Chess Programming Wiki: Alpha-Beta</t>
        </is>
      </c>
      <c r="D35" s="41" t="inlineStr">
        <is>
          <t>https://www.chessprogramming.org/Alpha-Beta</t>
        </is>
      </c>
    </row>
    <row r="36" ht="29.2" customHeight="1">
      <c r="A36" s="15" t="inlineStr">
        <is>
          <t>L10</t>
        </is>
      </c>
      <c r="B36" s="15" t="inlineStr">
        <is>
          <t>How chess engines work: minimax, alpha-beta, evaluation, and Stockfish over UCI</t>
        </is>
      </c>
      <c r="C36" s="19" t="inlineStr">
        <is>
          <t>Chess Programming Wiki: Quiescence Search</t>
        </is>
      </c>
      <c r="D36" s="41" t="inlineStr">
        <is>
          <t>https://www.chessprogramming.org/Quiescence_Search</t>
        </is>
      </c>
    </row>
    <row r="37" ht="29.2" customHeight="1">
      <c r="A37" s="15" t="inlineStr">
        <is>
          <t>L10</t>
        </is>
      </c>
      <c r="B37" s="15" t="inlineStr">
        <is>
          <t>How chess engines work: minimax, alpha-beta, evaluation, and Stockfish over UCI</t>
        </is>
      </c>
      <c r="C37" s="19" t="inlineStr">
        <is>
          <t>UCI protocol description</t>
        </is>
      </c>
      <c r="D37" s="41" t="inlineStr">
        <is>
          <t>https://backscattering.de/chess/uci/</t>
        </is>
      </c>
    </row>
    <row r="38" ht="29.2" customHeight="1">
      <c r="A38" s="15" t="inlineStr">
        <is>
          <t>L10</t>
        </is>
      </c>
      <c r="B38" s="15" t="inlineStr">
        <is>
          <t>How chess engines work: minimax, alpha-beta, evaluation, and Stockfish over UCI</t>
        </is>
      </c>
      <c r="C38" s="19" t="inlineStr">
        <is>
          <t>Stockfish documentation</t>
        </is>
      </c>
      <c r="D38" s="41" t="inlineStr">
        <is>
          <t>https://official-stockfish.github.io/docs/stockfish-wiki/Home.html</t>
        </is>
      </c>
    </row>
    <row r="39" ht="29.2" customHeight="1">
      <c r="A39" s="15" t="inlineStr">
        <is>
          <t>L10</t>
        </is>
      </c>
      <c r="B39" s="15" t="inlineStr">
        <is>
          <t>How chess engines work: minimax, alpha-beta, evaluation, and Stockfish over UCI</t>
        </is>
      </c>
      <c r="C39" s="19" t="inlineStr">
        <is>
          <t>Sunfish (source of your piece-square tables)</t>
        </is>
      </c>
      <c r="D39" s="41" t="inlineStr">
        <is>
          <t>https://github.com/thomasahle/sunfish</t>
        </is>
      </c>
    </row>
    <row r="40" ht="29.2" customHeight="1">
      <c r="A40" s="15" t="inlineStr">
        <is>
          <t>L11</t>
        </is>
      </c>
      <c r="B40" s="15" t="inlineStr">
        <is>
          <t>Python projects: virtual environments, packages, modules and imports (with uv)</t>
        </is>
      </c>
      <c r="C40" s="19" t="inlineStr">
        <is>
          <t>Python tutorial: Modules</t>
        </is>
      </c>
      <c r="D40" s="41" t="inlineStr">
        <is>
          <t>https://docs.python.org/3/tutorial/modules.html</t>
        </is>
      </c>
    </row>
    <row r="41" ht="29.2" customHeight="1">
      <c r="A41" s="15" t="inlineStr">
        <is>
          <t>L11</t>
        </is>
      </c>
      <c r="B41" s="15" t="inlineStr">
        <is>
          <t>Python projects: virtual environments, packages, modules and imports (with uv)</t>
        </is>
      </c>
      <c r="C41" s="19" t="inlineStr">
        <is>
          <t>uv: Working on projects</t>
        </is>
      </c>
      <c r="D41" s="41" t="inlineStr">
        <is>
          <t>https://docs.astral.sh/uv/guides/projects/</t>
        </is>
      </c>
    </row>
    <row r="42" ht="29.2" customHeight="1">
      <c r="A42" s="15" t="inlineStr">
        <is>
          <t>L11</t>
        </is>
      </c>
      <c r="B42" s="15" t="inlineStr">
        <is>
          <t>Python projects: virtual environments, packages, modules and imports (with uv)</t>
        </is>
      </c>
      <c r="C42" s="19" t="inlineStr">
        <is>
          <t>Real Python: Python Type Checking</t>
        </is>
      </c>
      <c r="D42" s="41" t="inlineStr">
        <is>
          <t>https://realpython.com/python-type-checking/</t>
        </is>
      </c>
    </row>
    <row r="43" ht="16.6" customHeight="1">
      <c r="A43" s="15" t="inlineStr">
        <is>
          <t>L12</t>
        </is>
      </c>
      <c r="B43" s="15" t="inlineStr">
        <is>
          <t>Designing a REST API and choosing status codes</t>
        </is>
      </c>
      <c r="C43" s="19" t="inlineStr">
        <is>
          <t>MDN: HTTP request methods</t>
        </is>
      </c>
      <c r="D43" s="41" t="inlineStr">
        <is>
          <t>https://developer.mozilla.org/en-US/docs/Web/HTTP/Methods</t>
        </is>
      </c>
    </row>
    <row r="44" ht="16.6" customHeight="1">
      <c r="A44" s="15" t="inlineStr">
        <is>
          <t>L12</t>
        </is>
      </c>
      <c r="B44" s="15" t="inlineStr">
        <is>
          <t>Designing a REST API and choosing status codes</t>
        </is>
      </c>
      <c r="C44" s="19" t="inlineStr">
        <is>
          <t>Microsoft REST API Guidelines</t>
        </is>
      </c>
      <c r="D44" s="41" t="inlineStr">
        <is>
          <t>https://github.com/microsoft/api-guidelines/blob/vNext/azure/Guidelines.md</t>
        </is>
      </c>
    </row>
    <row r="45" ht="16.6" customHeight="1">
      <c r="A45" s="15" t="inlineStr">
        <is>
          <t>L12</t>
        </is>
      </c>
      <c r="B45" s="15" t="inlineStr">
        <is>
          <t>Designing a REST API and choosing status codes</t>
        </is>
      </c>
      <c r="C45" s="19" t="inlineStr">
        <is>
          <t>Zalando RESTful API Guidelines</t>
        </is>
      </c>
      <c r="D45" s="41" t="inlineStr">
        <is>
          <t>https://opensource.zalando.com/restful-api-guidelines/</t>
        </is>
      </c>
    </row>
    <row r="46" ht="29.2" customHeight="1">
      <c r="A46" s="15" t="inlineStr">
        <is>
          <t>L13</t>
        </is>
      </c>
      <c r="B46" s="15" t="inlineStr">
        <is>
          <t>FastAPI: routes, dependencies, Pydantic models and OpenAPI</t>
        </is>
      </c>
      <c r="C46" s="19" t="inlineStr">
        <is>
          <t>FastAPI Tutorial - User Guide</t>
        </is>
      </c>
      <c r="D46" s="41" t="inlineStr">
        <is>
          <t>https://fastapi.tiangolo.com/tutorial/</t>
        </is>
      </c>
    </row>
    <row r="47" ht="29.2" customHeight="1">
      <c r="A47" s="15" t="inlineStr">
        <is>
          <t>L13</t>
        </is>
      </c>
      <c r="B47" s="15" t="inlineStr">
        <is>
          <t>FastAPI: routes, dependencies, Pydantic models and OpenAPI</t>
        </is>
      </c>
      <c r="C47" s="19" t="inlineStr">
        <is>
          <t>FastAPI: Dependencies</t>
        </is>
      </c>
      <c r="D47" s="41" t="inlineStr">
        <is>
          <t>https://fastapi.tiangolo.com/tutorial/dependencies/</t>
        </is>
      </c>
    </row>
    <row r="48" ht="29.2" customHeight="1">
      <c r="A48" s="15" t="inlineStr">
        <is>
          <t>L13</t>
        </is>
      </c>
      <c r="B48" s="15" t="inlineStr">
        <is>
          <t>FastAPI: routes, dependencies, Pydantic models and OpenAPI</t>
        </is>
      </c>
      <c r="C48" s="19" t="inlineStr">
        <is>
          <t>FastAPI: Bigger Applications (routers)</t>
        </is>
      </c>
      <c r="D48" s="41" t="inlineStr">
        <is>
          <t>https://fastapi.tiangolo.com/tutorial/bigger-applications/</t>
        </is>
      </c>
    </row>
    <row r="49" ht="29.2" customHeight="1">
      <c r="A49" s="15" t="inlineStr">
        <is>
          <t>L13</t>
        </is>
      </c>
      <c r="B49" s="15" t="inlineStr">
        <is>
          <t>FastAPI: routes, dependencies, Pydantic models and OpenAPI</t>
        </is>
      </c>
      <c r="C49" s="19" t="inlineStr">
        <is>
          <t>Pydantic documentation</t>
        </is>
      </c>
      <c r="D49" s="41" t="inlineStr">
        <is>
          <t>https://docs.pydantic.dev/latest/</t>
        </is>
      </c>
    </row>
    <row r="50" ht="29.2" customHeight="1">
      <c r="A50" s="15" t="inlineStr">
        <is>
          <t>L13</t>
        </is>
      </c>
      <c r="B50" s="15" t="inlineStr">
        <is>
          <t>FastAPI: routes, dependencies, Pydantic models and OpenAPI</t>
        </is>
      </c>
      <c r="C50" s="19" t="inlineStr">
        <is>
          <t>FastAPI: Testing</t>
        </is>
      </c>
      <c r="D50" s="41" t="inlineStr">
        <is>
          <t>https://fastapi.tiangolo.com/tutorial/testing/</t>
        </is>
      </c>
    </row>
    <row r="51" ht="16.6" customHeight="1">
      <c r="A51" s="15" t="inlineStr">
        <is>
          <t>L14</t>
        </is>
      </c>
      <c r="B51" s="15" t="inlineStr">
        <is>
          <t>Relational databases and SQL basics</t>
        </is>
      </c>
      <c r="C51" s="19" t="inlineStr">
        <is>
          <t>SQLBolt (interactive SQL lessons)</t>
        </is>
      </c>
      <c r="D51" s="41" t="inlineStr">
        <is>
          <t>https://sqlbolt.com/</t>
        </is>
      </c>
    </row>
    <row r="52" ht="16.6" customHeight="1">
      <c r="A52" s="15" t="inlineStr">
        <is>
          <t>L14</t>
        </is>
      </c>
      <c r="B52" s="15" t="inlineStr">
        <is>
          <t>Relational databases and SQL basics</t>
        </is>
      </c>
      <c r="C52" s="19" t="inlineStr">
        <is>
          <t>PostgreSQL Tutorial (official)</t>
        </is>
      </c>
      <c r="D52" s="41" t="inlineStr">
        <is>
          <t>https://www.postgresql.org/docs/current/tutorial.html</t>
        </is>
      </c>
    </row>
    <row r="53" ht="16.6" customHeight="1">
      <c r="A53" s="15" t="inlineStr">
        <is>
          <t>L14</t>
        </is>
      </c>
      <c r="B53" s="15" t="inlineStr">
        <is>
          <t>Relational databases and SQL basics</t>
        </is>
      </c>
      <c r="C53" s="19" t="inlineStr">
        <is>
          <t>PostgreSQL: INSERT ... ON CONFLICT</t>
        </is>
      </c>
      <c r="D53" s="41" t="inlineStr">
        <is>
          <t>https://www.postgresql.org/docs/current/sql-insert.html#SQL-ON-CONFLICT</t>
        </is>
      </c>
    </row>
    <row r="54" ht="16.6" customHeight="1">
      <c r="A54" s="15" t="inlineStr">
        <is>
          <t>L14</t>
        </is>
      </c>
      <c r="B54" s="15" t="inlineStr">
        <is>
          <t>Relational databases and SQL basics</t>
        </is>
      </c>
      <c r="C54" s="19" t="inlineStr">
        <is>
          <t>Use The Index, Luke (indexing)</t>
        </is>
      </c>
      <c r="D54" s="41" t="inlineStr">
        <is>
          <t>https://use-the-index-luke.com/</t>
        </is>
      </c>
    </row>
    <row r="55" ht="29.2" customHeight="1">
      <c r="A55" s="15" t="inlineStr">
        <is>
          <t>L15</t>
        </is>
      </c>
      <c r="B55" s="15" t="inlineStr">
        <is>
          <t>Running PostgreSQL in Docker: containers, images, volumes and ports</t>
        </is>
      </c>
      <c r="C55" s="19" t="inlineStr">
        <is>
          <t>Docker: Get started</t>
        </is>
      </c>
      <c r="D55" s="41" t="inlineStr">
        <is>
          <t>https://docs.docker.com/get-started/</t>
        </is>
      </c>
    </row>
    <row r="56" ht="29.2" customHeight="1">
      <c r="A56" s="15" t="inlineStr">
        <is>
          <t>L15</t>
        </is>
      </c>
      <c r="B56" s="15" t="inlineStr">
        <is>
          <t>Running PostgreSQL in Docker: containers, images, volumes and ports</t>
        </is>
      </c>
      <c r="C56" s="19" t="inlineStr">
        <is>
          <t>Docker Hub: postgres official image</t>
        </is>
      </c>
      <c r="D56" s="41" t="inlineStr">
        <is>
          <t>https://hub.docker.com/_/postgres</t>
        </is>
      </c>
    </row>
    <row r="57" ht="29.2" customHeight="1">
      <c r="A57" s="15" t="inlineStr">
        <is>
          <t>L15</t>
        </is>
      </c>
      <c r="B57" s="15" t="inlineStr">
        <is>
          <t>Running PostgreSQL in Docker: containers, images, volumes and ports</t>
        </is>
      </c>
      <c r="C57" s="19" t="inlineStr">
        <is>
          <t>Microsoft: Install WSL</t>
        </is>
      </c>
      <c r="D57" s="41" t="inlineStr">
        <is>
          <t>https://learn.microsoft.com/en-us/windows/wsl/install</t>
        </is>
      </c>
    </row>
    <row r="58" ht="29.2" customHeight="1">
      <c r="A58" s="15" t="inlineStr">
        <is>
          <t>L15</t>
        </is>
      </c>
      <c r="B58" s="15" t="inlineStr">
        <is>
          <t>Running PostgreSQL in Docker: containers, images, volumes and ports</t>
        </is>
      </c>
      <c r="C58" s="19" t="inlineStr">
        <is>
          <t>Docker Desktop WSL 2 backend</t>
        </is>
      </c>
      <c r="D58" s="41" t="inlineStr">
        <is>
          <t>https://docs.docker.com/desktop/features/wsl/</t>
        </is>
      </c>
    </row>
    <row r="59" ht="29.2" customHeight="1">
      <c r="A59" s="15" t="inlineStr">
        <is>
          <t>L16</t>
        </is>
      </c>
      <c r="B59" s="15" t="inlineStr">
        <is>
          <t>SQLAlchemy 2.0: models, sessions and transactions</t>
        </is>
      </c>
      <c r="C59" s="19" t="inlineStr">
        <is>
          <t>SQLAlchemy 2.0 Unified Tutorial</t>
        </is>
      </c>
      <c r="D59" s="41" t="inlineStr">
        <is>
          <t>https://docs.sqlalchemy.org/en/20/tutorial/index.html</t>
        </is>
      </c>
    </row>
    <row r="60" ht="29.2" customHeight="1">
      <c r="A60" s="15" t="inlineStr">
        <is>
          <t>L16</t>
        </is>
      </c>
      <c r="B60" s="15" t="inlineStr">
        <is>
          <t>SQLAlchemy 2.0: models, sessions and transactions</t>
        </is>
      </c>
      <c r="C60" s="19" t="inlineStr">
        <is>
          <t>SQLAlchemy ORM Quick Start</t>
        </is>
      </c>
      <c r="D60" s="41" t="inlineStr">
        <is>
          <t>https://docs.sqlalchemy.org/en/20/orm/quickstart.html</t>
        </is>
      </c>
    </row>
    <row r="61" ht="29.2" customHeight="1">
      <c r="A61" s="15" t="inlineStr">
        <is>
          <t>L16</t>
        </is>
      </c>
      <c r="B61" s="15" t="inlineStr">
        <is>
          <t>SQLAlchemy 2.0: models, sessions and transactions</t>
        </is>
      </c>
      <c r="C61" s="19" t="inlineStr">
        <is>
          <t>SQLAlchemy: PostgreSQL INSERT ... ON CONFLICT</t>
        </is>
      </c>
      <c r="D61" s="41" t="inlineStr">
        <is>
          <t>https://docs.sqlalchemy.org/en/20/dialects/postgresql.html#insert-on-conflict-upsert</t>
        </is>
      </c>
    </row>
    <row r="62" ht="29.2" customHeight="1">
      <c r="A62" s="15" t="inlineStr">
        <is>
          <t>L16</t>
        </is>
      </c>
      <c r="B62" s="15" t="inlineStr">
        <is>
          <t>SQLAlchemy 2.0: models, sessions and transactions</t>
        </is>
      </c>
      <c r="C62" s="19" t="inlineStr">
        <is>
          <t>psycopg 3 documentation</t>
        </is>
      </c>
      <c r="D62" s="41" t="inlineStr">
        <is>
          <t>https://www.psycopg.org/psycopg3/docs/</t>
        </is>
      </c>
    </row>
    <row r="63" ht="16.6" customHeight="1">
      <c r="A63" s="15" t="inlineStr">
        <is>
          <t>L17</t>
        </is>
      </c>
      <c r="B63" s="15" t="inlineStr">
        <is>
          <t>Database migrations with Alembic</t>
        </is>
      </c>
      <c r="C63" s="19" t="inlineStr">
        <is>
          <t>Alembic tutorial</t>
        </is>
      </c>
      <c r="D63" s="41" t="inlineStr">
        <is>
          <t>https://alembic.sqlalchemy.org/en/latest/tutorial.html</t>
        </is>
      </c>
    </row>
    <row r="64" ht="16.6" customHeight="1">
      <c r="A64" s="15" t="inlineStr">
        <is>
          <t>L17</t>
        </is>
      </c>
      <c r="B64" s="15" t="inlineStr">
        <is>
          <t>Database migrations with Alembic</t>
        </is>
      </c>
      <c r="C64" s="19" t="inlineStr">
        <is>
          <t>Alembic: Auto Generating Migrations</t>
        </is>
      </c>
      <c r="D64" s="41" t="inlineStr">
        <is>
          <t>https://alembic.sqlalchemy.org/en/latest/autogenerate.html</t>
        </is>
      </c>
    </row>
    <row r="65" ht="16.6" customHeight="1">
      <c r="A65" s="15" t="inlineStr">
        <is>
          <t>L17</t>
        </is>
      </c>
      <c r="B65" s="15" t="inlineStr">
        <is>
          <t>Database migrations with Alembic</t>
        </is>
      </c>
      <c r="C65" s="19" t="inlineStr">
        <is>
          <t>Martin Fowler: Evolutionary Database Design</t>
        </is>
      </c>
      <c r="D65" s="41" t="inlineStr">
        <is>
          <t>https://martinfowler.com/articles/evodb.html</t>
        </is>
      </c>
    </row>
    <row r="66" ht="29.2" customHeight="1">
      <c r="A66" s="15" t="inlineStr">
        <is>
          <t>L18</t>
        </is>
      </c>
      <c r="B66" s="15" t="inlineStr">
        <is>
          <t>Configuration and secrets: environment variables, .env files, and what is public</t>
        </is>
      </c>
      <c r="C66" s="19" t="inlineStr">
        <is>
          <t>The Twelve-Factor App: Config</t>
        </is>
      </c>
      <c r="D66" s="41" t="inlineStr">
        <is>
          <t>https://12factor.net/config</t>
        </is>
      </c>
    </row>
    <row r="67" ht="29.2" customHeight="1">
      <c r="A67" s="15" t="inlineStr">
        <is>
          <t>L18</t>
        </is>
      </c>
      <c r="B67" s="15" t="inlineStr">
        <is>
          <t>Configuration and secrets: environment variables, .env files, and what is public</t>
        </is>
      </c>
      <c r="C67" s="19" t="inlineStr">
        <is>
          <t>Pydantic Settings</t>
        </is>
      </c>
      <c r="D67" s="41" t="inlineStr">
        <is>
          <t>https://docs.pydantic.dev/latest/concepts/pydantic_settings/</t>
        </is>
      </c>
    </row>
    <row r="68" ht="29.2" customHeight="1">
      <c r="A68" s="15" t="inlineStr">
        <is>
          <t>L18</t>
        </is>
      </c>
      <c r="B68" s="15" t="inlineStr">
        <is>
          <t>Configuration and secrets: environment variables, .env files, and what is public</t>
        </is>
      </c>
      <c r="C68" s="19" t="inlineStr">
        <is>
          <t>OWASP Secrets Management Cheat Sheet</t>
        </is>
      </c>
      <c r="D68" s="41" t="inlineStr">
        <is>
          <t>https://cheatsheetseries.owasp.org/cheatsheets/Secrets_Management_Cheat_Sheet.html</t>
        </is>
      </c>
    </row>
    <row r="69" ht="29.2" customHeight="1">
      <c r="A69" s="15" t="inlineStr">
        <is>
          <t>L19</t>
        </is>
      </c>
      <c r="B69" s="15" t="inlineStr">
        <is>
          <t>Guest authentication: opaque tokens, hashing and bearer headers</t>
        </is>
      </c>
      <c r="C69" s="19" t="inlineStr">
        <is>
          <t>OWASP Session Management Cheat Sheet</t>
        </is>
      </c>
      <c r="D69" s="41" t="inlineStr">
        <is>
          <t>https://cheatsheetseries.owasp.org/cheatsheets/Session_Management_Cheat_Sheet.html</t>
        </is>
      </c>
    </row>
    <row r="70" ht="29.2" customHeight="1">
      <c r="A70" s="15" t="inlineStr">
        <is>
          <t>L19</t>
        </is>
      </c>
      <c r="B70" s="15" t="inlineStr">
        <is>
          <t>Guest authentication: opaque tokens, hashing and bearer headers</t>
        </is>
      </c>
      <c r="C70" s="19" t="inlineStr">
        <is>
          <t>Python secrets module</t>
        </is>
      </c>
      <c r="D70" s="41" t="inlineStr">
        <is>
          <t>https://docs.python.org/3/library/secrets.html</t>
        </is>
      </c>
    </row>
    <row r="71" ht="29.2" customHeight="1">
      <c r="A71" s="15" t="inlineStr">
        <is>
          <t>L19</t>
        </is>
      </c>
      <c r="B71" s="15" t="inlineStr">
        <is>
          <t>Guest authentication: opaque tokens, hashing and bearer headers</t>
        </is>
      </c>
      <c r="C71" s="19" t="inlineStr">
        <is>
          <t>MDN: Authorization header</t>
        </is>
      </c>
      <c r="D71" s="41" t="inlineStr">
        <is>
          <t>https://developer.mozilla.org/en-US/docs/Web/HTTP/Headers/Authorization</t>
        </is>
      </c>
    </row>
    <row r="72" ht="29.2" customHeight="1">
      <c r="A72" s="15" t="inlineStr">
        <is>
          <t>L20</t>
        </is>
      </c>
      <c r="B72" s="15" t="inlineStr">
        <is>
          <t>Authorization and ownership checks (preventing IDOR)</t>
        </is>
      </c>
      <c r="C72" s="19" t="inlineStr">
        <is>
          <t>OWASP API Security Top 10: Broken Object Level Authorization</t>
        </is>
      </c>
      <c r="D72" s="41" t="inlineStr">
        <is>
          <t>https://owasp.org/API-Security/editions/2023/en/0xa1-broken-object-level-authorization/</t>
        </is>
      </c>
    </row>
    <row r="73" ht="29.2" customHeight="1">
      <c r="A73" s="15" t="inlineStr">
        <is>
          <t>L20</t>
        </is>
      </c>
      <c r="B73" s="15" t="inlineStr">
        <is>
          <t>Authorization and ownership checks (preventing IDOR)</t>
        </is>
      </c>
      <c r="C73" s="19" t="inlineStr">
        <is>
          <t>OWASP: Insecure Direct Object Reference Prevention</t>
        </is>
      </c>
      <c r="D73" s="41" t="inlineStr">
        <is>
          <t>https://cheatsheetseries.owasp.org/cheatsheets/Insecure_Direct_Object_Reference_Prevention_Cheat_Sheet.html</t>
        </is>
      </c>
    </row>
    <row r="74" ht="29.2" customHeight="1">
      <c r="A74" s="15" t="inlineStr">
        <is>
          <t>L21</t>
        </is>
      </c>
      <c r="B74" s="15" t="inlineStr">
        <is>
          <t>CORS explained (and why it is not security for your API)</t>
        </is>
      </c>
      <c r="C74" s="19" t="inlineStr">
        <is>
          <t>MDN: Cross-Origin Resource Sharing (CORS)</t>
        </is>
      </c>
      <c r="D74" s="41" t="inlineStr">
        <is>
          <t>https://developer.mozilla.org/en-US/docs/Web/HTTP/CORS</t>
        </is>
      </c>
    </row>
    <row r="75" ht="29.2" customHeight="1">
      <c r="A75" s="15" t="inlineStr">
        <is>
          <t>L21</t>
        </is>
      </c>
      <c r="B75" s="15" t="inlineStr">
        <is>
          <t>CORS explained (and why it is not security for your API)</t>
        </is>
      </c>
      <c r="C75" s="19" t="inlineStr">
        <is>
          <t>FastAPI: CORS</t>
        </is>
      </c>
      <c r="D75" s="41" t="inlineStr">
        <is>
          <t>https://fastapi.tiangolo.com/tutorial/cors/</t>
        </is>
      </c>
    </row>
    <row r="76" ht="16.6" customHeight="1">
      <c r="A76" s="15" t="inlineStr">
        <is>
          <t>L22</t>
        </is>
      </c>
      <c r="B76" s="15" t="inlineStr">
        <is>
          <t>Error handling and a stable error contract</t>
        </is>
      </c>
      <c r="C76" s="19" t="inlineStr">
        <is>
          <t>FastAPI: Handling Errors</t>
        </is>
      </c>
      <c r="D76" s="41" t="inlineStr">
        <is>
          <t>https://fastapi.tiangolo.com/tutorial/handling-errors/</t>
        </is>
      </c>
    </row>
    <row r="77" ht="16.6" customHeight="1">
      <c r="A77" s="15" t="inlineStr">
        <is>
          <t>L22</t>
        </is>
      </c>
      <c r="B77" s="15" t="inlineStr">
        <is>
          <t>Error handling and a stable error contract</t>
        </is>
      </c>
      <c r="C77" s="19" t="inlineStr">
        <is>
          <t>RFC 9457: Problem Details for HTTP APIs</t>
        </is>
      </c>
      <c r="D77" s="41" t="inlineStr">
        <is>
          <t>https://www.rfc-editor.org/rfc/rfc9457</t>
        </is>
      </c>
    </row>
    <row r="78" ht="29.2" customHeight="1">
      <c r="A78" s="15" t="inlineStr">
        <is>
          <t>L23</t>
        </is>
      </c>
      <c r="B78" s="15" t="inlineStr">
        <is>
          <t>Testing: unit, integration and end-to-end tests with pytest</t>
        </is>
      </c>
      <c r="C78" s="19" t="inlineStr">
        <is>
          <t>pytest: Get Started</t>
        </is>
      </c>
      <c r="D78" s="41" t="inlineStr">
        <is>
          <t>https://docs.pytest.org/en/stable/getting-started.html</t>
        </is>
      </c>
    </row>
    <row r="79" ht="29.2" customHeight="1">
      <c r="A79" s="15" t="inlineStr">
        <is>
          <t>L23</t>
        </is>
      </c>
      <c r="B79" s="15" t="inlineStr">
        <is>
          <t>Testing: unit, integration and end-to-end tests with pytest</t>
        </is>
      </c>
      <c r="C79" s="19" t="inlineStr">
        <is>
          <t>pytest: Fixtures</t>
        </is>
      </c>
      <c r="D79" s="41" t="inlineStr">
        <is>
          <t>https://docs.pytest.org/en/stable/how-to/fixtures.html</t>
        </is>
      </c>
    </row>
    <row r="80" ht="29.2" customHeight="1">
      <c r="A80" s="15" t="inlineStr">
        <is>
          <t>L23</t>
        </is>
      </c>
      <c r="B80" s="15" t="inlineStr">
        <is>
          <t>Testing: unit, integration and end-to-end tests with pytest</t>
        </is>
      </c>
      <c r="C80" s="19" t="inlineStr">
        <is>
          <t>Martin Fowler: The Practical Test Pyramid</t>
        </is>
      </c>
      <c r="D80" s="41" t="inlineStr">
        <is>
          <t>https://martinfowler.com/articles/practical-test-pyramid.html</t>
        </is>
      </c>
    </row>
    <row r="81" ht="29.2" customHeight="1">
      <c r="A81" s="15" t="inlineStr">
        <is>
          <t>L24</t>
        </is>
      </c>
      <c r="B81" s="15" t="inlineStr">
        <is>
          <t>Frontend testing: Vitest for logic, Playwright for real browsers</t>
        </is>
      </c>
      <c r="C81" s="19" t="inlineStr">
        <is>
          <t>Vitest: Getting Started</t>
        </is>
      </c>
      <c r="D81" s="41" t="inlineStr">
        <is>
          <t>https://vitest.dev/guide/</t>
        </is>
      </c>
    </row>
    <row r="82" ht="29.2" customHeight="1">
      <c r="A82" s="15" t="inlineStr">
        <is>
          <t>L24</t>
        </is>
      </c>
      <c r="B82" s="15" t="inlineStr">
        <is>
          <t>Frontend testing: Vitest for logic, Playwright for real browsers</t>
        </is>
      </c>
      <c r="C82" s="19" t="inlineStr">
        <is>
          <t>Playwright: Getting started</t>
        </is>
      </c>
      <c r="D82" s="41" t="inlineStr">
        <is>
          <t>https://playwright.dev/docs/intro</t>
        </is>
      </c>
    </row>
    <row r="83" ht="29.2" customHeight="1">
      <c r="A83" s="15" t="inlineStr">
        <is>
          <t>L24</t>
        </is>
      </c>
      <c r="B83" s="15" t="inlineStr">
        <is>
          <t>Frontend testing: Vitest for logic, Playwright for real browsers</t>
        </is>
      </c>
      <c r="C83" s="19" t="inlineStr">
        <is>
          <t>Playwright: Locators</t>
        </is>
      </c>
      <c r="D83" s="41" t="inlineStr">
        <is>
          <t>https://playwright.dev/docs/locators</t>
        </is>
      </c>
    </row>
    <row r="84" ht="29.2" customHeight="1">
      <c r="A84" s="15" t="inlineStr">
        <is>
          <t>L24</t>
        </is>
      </c>
      <c r="B84" s="15" t="inlineStr">
        <is>
          <t>Frontend testing: Vitest for logic, Playwright for real browsers</t>
        </is>
      </c>
      <c r="C84" s="19" t="inlineStr">
        <is>
          <t>Testing Library: Guiding principles</t>
        </is>
      </c>
      <c r="D84" s="41" t="inlineStr">
        <is>
          <t>https://testing-library.com/docs/guiding-principles</t>
        </is>
      </c>
    </row>
    <row r="85" ht="29.2" customHeight="1">
      <c r="A85" s="15" t="inlineStr">
        <is>
          <t>L25</t>
        </is>
      </c>
      <c r="B85" s="15" t="inlineStr">
        <is>
          <t>Docker images for the backend: Dockerfile, layers, non-root, one image with two commands</t>
        </is>
      </c>
      <c r="C85" s="19" t="inlineStr">
        <is>
          <t>Dockerfile reference</t>
        </is>
      </c>
      <c r="D85" s="41" t="inlineStr">
        <is>
          <t>https://docs.docker.com/reference/dockerfile/</t>
        </is>
      </c>
    </row>
    <row r="86" ht="29.2" customHeight="1">
      <c r="A86" s="15" t="inlineStr">
        <is>
          <t>L25</t>
        </is>
      </c>
      <c r="B86" s="15" t="inlineStr">
        <is>
          <t>Docker images for the backend: Dockerfile, layers, non-root, one image with two commands</t>
        </is>
      </c>
      <c r="C86" s="19" t="inlineStr">
        <is>
          <t>Docker: Building best practices</t>
        </is>
      </c>
      <c r="D86" s="41" t="inlineStr">
        <is>
          <t>https://docs.docker.com/build/building/best-practices/</t>
        </is>
      </c>
    </row>
    <row r="87" ht="29.2" customHeight="1">
      <c r="A87" s="15" t="inlineStr">
        <is>
          <t>L25</t>
        </is>
      </c>
      <c r="B87" s="15" t="inlineStr">
        <is>
          <t>Docker images for the backend: Dockerfile, layers, non-root, one image with two commands</t>
        </is>
      </c>
      <c r="C87" s="19" t="inlineStr">
        <is>
          <t>Debian package: stockfish</t>
        </is>
      </c>
      <c r="D87" s="41" t="inlineStr">
        <is>
          <t>https://packages.debian.org/bookworm/stockfish</t>
        </is>
      </c>
    </row>
    <row r="88" ht="16.6" customHeight="1">
      <c r="A88" s="15" t="inlineStr">
        <is>
          <t>L26</t>
        </is>
      </c>
      <c r="B88" s="15" t="inlineStr">
        <is>
          <t>Docker Compose for a local multi-service stack</t>
        </is>
      </c>
      <c r="C88" s="19" t="inlineStr">
        <is>
          <t>Docker Compose overview</t>
        </is>
      </c>
      <c r="D88" s="41" t="inlineStr">
        <is>
          <t>https://docs.docker.com/compose/</t>
        </is>
      </c>
    </row>
    <row r="89" ht="16.6" customHeight="1">
      <c r="A89" s="15" t="inlineStr">
        <is>
          <t>L26</t>
        </is>
      </c>
      <c r="B89" s="15" t="inlineStr">
        <is>
          <t>Docker Compose for a local multi-service stack</t>
        </is>
      </c>
      <c r="C89" s="19" t="inlineStr">
        <is>
          <t>Compose file reference</t>
        </is>
      </c>
      <c r="D89" s="41" t="inlineStr">
        <is>
          <t>https://docs.docker.com/reference/compose-file/</t>
        </is>
      </c>
    </row>
    <row r="90" ht="29.2" customHeight="1">
      <c r="A90" s="15" t="inlineStr">
        <is>
          <t>L27</t>
        </is>
      </c>
      <c r="B90" s="15" t="inlineStr">
        <is>
          <t>Background jobs: why web requests must stay short</t>
        </is>
      </c>
      <c r="C90" s="19" t="inlineStr">
        <is>
          <t>Render: Background workers</t>
        </is>
      </c>
      <c r="D90" s="41" t="inlineStr">
        <is>
          <t>https://render.com/docs/background-workers</t>
        </is>
      </c>
    </row>
    <row r="91" ht="29.2" customHeight="1">
      <c r="A91" s="15" t="inlineStr">
        <is>
          <t>L27</t>
        </is>
      </c>
      <c r="B91" s="15" t="inlineStr">
        <is>
          <t>Background jobs: why web requests must stay short</t>
        </is>
      </c>
      <c r="C91" s="19" t="inlineStr">
        <is>
          <t>Brandur: Transactionally staged job drains in Postgres</t>
        </is>
      </c>
      <c r="D91" s="41" t="inlineStr">
        <is>
          <t>https://brandur.org/job-drain</t>
        </is>
      </c>
    </row>
    <row r="92" ht="29.2" customHeight="1">
      <c r="A92" s="15" t="inlineStr">
        <is>
          <t>L28</t>
        </is>
      </c>
      <c r="B92" s="15" t="inlineStr">
        <is>
          <t>Postgres as a job queue: row locks, FOR UPDATE SKIP LOCKED and leases</t>
        </is>
      </c>
      <c r="C92" s="19" t="inlineStr">
        <is>
          <t>PostgreSQL: SELECT ... The Locking Clause</t>
        </is>
      </c>
      <c r="D92" s="41" t="inlineStr">
        <is>
          <t>https://www.postgresql.org/docs/current/sql-select.html#SQL-FOR-UPDATE-SHARE</t>
        </is>
      </c>
    </row>
    <row r="93" ht="29.2" customHeight="1">
      <c r="A93" s="15" t="inlineStr">
        <is>
          <t>L28</t>
        </is>
      </c>
      <c r="B93" s="15" t="inlineStr">
        <is>
          <t>Postgres as a job queue: row locks, FOR UPDATE SKIP LOCKED and leases</t>
        </is>
      </c>
      <c r="C93" s="19" t="inlineStr">
        <is>
          <t>PostgreSQL: Explicit Locking</t>
        </is>
      </c>
      <c r="D93" s="41" t="inlineStr">
        <is>
          <t>https://www.postgresql.org/docs/current/explicit-locking.html</t>
        </is>
      </c>
    </row>
    <row r="94" ht="29.2" customHeight="1">
      <c r="A94" s="15" t="inlineStr">
        <is>
          <t>L28</t>
        </is>
      </c>
      <c r="B94" s="15" t="inlineStr">
        <is>
          <t>Postgres as a job queue: row locks, FOR UPDATE SKIP LOCKED and leases</t>
        </is>
      </c>
      <c r="C94" s="19" t="inlineStr">
        <is>
          <t>Martin Kleppmann: How to do distributed locking (fencing tokens)</t>
        </is>
      </c>
      <c r="D94" s="41" t="inlineStr">
        <is>
          <t>https://martin.kleppmann.com/2016/02/08/how-to-do-distributed-locking.html</t>
        </is>
      </c>
    </row>
    <row r="95" ht="29.2" customHeight="1">
      <c r="A95" s="15" t="inlineStr">
        <is>
          <t>L29</t>
        </is>
      </c>
      <c r="B95" s="15" t="inlineStr">
        <is>
          <t>Idempotency, retries, exponential backoff with jitter</t>
        </is>
      </c>
      <c r="C95" s="19" t="inlineStr">
        <is>
          <t>Stripe: Designing robust and predictable APIs with idempotency</t>
        </is>
      </c>
      <c r="D95" s="41" t="inlineStr">
        <is>
          <t>https://stripe.com/blog/idempotency</t>
        </is>
      </c>
    </row>
    <row r="96" ht="29.2" customHeight="1">
      <c r="A96" s="15" t="inlineStr">
        <is>
          <t>L29</t>
        </is>
      </c>
      <c r="B96" s="15" t="inlineStr">
        <is>
          <t>Idempotency, retries, exponential backoff with jitter</t>
        </is>
      </c>
      <c r="C96" s="19" t="inlineStr">
        <is>
          <t>AWS Builders' Library: Timeouts, retries and backoff with jitter</t>
        </is>
      </c>
      <c r="D96" s="41" t="inlineStr">
        <is>
          <t>https://aws.amazon.com/builders-library/timeouts-retries-and-backoff-with-jitter/</t>
        </is>
      </c>
    </row>
    <row r="97" ht="29.2" customHeight="1">
      <c r="A97" s="15" t="inlineStr">
        <is>
          <t>L29</t>
        </is>
      </c>
      <c r="B97" s="15" t="inlineStr">
        <is>
          <t>Idempotency, retries, exponential backoff with jitter</t>
        </is>
      </c>
      <c r="C97" s="19" t="inlineStr">
        <is>
          <t>Brandur: Implementing Stripe-like Idempotency Keys in Postgres</t>
        </is>
      </c>
      <c r="D97" s="41" t="inlineStr">
        <is>
          <t>https://brandur.org/idempotency-keys</t>
        </is>
      </c>
    </row>
    <row r="98" ht="29.2" customHeight="1">
      <c r="A98" s="15" t="inlineStr">
        <is>
          <t>L30</t>
        </is>
      </c>
      <c r="B98" s="15" t="inlineStr">
        <is>
          <t>Race conditions and why constraints beat Python checks (a real bug from this project)</t>
        </is>
      </c>
      <c r="C98" s="19" t="inlineStr">
        <is>
          <t>PostgreSQL: Transaction Isolation</t>
        </is>
      </c>
      <c r="D98" s="41" t="inlineStr">
        <is>
          <t>https://www.postgresql.org/docs/current/transaction-iso.html</t>
        </is>
      </c>
    </row>
    <row r="99" ht="29.2" customHeight="1">
      <c r="A99" s="15" t="inlineStr">
        <is>
          <t>L30</t>
        </is>
      </c>
      <c r="B99" s="15" t="inlineStr">
        <is>
          <t>Race conditions and why constraints beat Python checks (a real bug from this project)</t>
        </is>
      </c>
      <c r="C99" s="19" t="inlineStr">
        <is>
          <t>Designing Data-Intensive Applications (book), chapter 7</t>
        </is>
      </c>
      <c r="D99" s="41" t="inlineStr">
        <is>
          <t>https://dataintensive.net/</t>
        </is>
      </c>
    </row>
    <row r="100" ht="29.2" customHeight="1">
      <c r="A100" s="15" t="inlineStr">
        <is>
          <t>L31</t>
        </is>
      </c>
      <c r="B100" s="15" t="inlineStr">
        <is>
          <t>Polling vs WebSockets, and UI states for asynchronous work</t>
        </is>
      </c>
      <c r="C100" s="19" t="inlineStr">
        <is>
          <t>MDN: Page Visibility API</t>
        </is>
      </c>
      <c r="D100" s="41" t="inlineStr">
        <is>
          <t>https://developer.mozilla.org/en-US/docs/Web/API/Page_Visibility_API</t>
        </is>
      </c>
    </row>
    <row r="101" ht="29.2" customHeight="1">
      <c r="A101" s="15" t="inlineStr">
        <is>
          <t>L31</t>
        </is>
      </c>
      <c r="B101" s="15" t="inlineStr">
        <is>
          <t>Polling vs WebSockets, and UI states for asynchronous work</t>
        </is>
      </c>
      <c r="C101" s="19" t="inlineStr">
        <is>
          <t>MDN: WebSockets API</t>
        </is>
      </c>
      <c r="D101" s="41" t="inlineStr">
        <is>
          <t>https://developer.mozilla.org/en-US/docs/Web/API/WebSockets_API</t>
        </is>
      </c>
    </row>
    <row r="102" ht="29.2" customHeight="1">
      <c r="A102" s="15" t="inlineStr">
        <is>
          <t>L32</t>
        </is>
      </c>
      <c r="B102" s="15" t="inlineStr">
        <is>
          <t>Using third-party APIs politely: Lichess and Chess.com</t>
        </is>
      </c>
      <c r="C102" s="19" t="inlineStr">
        <is>
          <t>Lichess API documentation</t>
        </is>
      </c>
      <c r="D102" s="41" t="inlineStr">
        <is>
          <t>https://lichess.org/api</t>
        </is>
      </c>
    </row>
    <row r="103" ht="29.2" customHeight="1">
      <c r="A103" s="15" t="inlineStr">
        <is>
          <t>L32</t>
        </is>
      </c>
      <c r="B103" s="15" t="inlineStr">
        <is>
          <t>Using third-party APIs politely: Lichess and Chess.com</t>
        </is>
      </c>
      <c r="C103" s="19" t="inlineStr">
        <is>
          <t>Lichess API tips</t>
        </is>
      </c>
      <c r="D103" s="41" t="inlineStr">
        <is>
          <t>https://lichess.org/page/api-tips</t>
        </is>
      </c>
    </row>
    <row r="104" ht="29.2" customHeight="1">
      <c r="A104" s="15" t="inlineStr">
        <is>
          <t>L32</t>
        </is>
      </c>
      <c r="B104" s="15" t="inlineStr">
        <is>
          <t>Using third-party APIs politely: Lichess and Chess.com</t>
        </is>
      </c>
      <c r="C104" s="19" t="inlineStr">
        <is>
          <t>Chess.com Published-Data API</t>
        </is>
      </c>
      <c r="D104" s="41" t="inlineStr">
        <is>
          <t>https://www.chess.com/news/view/published-data-api</t>
        </is>
      </c>
    </row>
    <row r="105" ht="29.2" customHeight="1">
      <c r="A105" s="15" t="inlineStr">
        <is>
          <t>L32</t>
        </is>
      </c>
      <c r="B105" s="15" t="inlineStr">
        <is>
          <t>Using third-party APIs politely: Lichess and Chess.com</t>
        </is>
      </c>
      <c r="C105" s="19" t="inlineStr">
        <is>
          <t>HTTPX: Streaming responses</t>
        </is>
      </c>
      <c r="D105" s="41" t="inlineStr">
        <is>
          <t>https://www.python-httpx.org/quickstart/#streaming-responses</t>
        </is>
      </c>
    </row>
    <row r="106" ht="29.2" customHeight="1">
      <c r="A106" s="15" t="inlineStr">
        <is>
          <t>L32</t>
        </is>
      </c>
      <c r="B106" s="15" t="inlineStr">
        <is>
          <t>Using third-party APIs politely: Lichess and Chess.com</t>
        </is>
      </c>
      <c r="C106" s="19" t="inlineStr">
        <is>
          <t>NDJSON specification</t>
        </is>
      </c>
      <c r="D106" s="41" t="inlineStr">
        <is>
          <t>https://github.com/ndjson/ndjson-spec</t>
        </is>
      </c>
    </row>
    <row r="107" ht="29.2" customHeight="1">
      <c r="A107" s="15" t="inlineStr">
        <is>
          <t>L33</t>
        </is>
      </c>
      <c r="B107" s="15" t="inlineStr">
        <is>
          <t>Parsing untrusted input safely (PGN uploads)</t>
        </is>
      </c>
      <c r="C107" s="19" t="inlineStr">
        <is>
          <t>OWASP Input Validation Cheat Sheet</t>
        </is>
      </c>
      <c r="D107" s="41" t="inlineStr">
        <is>
          <t>https://cheatsheetseries.owasp.org/cheatsheets/Input_Validation_Cheat_Sheet.html</t>
        </is>
      </c>
    </row>
    <row r="108" ht="16.6" customHeight="1">
      <c r="A108" s="15" t="inlineStr">
        <is>
          <t>L33</t>
        </is>
      </c>
      <c r="B108" s="15" t="inlineStr">
        <is>
          <t>Parsing untrusted input safely (PGN uploads)</t>
        </is>
      </c>
      <c r="C108" s="19" t="inlineStr">
        <is>
          <t>python-chess: PGN parsing</t>
        </is>
      </c>
      <c r="D108" s="41" t="inlineStr">
        <is>
          <t>https://python-chess.readthedocs.io/en/latest/pgn.html</t>
        </is>
      </c>
    </row>
    <row r="109" ht="29.2" customHeight="1">
      <c r="A109" s="15" t="inlineStr">
        <is>
          <t>L34</t>
        </is>
      </c>
      <c r="B109" s="15" t="inlineStr">
        <is>
          <t>python-chess deep dive: boards, moves, attacks, pins and engines</t>
        </is>
      </c>
      <c r="C109" s="19" t="inlineStr">
        <is>
          <t>python-chess: Core</t>
        </is>
      </c>
      <c r="D109" s="41" t="inlineStr">
        <is>
          <t>https://python-chess.readthedocs.io/en/latest/core.html</t>
        </is>
      </c>
    </row>
    <row r="110" ht="29.2" customHeight="1">
      <c r="A110" s="15" t="inlineStr">
        <is>
          <t>L34</t>
        </is>
      </c>
      <c r="B110" s="15" t="inlineStr">
        <is>
          <t>python-chess deep dive: boards, moves, attacks, pins and engines</t>
        </is>
      </c>
      <c r="C110" s="19" t="inlineStr">
        <is>
          <t>python-chess: Engine communication (UCI/XBoard)</t>
        </is>
      </c>
      <c r="D110" s="41" t="inlineStr">
        <is>
          <t>https://python-chess.readthedocs.io/en/latest/engine.html</t>
        </is>
      </c>
    </row>
    <row r="111" ht="29.2" customHeight="1">
      <c r="A111" s="15" t="inlineStr">
        <is>
          <t>L34</t>
        </is>
      </c>
      <c r="B111" s="15" t="inlineStr">
        <is>
          <t>python-chess deep dive: boards, moves, attacks, pins and engines</t>
        </is>
      </c>
      <c r="C111" s="19" t="inlineStr">
        <is>
          <t>python-chess on GitHub</t>
        </is>
      </c>
      <c r="D111" s="41" t="inlineStr">
        <is>
          <t>https://github.com/niklasf/python-chess</t>
        </is>
      </c>
    </row>
    <row r="112" ht="29.2" customHeight="1">
      <c r="A112" s="15" t="inlineStr">
        <is>
          <t>L35</t>
        </is>
      </c>
      <c r="B112" s="15" t="inlineStr">
        <is>
          <t>Reading engine evaluations: centipawns, mate scores, point of view and search limits</t>
        </is>
      </c>
      <c r="C112" s="19" t="inlineStr">
        <is>
          <t>Chess Programming Wiki: Centipawns</t>
        </is>
      </c>
      <c r="D112" s="41" t="inlineStr">
        <is>
          <t>https://www.chessprogramming.org/Centipawns</t>
        </is>
      </c>
    </row>
    <row r="113" ht="29.2" customHeight="1">
      <c r="A113" s="15" t="inlineStr">
        <is>
          <t>L35</t>
        </is>
      </c>
      <c r="B113" s="15" t="inlineStr">
        <is>
          <t>Reading engine evaluations: centipawns, mate scores, point of view and search limits</t>
        </is>
      </c>
      <c r="C113" s="19" t="inlineStr">
        <is>
          <t>Chess Programming Wiki: Principal Variation</t>
        </is>
      </c>
      <c r="D113" s="41" t="inlineStr">
        <is>
          <t>https://www.chessprogramming.org/Principal_Variation</t>
        </is>
      </c>
    </row>
    <row r="114" ht="29.2" customHeight="1">
      <c r="A114" s="15" t="inlineStr">
        <is>
          <t>L35</t>
        </is>
      </c>
      <c r="B114" s="15" t="inlineStr">
        <is>
          <t>Reading engine evaluations: centipawns, mate scores, point of view and search limits</t>
        </is>
      </c>
      <c r="C114" s="19" t="inlineStr">
        <is>
          <t>Lichess: How are accuracy and win% computed?</t>
        </is>
      </c>
      <c r="D114" s="41" t="inlineStr">
        <is>
          <t>https://lichess.org/page/accuracy</t>
        </is>
      </c>
    </row>
    <row r="115" ht="29.2" customHeight="1">
      <c r="A115" s="15" t="inlineStr">
        <is>
          <t>L36</t>
        </is>
      </c>
      <c r="B115" s="15" t="inlineStr">
        <is>
          <t>Chess tactics the detector understands: forks, hanging pieces, material</t>
        </is>
      </c>
      <c r="C115" s="19" t="inlineStr">
        <is>
          <t>Lichess Practice: Knight forks</t>
        </is>
      </c>
      <c r="D115" s="41" t="inlineStr">
        <is>
          <t>https://lichess.org/practice/fundamental-tactics/the-fork/Qj281y1p</t>
        </is>
      </c>
    </row>
    <row r="116" ht="29.2" customHeight="1">
      <c r="A116" s="15" t="inlineStr">
        <is>
          <t>L36</t>
        </is>
      </c>
      <c r="B116" s="15" t="inlineStr">
        <is>
          <t>Chess tactics the detector understands: forks, hanging pieces, material</t>
        </is>
      </c>
      <c r="C116" s="19" t="inlineStr">
        <is>
          <t>Lichess puzzle themes</t>
        </is>
      </c>
      <c r="D116" s="41" t="inlineStr">
        <is>
          <t>https://lichess.org/training/themes</t>
        </is>
      </c>
    </row>
    <row r="117" ht="29.2" customHeight="1">
      <c r="A117" s="15" t="inlineStr">
        <is>
          <t>L36</t>
        </is>
      </c>
      <c r="B117" s="15" t="inlineStr">
        <is>
          <t>Chess tactics the detector understands: forks, hanging pieces, material</t>
        </is>
      </c>
      <c r="C117" s="19" t="inlineStr">
        <is>
          <t>Chess Programming Wiki: Point Value</t>
        </is>
      </c>
      <c r="D117" s="41" t="inlineStr">
        <is>
          <t>https://www.chessprogramming.org/Point_Value</t>
        </is>
      </c>
    </row>
    <row r="118" ht="29.2" customHeight="1">
      <c r="A118" s="15" t="inlineStr">
        <is>
          <t>L37</t>
        </is>
      </c>
      <c r="B118" s="15" t="inlineStr">
        <is>
          <t>What 'AI' means in ChessLab: search, rules, verification, learner models and (optionally) LLMs</t>
        </is>
      </c>
      <c r="C118" s="19" t="inlineStr">
        <is>
          <t>Russell &amp; Norvig, AI: A Modern Approach (book site)</t>
        </is>
      </c>
      <c r="D118" s="41" t="inlineStr">
        <is>
          <t>https://aima.cs.berkeley.edu/</t>
        </is>
      </c>
    </row>
    <row r="119" ht="29.2" customHeight="1">
      <c r="A119" s="15" t="inlineStr">
        <is>
          <t>L37</t>
        </is>
      </c>
      <c r="B119" s="15" t="inlineStr">
        <is>
          <t>What 'AI' means in ChessLab: search, rules, verification, learner models and (optionally) LLMs</t>
        </is>
      </c>
      <c r="C119" s="19" t="inlineStr">
        <is>
          <t>Maia Chess: human-like chess AI research</t>
        </is>
      </c>
      <c r="D119" s="41" t="inlineStr">
        <is>
          <t>https://www.maiachess.com/</t>
        </is>
      </c>
    </row>
    <row r="120" ht="29.2" customHeight="1">
      <c r="A120" s="15" t="inlineStr">
        <is>
          <t>L37</t>
        </is>
      </c>
      <c r="B120" s="15" t="inlineStr">
        <is>
          <t>What 'AI' means in ChessLab: search, rules, verification, learner models and (optionally) LLMs</t>
        </is>
      </c>
      <c r="C120" s="19" t="inlineStr">
        <is>
          <t>Stockfish NNUE (Chess Programming Wiki)</t>
        </is>
      </c>
      <c r="D120" s="41" t="inlineStr">
        <is>
          <t>https://www.chessprogramming.org/Stockfish_NNUE</t>
        </is>
      </c>
    </row>
    <row r="121" ht="29.2" customHeight="1">
      <c r="A121" s="15" t="inlineStr">
        <is>
          <t>L38</t>
        </is>
      </c>
      <c r="B121" s="15" t="inlineStr">
        <is>
          <t>Two-stage detection: cheap high-recall candidates, then expensive high-precision verification</t>
        </is>
      </c>
      <c r="C121" s="19" t="inlineStr">
        <is>
          <t>Google ML Crash Course: Classification (precision/recall)</t>
        </is>
      </c>
      <c r="D121" s="41" t="inlineStr">
        <is>
          <t>https://developers.google.com/machine-learning/crash-course/classification/accuracy-precision-recall</t>
        </is>
      </c>
    </row>
    <row r="122" ht="29.2" customHeight="1">
      <c r="A122" s="15" t="inlineStr">
        <is>
          <t>L39</t>
        </is>
      </c>
      <c r="B122" s="15" t="inlineStr">
        <is>
          <t>Evidence before prose: versioned structured records</t>
        </is>
      </c>
      <c r="C122" s="19" t="inlineStr">
        <is>
          <t>Google: People + AI Guidebook (explainability)</t>
        </is>
      </c>
      <c r="D122" s="41" t="inlineStr">
        <is>
          <t>https://pair.withgoogle.com/guidebook/</t>
        </is>
      </c>
    </row>
    <row r="123" ht="29.2" customHeight="1">
      <c r="A123" s="15" t="inlineStr">
        <is>
          <t>L40</t>
        </is>
      </c>
      <c r="B123" s="15" t="inlineStr">
        <is>
          <t>Template-based natural language generation</t>
        </is>
      </c>
      <c r="C123" s="19" t="inlineStr">
        <is>
          <t>Reiter &amp; Dale: Building Natural Language Generation Systems (overview)</t>
        </is>
      </c>
      <c r="D123" s="41" t="inlineStr">
        <is>
          <t>https://ehudreiter.com/2016/12/18/nlg-vs-templates/</t>
        </is>
      </c>
    </row>
    <row r="124" ht="29.2" customHeight="1">
      <c r="A124" s="15" t="inlineStr">
        <is>
          <t>L41</t>
        </is>
      </c>
      <c r="B124" s="15" t="inlineStr">
        <is>
          <t>Datasets done right: the Lichess puzzle database, licences, provenance and sampling</t>
        </is>
      </c>
      <c r="C124" s="19" t="inlineStr">
        <is>
          <t>Lichess open database: puzzles</t>
        </is>
      </c>
      <c r="D124" s="41" t="inlineStr">
        <is>
          <t>https://database.lichess.org/#puzzles</t>
        </is>
      </c>
    </row>
    <row r="125" ht="29.2" customHeight="1">
      <c r="A125" s="15" t="inlineStr">
        <is>
          <t>L41</t>
        </is>
      </c>
      <c r="B125" s="15" t="inlineStr">
        <is>
          <t>Datasets done right: the Lichess puzzle database, licences, provenance and sampling</t>
        </is>
      </c>
      <c r="C125" s="19" t="inlineStr">
        <is>
          <t>Wikipedia: Reservoir sampling</t>
        </is>
      </c>
      <c r="D125" s="41" t="inlineStr">
        <is>
          <t>https://en.wikipedia.org/wiki/Reservoir_sampling</t>
        </is>
      </c>
    </row>
    <row r="126" ht="29.2" customHeight="1">
      <c r="A126" s="15" t="inlineStr">
        <is>
          <t>L41</t>
        </is>
      </c>
      <c r="B126" s="15" t="inlineStr">
        <is>
          <t>Datasets done right: the Lichess puzzle database, licences, provenance and sampling</t>
        </is>
      </c>
      <c r="C126" s="19" t="inlineStr">
        <is>
          <t>python-zstandard</t>
        </is>
      </c>
      <c r="D126" s="41" t="inlineStr">
        <is>
          <t>https://python-zstandard.readthedocs.io/</t>
        </is>
      </c>
    </row>
    <row r="127" ht="29.2" customHeight="1">
      <c r="A127" s="15" t="inlineStr">
        <is>
          <t>L41</t>
        </is>
      </c>
      <c r="B127" s="15" t="inlineStr">
        <is>
          <t>Datasets done right: the Lichess puzzle database, licences, provenance and sampling</t>
        </is>
      </c>
      <c r="C127" s="19" t="inlineStr">
        <is>
          <t>Datasheets for Datasets (paper)</t>
        </is>
      </c>
      <c r="D127" s="41" t="inlineStr">
        <is>
          <t>https://arxiv.org/abs/1803.09010</t>
        </is>
      </c>
    </row>
    <row r="128" ht="16.6" customHeight="1">
      <c r="A128" s="15" t="inlineStr">
        <is>
          <t>L42</t>
        </is>
      </c>
      <c r="B128" s="15" t="inlineStr">
        <is>
          <t>Elo and the logistic function as a learner model</t>
        </is>
      </c>
      <c r="C128" s="19" t="inlineStr">
        <is>
          <t>Wikipedia: Elo rating system (theory)</t>
        </is>
      </c>
      <c r="D128" s="41" t="inlineStr">
        <is>
          <t>https://en.wikipedia.org/wiki/Elo_rating_system#Theory</t>
        </is>
      </c>
    </row>
    <row r="129" ht="29.2" customHeight="1">
      <c r="A129" s="15" t="inlineStr">
        <is>
          <t>L42</t>
        </is>
      </c>
      <c r="B129" s="15" t="inlineStr">
        <is>
          <t>Elo and the logistic function as a learner model</t>
        </is>
      </c>
      <c r="C129" s="19" t="inlineStr">
        <is>
          <t>Pelánek: Applications of the Elo rating system in adaptive educational systems (paper)</t>
        </is>
      </c>
      <c r="D129" s="41" t="inlineStr">
        <is>
          <t>https://www.fi.muni.cz/~xpelanek/publications/CAE-elo.pdf</t>
        </is>
      </c>
    </row>
    <row r="130" ht="29.2" customHeight="1">
      <c r="A130" s="15" t="inlineStr">
        <is>
          <t>L43</t>
        </is>
      </c>
      <c r="B130" s="15" t="inlineStr">
        <is>
          <t>Adaptive practice: target difficulty, exploration and spacing</t>
        </is>
      </c>
      <c r="C130" s="19" t="inlineStr">
        <is>
          <t>Wikipedia: Zone of proximal development</t>
        </is>
      </c>
      <c r="D130" s="41" t="inlineStr">
        <is>
          <t>https://en.wikipedia.org/wiki/Zone_of_proximal_development</t>
        </is>
      </c>
    </row>
    <row r="131" ht="29.2" customHeight="1">
      <c r="A131" s="15" t="inlineStr">
        <is>
          <t>L43</t>
        </is>
      </c>
      <c r="B131" s="15" t="inlineStr">
        <is>
          <t>Adaptive practice: target difficulty, exploration and spacing</t>
        </is>
      </c>
      <c r="C131" s="19" t="inlineStr">
        <is>
          <t>Wikipedia: Spaced repetition</t>
        </is>
      </c>
      <c r="D131" s="41" t="inlineStr">
        <is>
          <t>https://en.wikipedia.org/wiki/Spaced_repetition</t>
        </is>
      </c>
    </row>
    <row r="132" ht="29.2" customHeight="1">
      <c r="A132" s="15" t="inlineStr">
        <is>
          <t>L44</t>
        </is>
      </c>
      <c r="B132" s="15" t="inlineStr">
        <is>
          <t>Evaluating a detector: confusion matrix, precision, recall and confidence intervals</t>
        </is>
      </c>
      <c r="C132" s="19" t="inlineStr">
        <is>
          <t>Google ML Crash Course: Accuracy, precision, recall</t>
        </is>
      </c>
      <c r="D132" s="41" t="inlineStr">
        <is>
          <t>https://developers.google.com/machine-learning/crash-course/classification/accuracy-precision-recall</t>
        </is>
      </c>
    </row>
    <row r="133" ht="29.2" customHeight="1">
      <c r="A133" s="15" t="inlineStr">
        <is>
          <t>L44</t>
        </is>
      </c>
      <c r="B133" s="15" t="inlineStr">
        <is>
          <t>Evaluating a detector: confusion matrix, precision, recall and confidence intervals</t>
        </is>
      </c>
      <c r="C133" s="19" t="inlineStr">
        <is>
          <t>Wikipedia: Wilson score interval</t>
        </is>
      </c>
      <c r="D133" s="41" t="inlineStr">
        <is>
          <t>https://en.wikipedia.org/wiki/Binomial_proportion_confidence_interval#Wilson_score_interval</t>
        </is>
      </c>
    </row>
    <row r="134" ht="29.2" customHeight="1">
      <c r="A134" s="15" t="inlineStr">
        <is>
          <t>L44</t>
        </is>
      </c>
      <c r="B134" s="15" t="inlineStr">
        <is>
          <t>Evaluating a detector: confusion matrix, precision, recall and confidence intervals</t>
        </is>
      </c>
      <c r="C134" s="19" t="inlineStr">
        <is>
          <t>Wikipedia: Cohen's kappa (inter-rater agreement)</t>
        </is>
      </c>
      <c r="D134" s="41" t="inlineStr">
        <is>
          <t>https://en.wikipedia.org/wiki/Cohen%27s_kappa</t>
        </is>
      </c>
    </row>
    <row r="135" ht="16.6" customHeight="1">
      <c r="A135" s="15" t="inlineStr">
        <is>
          <t>L45</t>
        </is>
      </c>
      <c r="B135" s="15" t="inlineStr">
        <is>
          <t>Data leakage, splits and honest benchmarks</t>
        </is>
      </c>
      <c r="C135" s="19" t="inlineStr">
        <is>
          <t>Wikipedia: Leakage (machine learning)</t>
        </is>
      </c>
      <c r="D135" s="41" t="inlineStr">
        <is>
          <t>https://en.wikipedia.org/wiki/Leakage_(machine_learning)</t>
        </is>
      </c>
    </row>
    <row r="136" ht="16.6" customHeight="1">
      <c r="A136" s="15" t="inlineStr">
        <is>
          <t>L45</t>
        </is>
      </c>
      <c r="B136" s="15" t="inlineStr">
        <is>
          <t>Data leakage, splits and honest benchmarks</t>
        </is>
      </c>
      <c r="C136" s="19" t="inlineStr">
        <is>
          <t>scikit-learn: Common pitfalls (data leakage)</t>
        </is>
      </c>
      <c r="D136" s="41" t="inlineStr">
        <is>
          <t>https://scikit-learn.org/stable/common_pitfalls.html</t>
        </is>
      </c>
    </row>
    <row r="137" ht="29.2" customHeight="1">
      <c r="A137" s="15" t="inlineStr">
        <is>
          <t>L46</t>
        </is>
      </c>
      <c r="B137" s="15" t="inlineStr">
        <is>
          <t>Probabilistic predictions: calibration, Brier score and log loss</t>
        </is>
      </c>
      <c r="C137" s="19" t="inlineStr">
        <is>
          <t>scikit-learn: Probability calibration</t>
        </is>
      </c>
      <c r="D137" s="41" t="inlineStr">
        <is>
          <t>https://scikit-learn.org/stable/modules/calibration.html</t>
        </is>
      </c>
    </row>
    <row r="138" ht="29.2" customHeight="1">
      <c r="A138" s="15" t="inlineStr">
        <is>
          <t>L46</t>
        </is>
      </c>
      <c r="B138" s="15" t="inlineStr">
        <is>
          <t>Probabilistic predictions: calibration, Brier score and log loss</t>
        </is>
      </c>
      <c r="C138" s="19" t="inlineStr">
        <is>
          <t>Wikipedia: Brier score</t>
        </is>
      </c>
      <c r="D138" s="41" t="inlineStr">
        <is>
          <t>https://en.wikipedia.org/wiki/Brier_score</t>
        </is>
      </c>
    </row>
    <row r="139" ht="29.2" customHeight="1">
      <c r="A139" s="15" t="inlineStr">
        <is>
          <t>L47</t>
        </is>
      </c>
      <c r="B139" s="15" t="inlineStr">
        <is>
          <t>Measuring learning honestly: pilots, confounders and causality</t>
        </is>
      </c>
      <c r="C139" s="19" t="inlineStr">
        <is>
          <t>Wikipedia: Confounding</t>
        </is>
      </c>
      <c r="D139" s="41" t="inlineStr">
        <is>
          <t>https://en.wikipedia.org/wiki/Confounding</t>
        </is>
      </c>
    </row>
    <row r="140" ht="29.2" customHeight="1">
      <c r="A140" s="15" t="inlineStr">
        <is>
          <t>L47</t>
        </is>
      </c>
      <c r="B140" s="15" t="inlineStr">
        <is>
          <t>Measuring learning honestly: pilots, confounders and causality</t>
        </is>
      </c>
      <c r="C140" s="19" t="inlineStr">
        <is>
          <t>What Works Clearinghouse: Standards handbook (education evidence)</t>
        </is>
      </c>
      <c r="D140" s="41" t="inlineStr">
        <is>
          <t>https://ies.ed.gov/ncee/wwc/Handbooks</t>
        </is>
      </c>
    </row>
    <row r="141" ht="29.2" customHeight="1">
      <c r="A141" s="15" t="inlineStr">
        <is>
          <t>L48</t>
        </is>
      </c>
      <c r="B141" s="15" t="inlineStr">
        <is>
          <t>Deploying to a PaaS: Vercel for the frontend, Render for API, worker and Postgres</t>
        </is>
      </c>
      <c r="C141" s="19" t="inlineStr">
        <is>
          <t>Render docs</t>
        </is>
      </c>
      <c r="D141" s="41" t="inlineStr">
        <is>
          <t>https://render.com/docs</t>
        </is>
      </c>
    </row>
    <row r="142" ht="29.2" customHeight="1">
      <c r="A142" s="15" t="inlineStr">
        <is>
          <t>L48</t>
        </is>
      </c>
      <c r="B142" s="15" t="inlineStr">
        <is>
          <t>Deploying to a PaaS: Vercel for the frontend, Render for API, worker and Postgres</t>
        </is>
      </c>
      <c r="C142" s="19" t="inlineStr">
        <is>
          <t>Render: Web services</t>
        </is>
      </c>
      <c r="D142" s="41" t="inlineStr">
        <is>
          <t>https://render.com/docs/web-services</t>
        </is>
      </c>
    </row>
    <row r="143" ht="29.2" customHeight="1">
      <c r="A143" s="15" t="inlineStr">
        <is>
          <t>L48</t>
        </is>
      </c>
      <c r="B143" s="15" t="inlineStr">
        <is>
          <t>Deploying to a PaaS: Vercel for the frontend, Render for API, worker and Postgres</t>
        </is>
      </c>
      <c r="C143" s="19" t="inlineStr">
        <is>
          <t>Render: Free instance limitations</t>
        </is>
      </c>
      <c r="D143" s="41" t="inlineStr">
        <is>
          <t>https://render.com/docs/free</t>
        </is>
      </c>
    </row>
    <row r="144" ht="29.2" customHeight="1">
      <c r="A144" s="15" t="inlineStr">
        <is>
          <t>L48</t>
        </is>
      </c>
      <c r="B144" s="15" t="inlineStr">
        <is>
          <t>Deploying to a PaaS: Vercel for the frontend, Render for API, worker and Postgres</t>
        </is>
      </c>
      <c r="C144" s="19" t="inlineStr">
        <is>
          <t>Render: Blueprint YAML reference</t>
        </is>
      </c>
      <c r="D144" s="41" t="inlineStr">
        <is>
          <t>https://render.com/docs/blueprint-spec</t>
        </is>
      </c>
    </row>
    <row r="145" ht="29.2" customHeight="1">
      <c r="A145" s="15" t="inlineStr">
        <is>
          <t>L48</t>
        </is>
      </c>
      <c r="B145" s="15" t="inlineStr">
        <is>
          <t>Deploying to a PaaS: Vercel for the frontend, Render for API, worker and Postgres</t>
        </is>
      </c>
      <c r="C145" s="19" t="inlineStr">
        <is>
          <t>Render: Deploy steps and pre-deploy command</t>
        </is>
      </c>
      <c r="D145" s="41" t="inlineStr">
        <is>
          <t>https://render.com/docs/deploys</t>
        </is>
      </c>
    </row>
    <row r="146" ht="29.2" customHeight="1">
      <c r="A146" s="15" t="inlineStr">
        <is>
          <t>L48</t>
        </is>
      </c>
      <c r="B146" s="15" t="inlineStr">
        <is>
          <t>Deploying to a PaaS: Vercel for the frontend, Render for API, worker and Postgres</t>
        </is>
      </c>
      <c r="C146" s="19" t="inlineStr">
        <is>
          <t>Vercel: Vite on Vercel</t>
        </is>
      </c>
      <c r="D146" s="41" t="inlineStr">
        <is>
          <t>https://vercel.com/docs/frameworks/frontend/vite</t>
        </is>
      </c>
    </row>
    <row r="147" ht="29.2" customHeight="1">
      <c r="A147" s="15" t="inlineStr">
        <is>
          <t>L48</t>
        </is>
      </c>
      <c r="B147" s="15" t="inlineStr">
        <is>
          <t>Deploying to a PaaS: Vercel for the frontend, Render for API, worker and Postgres</t>
        </is>
      </c>
      <c r="C147" s="19" t="inlineStr">
        <is>
          <t>Vercel: Rewrites</t>
        </is>
      </c>
      <c r="D147" s="41" t="inlineStr">
        <is>
          <t>https://vercel.com/docs/rewrites</t>
        </is>
      </c>
    </row>
    <row r="148" ht="29.2" customHeight="1">
      <c r="A148" s="15" t="inlineStr">
        <is>
          <t>L49</t>
        </is>
      </c>
      <c r="B148" s="15" t="inlineStr">
        <is>
          <t>CI/CD with GitHub Actions; safe releases and rollbacks</t>
        </is>
      </c>
      <c r="C148" s="19" t="inlineStr">
        <is>
          <t>GitHub Actions documentation</t>
        </is>
      </c>
      <c r="D148" s="41" t="inlineStr">
        <is>
          <t>https://docs.github.com/en/actions</t>
        </is>
      </c>
    </row>
    <row r="149" ht="29.2" customHeight="1">
      <c r="A149" s="15" t="inlineStr">
        <is>
          <t>L49</t>
        </is>
      </c>
      <c r="B149" s="15" t="inlineStr">
        <is>
          <t>CI/CD with GitHub Actions; safe releases and rollbacks</t>
        </is>
      </c>
      <c r="C149" s="19" t="inlineStr">
        <is>
          <t>GitHub Actions: Creating PostgreSQL service containers</t>
        </is>
      </c>
      <c r="D149" s="41" t="inlineStr">
        <is>
          <t>https://docs.github.com/en/actions/use-cases-and-examples/using-containerized-services/creating-postgresql-service-containers</t>
        </is>
      </c>
    </row>
    <row r="150" ht="29.2" customHeight="1">
      <c r="A150" s="15" t="inlineStr">
        <is>
          <t>L49</t>
        </is>
      </c>
      <c r="B150" s="15" t="inlineStr">
        <is>
          <t>CI/CD with GitHub Actions; safe releases and rollbacks</t>
        </is>
      </c>
      <c r="C150" s="19" t="inlineStr">
        <is>
          <t>astral-sh/setup-uv</t>
        </is>
      </c>
      <c r="D150" s="41" t="inlineStr">
        <is>
          <t>https://github.com/astral-sh/setup-uv</t>
        </is>
      </c>
    </row>
    <row r="151" ht="29.2" customHeight="1">
      <c r="A151" s="15" t="inlineStr">
        <is>
          <t>L49</t>
        </is>
      </c>
      <c r="B151" s="15" t="inlineStr">
        <is>
          <t>CI/CD with GitHub Actions; safe releases and rollbacks</t>
        </is>
      </c>
      <c r="C151" s="19" t="inlineStr">
        <is>
          <t>GitHub: About protected branches</t>
        </is>
      </c>
      <c r="D151" s="41" t="inlineStr">
        <is>
          <t>https://docs.github.com/en/repositories/configuring-branches-and-merges-in-your-repository/managing-protected-branches/about-protected-branches</t>
        </is>
      </c>
    </row>
    <row r="152" ht="16.6" customHeight="1">
      <c r="A152" s="15" t="inlineStr">
        <is>
          <t>L50</t>
        </is>
      </c>
      <c r="B152" s="15" t="inlineStr">
        <is>
          <t>Security essentials for ChessLab (OWASP applied)</t>
        </is>
      </c>
      <c r="C152" s="19" t="inlineStr">
        <is>
          <t>OWASP Top 10</t>
        </is>
      </c>
      <c r="D152" s="41" t="inlineStr">
        <is>
          <t>https://owasp.org/www-project-top-ten/</t>
        </is>
      </c>
    </row>
    <row r="153" ht="16.6" customHeight="1">
      <c r="A153" s="15" t="inlineStr">
        <is>
          <t>L50</t>
        </is>
      </c>
      <c r="B153" s="15" t="inlineStr">
        <is>
          <t>Security essentials for ChessLab (OWASP applied)</t>
        </is>
      </c>
      <c r="C153" s="19" t="inlineStr">
        <is>
          <t>OWASP API Security Top 10 (2023)</t>
        </is>
      </c>
      <c r="D153" s="41" t="inlineStr">
        <is>
          <t>https://owasp.org/API-Security/editions/2023/en/0x11-t10/</t>
        </is>
      </c>
    </row>
    <row r="154" ht="16.6" customHeight="1">
      <c r="A154" s="15" t="inlineStr">
        <is>
          <t>L50</t>
        </is>
      </c>
      <c r="B154" s="15" t="inlineStr">
        <is>
          <t>Security essentials for ChessLab (OWASP applied)</t>
        </is>
      </c>
      <c r="C154" s="19" t="inlineStr">
        <is>
          <t>MDN: Content Security Policy</t>
        </is>
      </c>
      <c r="D154" s="41" t="inlineStr">
        <is>
          <t>https://developer.mozilla.org/en-US/docs/Web/HTTP/CSP</t>
        </is>
      </c>
    </row>
    <row r="155" ht="29.2" customHeight="1">
      <c r="A155" s="15" t="inlineStr">
        <is>
          <t>L50</t>
        </is>
      </c>
      <c r="B155" s="15" t="inlineStr">
        <is>
          <t>Security essentials for ChessLab (OWASP applied)</t>
        </is>
      </c>
      <c r="C155" s="19" t="inlineStr">
        <is>
          <t>GitHub: Dependabot alerts</t>
        </is>
      </c>
      <c r="D155" s="41" t="inlineStr">
        <is>
          <t>https://docs.github.com/en/code-security/dependabot/dependabot-alerts/about-dependabot-alerts</t>
        </is>
      </c>
    </row>
    <row r="156" ht="41.8" customHeight="1">
      <c r="A156" s="15" t="inlineStr">
        <is>
          <t>L51</t>
        </is>
      </c>
      <c r="B156" s="15" t="inlineStr">
        <is>
          <t>Privacy and the data lifecycle: retention, deletion and consent</t>
        </is>
      </c>
      <c r="C156" s="19" t="inlineStr">
        <is>
          <t>ICO (UK): Data minimisation principle</t>
        </is>
      </c>
      <c r="D156" s="41" t="inlineStr">
        <is>
          <t>https://ico.org.uk/for-organisations/uk-gdpr-guidance-and-resources/data-protection-principles/a-guide-to-the-data-protection-principles/data-minimisation/</t>
        </is>
      </c>
    </row>
    <row r="157" ht="29.2" customHeight="1">
      <c r="A157" s="15" t="inlineStr">
        <is>
          <t>L51</t>
        </is>
      </c>
      <c r="B157" s="15" t="inlineStr">
        <is>
          <t>Privacy and the data lifecycle: retention, deletion and consent</t>
        </is>
      </c>
      <c r="C157" s="19" t="inlineStr">
        <is>
          <t>OWASP Top 10 Privacy Risks</t>
        </is>
      </c>
      <c r="D157" s="41" t="inlineStr">
        <is>
          <t>https://owasp.org/www-project-top-10-privacy-risks/</t>
        </is>
      </c>
    </row>
    <row r="158" ht="29.2" customHeight="1">
      <c r="A158" s="15" t="inlineStr">
        <is>
          <t>L52</t>
        </is>
      </c>
      <c r="B158" s="15" t="inlineStr">
        <is>
          <t>Logging, metrics, health checks and observability</t>
        </is>
      </c>
      <c r="C158" s="19" t="inlineStr">
        <is>
          <t>Google SRE book: Monitoring distributed systems</t>
        </is>
      </c>
      <c r="D158" s="41" t="inlineStr">
        <is>
          <t>https://sre.google/sre-book/monitoring-distributed-systems/</t>
        </is>
      </c>
    </row>
    <row r="159" ht="29.2" customHeight="1">
      <c r="A159" s="15" t="inlineStr">
        <is>
          <t>L52</t>
        </is>
      </c>
      <c r="B159" s="15" t="inlineStr">
        <is>
          <t>Logging, metrics, health checks and observability</t>
        </is>
      </c>
      <c r="C159" s="19" t="inlineStr">
        <is>
          <t>Python logging HOWTO</t>
        </is>
      </c>
      <c r="D159" s="41" t="inlineStr">
        <is>
          <t>https://docs.python.org/3/howto/logging.html</t>
        </is>
      </c>
    </row>
    <row r="160" ht="29.2" customHeight="1">
      <c r="A160" s="15" t="inlineStr">
        <is>
          <t>L52</t>
        </is>
      </c>
      <c r="B160" s="15" t="inlineStr">
        <is>
          <t>Logging, metrics, health checks and observability</t>
        </is>
      </c>
      <c r="C160" s="19" t="inlineStr">
        <is>
          <t>Render: Logs</t>
        </is>
      </c>
      <c r="D160" s="41" t="inlineStr">
        <is>
          <t>https://render.com/docs/logging</t>
        </is>
      </c>
    </row>
    <row r="161" ht="29.2" customHeight="1">
      <c r="A161" s="15" t="inlineStr">
        <is>
          <t>L53</t>
        </is>
      </c>
      <c r="B161" s="15" t="inlineStr">
        <is>
          <t>Performance and capacity: measuring p50/p95 and setting budgets</t>
        </is>
      </c>
      <c r="C161" s="19" t="inlineStr">
        <is>
          <t>Google SRE book: Service level objectives</t>
        </is>
      </c>
      <c r="D161" s="41" t="inlineStr">
        <is>
          <t>https://sre.google/sre-book/service-level-objectives/</t>
        </is>
      </c>
    </row>
    <row r="162" ht="29.2" customHeight="1">
      <c r="A162" s="15" t="inlineStr">
        <is>
          <t>L53</t>
        </is>
      </c>
      <c r="B162" s="15" t="inlineStr">
        <is>
          <t>Performance and capacity: measuring p50/p95 and setting budgets</t>
        </is>
      </c>
      <c r="C162" s="19" t="inlineStr">
        <is>
          <t>k6 load testing docs</t>
        </is>
      </c>
      <c r="D162" s="41" t="inlineStr">
        <is>
          <t>https://grafana.com/docs/k6/latest/</t>
        </is>
      </c>
    </row>
    <row r="163" ht="16.6" customHeight="1">
      <c r="A163" s="15" t="inlineStr">
        <is>
          <t>L54</t>
        </is>
      </c>
      <c r="B163" s="15" t="inlineStr">
        <is>
          <t>Accessibility for an interactive chess app</t>
        </is>
      </c>
      <c r="C163" s="19" t="inlineStr">
        <is>
          <t>W3C WAI: Introduction to Web Accessibility</t>
        </is>
      </c>
      <c r="D163" s="41" t="inlineStr">
        <is>
          <t>https://www.w3.org/WAI/fundamentals/accessibility-intro/</t>
        </is>
      </c>
    </row>
    <row r="164" ht="16.6" customHeight="1">
      <c r="A164" s="15" t="inlineStr">
        <is>
          <t>L54</t>
        </is>
      </c>
      <c r="B164" s="15" t="inlineStr">
        <is>
          <t>Accessibility for an interactive chess app</t>
        </is>
      </c>
      <c r="C164" s="19" t="inlineStr">
        <is>
          <t>WAI-ARIA Authoring Practices: Dialog (modal)</t>
        </is>
      </c>
      <c r="D164" s="41" t="inlineStr">
        <is>
          <t>https://www.w3.org/WAI/ARIA/apg/patterns/dialog-modal/</t>
        </is>
      </c>
    </row>
    <row r="165" ht="16.6" customHeight="1">
      <c r="A165" s="15" t="inlineStr">
        <is>
          <t>L54</t>
        </is>
      </c>
      <c r="B165" s="15" t="inlineStr">
        <is>
          <t>Accessibility for an interactive chess app</t>
        </is>
      </c>
      <c r="C165" s="19" t="inlineStr">
        <is>
          <t>WebAIM: Contrast checker</t>
        </is>
      </c>
      <c r="D165" s="41" t="inlineStr">
        <is>
          <t>https://webaim.org/resources/contrastchecker/</t>
        </is>
      </c>
    </row>
    <row r="166" ht="29.2" customHeight="1">
      <c r="A166" s="15" t="inlineStr">
        <is>
          <t>L55</t>
        </is>
      </c>
      <c r="B166" s="15" t="inlineStr">
        <is>
          <t>Open-source licences and attribution (GPL Stockfish, CC0 data, MIT libraries)</t>
        </is>
      </c>
      <c r="C166" s="19" t="inlineStr">
        <is>
          <t>choosealicense.com</t>
        </is>
      </c>
      <c r="D166" s="41" t="inlineStr">
        <is>
          <t>https://choosealicense.com/</t>
        </is>
      </c>
    </row>
    <row r="167" ht="29.2" customHeight="1">
      <c r="A167" s="15" t="inlineStr">
        <is>
          <t>L55</t>
        </is>
      </c>
      <c r="B167" s="15" t="inlineStr">
        <is>
          <t>Open-source licences and attribution (GPL Stockfish, CC0 data, MIT libraries)</t>
        </is>
      </c>
      <c r="C167" s="19" t="inlineStr">
        <is>
          <t>GNU GPLv3 text</t>
        </is>
      </c>
      <c r="D167" s="41" t="inlineStr">
        <is>
          <t>https://www.gnu.org/licenses/gpl-3.0.html</t>
        </is>
      </c>
    </row>
    <row r="168" ht="29.2" customHeight="1">
      <c r="A168" s="15" t="inlineStr">
        <is>
          <t>L55</t>
        </is>
      </c>
      <c r="B168" s="15" t="inlineStr">
        <is>
          <t>Open-source licences and attribution (GPL Stockfish, CC0 data, MIT libraries)</t>
        </is>
      </c>
      <c r="C168" s="19" t="inlineStr">
        <is>
          <t>GNU: GPL FAQ</t>
        </is>
      </c>
      <c r="D168" s="41" t="inlineStr">
        <is>
          <t>https://www.gnu.org/licenses/gpl-faq.html</t>
        </is>
      </c>
    </row>
    <row r="169" ht="29.2" customHeight="1">
      <c r="A169" s="15" t="inlineStr">
        <is>
          <t>L55</t>
        </is>
      </c>
      <c r="B169" s="15" t="inlineStr">
        <is>
          <t>Open-source licences and attribution (GPL Stockfish, CC0 data, MIT libraries)</t>
        </is>
      </c>
      <c r="C169" s="19" t="inlineStr">
        <is>
          <t>Stockfish licence (GitHub)</t>
        </is>
      </c>
      <c r="D169" s="41" t="inlineStr">
        <is>
          <t>https://github.com/official-stockfish/Stockfish/blob/master/Copying.txt</t>
        </is>
      </c>
    </row>
    <row r="170" ht="29.2" customHeight="1">
      <c r="A170" s="15" t="inlineStr">
        <is>
          <t>L56</t>
        </is>
      </c>
      <c r="B170" s="15" t="inlineStr">
        <is>
          <t>Integrating an LLM safely in a full-stack app (Claude API)</t>
        </is>
      </c>
      <c r="C170" s="19" t="inlineStr">
        <is>
          <t>Claude API documentation</t>
        </is>
      </c>
      <c r="D170" s="41" t="inlineStr">
        <is>
          <t>https://platform.claude.com/docs</t>
        </is>
      </c>
    </row>
    <row r="171" ht="29.2" customHeight="1">
      <c r="A171" s="15" t="inlineStr">
        <is>
          <t>L56</t>
        </is>
      </c>
      <c r="B171" s="15" t="inlineStr">
        <is>
          <t>Integrating an LLM safely in a full-stack app (Claude API)</t>
        </is>
      </c>
      <c r="C171" s="19" t="inlineStr">
        <is>
          <t>Anthropic Python SDK on GitHub</t>
        </is>
      </c>
      <c r="D171" s="41" t="inlineStr">
        <is>
          <t>https://github.com/anthropics/anthropic-sdk-python</t>
        </is>
      </c>
    </row>
    <row r="172" ht="29.2" customHeight="1">
      <c r="A172" s="15" t="inlineStr">
        <is>
          <t>L56</t>
        </is>
      </c>
      <c r="B172" s="15" t="inlineStr">
        <is>
          <t>Integrating an LLM safely in a full-stack app (Claude API)</t>
        </is>
      </c>
      <c r="C172" s="19" t="inlineStr">
        <is>
          <t>Claude docs: Structured outputs</t>
        </is>
      </c>
      <c r="D172" s="41" t="inlineStr">
        <is>
          <t>https://platform.claude.com/docs/en/build-with-claude/structured-outputs</t>
        </is>
      </c>
    </row>
    <row r="173" ht="29.2" customHeight="1">
      <c r="A173" s="15" t="inlineStr">
        <is>
          <t>L56</t>
        </is>
      </c>
      <c r="B173" s="15" t="inlineStr">
        <is>
          <t>Integrating an LLM safely in a full-stack app (Claude API)</t>
        </is>
      </c>
      <c r="C173" s="19" t="inlineStr">
        <is>
          <t>Claude docs: Prompt engineering overview</t>
        </is>
      </c>
      <c r="D173" s="41" t="inlineStr">
        <is>
          <t>https://platform.claude.com/docs/en/build-with-claude/prompt-engineering/overview</t>
        </is>
      </c>
    </row>
    <row r="174" ht="29.2" customHeight="1">
      <c r="A174" s="15" t="inlineStr">
        <is>
          <t>L56</t>
        </is>
      </c>
      <c r="B174" s="15" t="inlineStr">
        <is>
          <t>Integrating an LLM safely in a full-stack app (Claude API)</t>
        </is>
      </c>
      <c r="C174" s="19" t="inlineStr">
        <is>
          <t>Claude pricing</t>
        </is>
      </c>
      <c r="D174" s="41" t="inlineStr">
        <is>
          <t>https://www.anthropic.com/pricing</t>
        </is>
      </c>
    </row>
    <row r="175" ht="29.2" customHeight="1">
      <c r="A175" s="15" t="inlineStr">
        <is>
          <t>L57</t>
        </is>
      </c>
      <c r="B175" s="15" t="inlineStr">
        <is>
          <t>Logistic regression and fair model comparison (stretch)</t>
        </is>
      </c>
      <c r="C175" s="19" t="inlineStr">
        <is>
          <t>scikit-learn: Logistic regression</t>
        </is>
      </c>
      <c r="D175" s="41" t="inlineStr">
        <is>
          <t>https://scikit-learn.org/stable/modules/linear_model.html#logistic-regression</t>
        </is>
      </c>
    </row>
    <row r="176" ht="29.2" customHeight="1">
      <c r="A176" s="15" t="inlineStr">
        <is>
          <t>L57</t>
        </is>
      </c>
      <c r="B176" s="15" t="inlineStr">
        <is>
          <t>Logistic regression and fair model comparison (stretch)</t>
        </is>
      </c>
      <c r="C176" s="19" t="inlineStr">
        <is>
          <t>Corbett &amp; Anderson: Knowledge tracing (paper)</t>
        </is>
      </c>
      <c r="D176" s="41" t="inlineStr">
        <is>
          <t>https://link.springer.com/article/10.1007/BF01099821</t>
        </is>
      </c>
    </row>
    <row r="177" ht="29.2" customHeight="1">
      <c r="A177" s="15" t="inlineStr">
        <is>
          <t>L58</t>
        </is>
      </c>
      <c r="B177" s="15" t="inlineStr">
        <is>
          <t>Portfolio storytelling: README, demo, case study and resume bullets</t>
        </is>
      </c>
      <c r="C177" s="19" t="inlineStr">
        <is>
          <t>GitHub Docs: About READMEs</t>
        </is>
      </c>
      <c r="D177" s="41" t="inlineStr">
        <is>
          <t>https://docs.github.com/en/repositories/managing-your-repositorys-settings-and-features/customizing-your-repository/about-readmes</t>
        </is>
      </c>
    </row>
    <row r="178" ht="29.2" customHeight="1">
      <c r="A178" s="15" t="inlineStr">
        <is>
          <t>L58</t>
        </is>
      </c>
      <c r="B178" s="15" t="inlineStr">
        <is>
          <t>Portfolio storytelling: README, demo, case study and resume bullets</t>
        </is>
      </c>
      <c r="C178" s="19" t="inlineStr">
        <is>
          <t>Michael Nygard: Documenting Architecture Decisions</t>
        </is>
      </c>
      <c r="D178" s="41" t="inlineStr">
        <is>
          <t>https://cognitect.com/blog/2011/11/15/documenting-architecture-decisions</t>
        </is>
      </c>
    </row>
    <row r="179" ht="29.2" customHeight="1">
      <c r="A179" s="15" t="inlineStr">
        <is>
          <t>L58</t>
        </is>
      </c>
      <c r="B179" s="15" t="inlineStr">
        <is>
          <t>Portfolio storytelling: README, demo, case study and resume bullets</t>
        </is>
      </c>
      <c r="C179" s="19" t="inlineStr">
        <is>
          <t>ScreenToGif (free recorder for Windows)</t>
        </is>
      </c>
      <c r="D179" s="41" t="inlineStr">
        <is>
          <t>https://www.screentogif.com/</t>
        </is>
      </c>
    </row>
    <row r="180" ht="29.2" customHeight="1">
      <c r="A180" s="15" t="inlineStr">
        <is>
          <t>L59</t>
        </is>
      </c>
      <c r="B180" s="15" t="inlineStr">
        <is>
          <t>Sharing one repository as two people: pull, commit, push and fixing conflicts</t>
        </is>
      </c>
      <c r="C180" s="19" t="inlineStr">
        <is>
          <t>GitHub Docs: Resolving a merge conflict using the command line</t>
        </is>
      </c>
      <c r="D180" s="41" t="inlineStr">
        <is>
          <t>https://docs.github.com/en/pull-requests/collaborating-with-pull-requests/addressing-merge-conflicts/resolving-a-merge-conflict-using-the-command-line</t>
        </is>
      </c>
    </row>
    <row r="181" ht="29.2" customHeight="1">
      <c r="A181" s="15" t="inlineStr">
        <is>
          <t>L59</t>
        </is>
      </c>
      <c r="B181" s="15" t="inlineStr">
        <is>
          <t>Sharing one repository as two people: pull, commit, push and fixing conflicts</t>
        </is>
      </c>
      <c r="C181" s="19" t="inlineStr">
        <is>
          <t>Pro Git: Distributed workflows</t>
        </is>
      </c>
      <c r="D181" s="41" t="inlineStr">
        <is>
          <t>https://git-scm.com/book/en/v2/Distributed-Git-Distributed-Workflows</t>
        </is>
      </c>
    </row>
    <row r="182" ht="29.2" customHeight="1">
      <c r="A182" s="15" t="inlineStr">
        <is>
          <t>L59</t>
        </is>
      </c>
      <c r="B182" s="15" t="inlineStr">
        <is>
          <t>Sharing one repository as two people: pull, commit, push and fixing conflicts</t>
        </is>
      </c>
      <c r="C182" s="19" t="inlineStr">
        <is>
          <t>Learn Git Branching (interactive)</t>
        </is>
      </c>
      <c r="D182" s="41" t="inlineStr">
        <is>
          <t>https://learngitbranching.js.org/</t>
        </is>
      </c>
    </row>
  </sheetData>
  <autoFilter ref="A1:D18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s>
  <pageMargins left="0.75" right="0.75" top="1" bottom="1" header="0.5" footer="0.5"/>
</worksheet>
</file>

<file path=xl/worksheets/sheet14.xml><?xml version="1.0" encoding="utf-8"?>
<worksheet xmlns="http://schemas.openxmlformats.org/spreadsheetml/2006/main">
  <sheetPr>
    <tabColor rgb="00808080"/>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95" customWidth="1" min="3" max="3"/>
    <col width="14" customWidth="1" min="4" max="4"/>
  </cols>
  <sheetData>
    <row r="1" ht="30" customHeight="1">
      <c r="A1" s="13" t="inlineStr">
        <is>
          <t>Topic</t>
        </is>
      </c>
      <c r="B1" s="13" t="inlineStr">
        <is>
          <t>Question</t>
        </is>
      </c>
      <c r="C1" s="13" t="inlineStr">
        <is>
          <t>Answer outline (say it in your own words)</t>
        </is>
      </c>
      <c r="D1" s="13" t="inlineStr">
        <is>
          <t>Practised (edit)</t>
        </is>
      </c>
    </row>
    <row r="2" ht="41.8" customHeight="1">
      <c r="A2" s="19" t="inlineStr">
        <is>
          <t>Architecture</t>
        </is>
      </c>
      <c r="B2" s="19" t="inlineStr">
        <is>
          <t>Walk me through ChessLab's architecture.</t>
        </is>
      </c>
      <c r="C2" s="15" t="inlineStr">
        <is>
          <t>Browser (React, Stockfish WASM in a worker for play) -&gt; FastAPI (validation, auth, ownership) -&gt; Postgres (data AND job queue) &lt;- Python worker (python-chess + native Stockfish for analysis and imports). Vercel serves the static frontend; Render runs API, worker and Postgres.</t>
        </is>
      </c>
      <c r="D2" s="43" t="inlineStr">
        <is>
          <t>Not started</t>
        </is>
      </c>
    </row>
    <row r="3" ht="41.8" customHeight="1">
      <c r="A3" s="19" t="inlineStr">
        <is>
          <t>Architecture</t>
        </is>
      </c>
      <c r="B3" s="19" t="inlineStr">
        <is>
          <t>Why does the game run in the browser instead of on the server?</t>
        </is>
      </c>
      <c r="C3" s="15" t="inlineStr">
        <is>
          <t>Single-player vs engine has nothing to cheat at, so server authority adds cost and latency without benefit. The server re-validates the finished PGN before trusting it, which is where trust matters (analysis, practice, ratings).</t>
        </is>
      </c>
      <c r="D3" s="43" t="inlineStr">
        <is>
          <t>Not started</t>
        </is>
      </c>
    </row>
    <row r="4" ht="41.8" customHeight="1">
      <c r="A4" s="19" t="inlineStr">
        <is>
          <t>Architecture</t>
        </is>
      </c>
      <c r="B4" s="19" t="inlineStr">
        <is>
          <t>Why use Postgres as a queue instead of Redis/RabbitMQ?</t>
        </is>
      </c>
      <c r="C4" s="15" t="inlineStr">
        <is>
          <t>One less service to run and pay for, transactional enqueue together with the data, durability, and SKIP LOCKED gives safe concurrent claiming. At ChessLab's scale it is more than enough; I'd revisit at very high throughput.</t>
        </is>
      </c>
      <c r="D4" s="43" t="inlineStr">
        <is>
          <t>Not started</t>
        </is>
      </c>
    </row>
    <row r="5" ht="41.8" customHeight="1">
      <c r="A5" s="19" t="inlineStr">
        <is>
          <t>Queue</t>
        </is>
      </c>
      <c r="B5" s="19" t="inlineStr">
        <is>
          <t>Explain FOR UPDATE SKIP LOCKED.</t>
        </is>
      </c>
      <c r="C5" s="15" t="inlineStr">
        <is>
          <t>FOR UPDATE locks the chosen row; SKIP LOCKED makes other workers skip locked rows instead of waiting. In one UPDATE ... WHERE id = (SELECT ... FOR UPDATE SKIP LOCKED LIMIT 1) each worker claims a different job atomically. A test with 4 threads and 30 jobs proved no duplicates.</t>
        </is>
      </c>
      <c r="D5" s="43" t="inlineStr">
        <is>
          <t>Not started</t>
        </is>
      </c>
    </row>
    <row r="6" ht="41.8" customHeight="1">
      <c r="A6" s="19" t="inlineStr">
        <is>
          <t>Queue</t>
        </is>
      </c>
      <c r="B6" s="19" t="inlineStr">
        <is>
          <t>What happens if a worker crashes mid-job?</t>
        </is>
      </c>
      <c r="C6" s="15" t="inlineStr">
        <is>
          <t>Its lease (60 s, extended by heartbeats) expires; another worker reclaims the job with attempts+1. Handlers are idempotent (delete-and-rewrite evidence, ON CONFLICT inserts), so re-running is safe. A stale worker's late update is fenced out by matching attempts.</t>
        </is>
      </c>
      <c r="D6" s="43" t="inlineStr">
        <is>
          <t>Not started</t>
        </is>
      </c>
    </row>
    <row r="7" ht="29.2" customHeight="1">
      <c r="A7" s="19" t="inlineStr">
        <is>
          <t>Queue</t>
        </is>
      </c>
      <c r="B7" s="19" t="inlineStr">
        <is>
          <t>How do you prevent a 200-game import from delaying a user's just-finished game?</t>
        </is>
      </c>
      <c r="C7" s="15" t="inlineStr">
        <is>
          <t>One job per game, priority 10 for interactive vs 0 for imports, plus aging (priority grows with waiting time) so imports are not starved.</t>
        </is>
      </c>
      <c r="D7" s="43" t="inlineStr">
        <is>
          <t>Not started</t>
        </is>
      </c>
    </row>
    <row r="8" ht="41.8" customHeight="1">
      <c r="A8" s="19" t="inlineStr">
        <is>
          <t>Reliability</t>
        </is>
      </c>
      <c r="B8" s="19" t="inlineStr">
        <is>
          <t>Give an example of idempotency in your system.</t>
        </is>
      </c>
      <c r="C8" s="15" t="inlineStr">
        <is>
          <t>Saving a played game uses a unique (owner, source, fingerprint) constraint and ON CONFLICT DO NOTHING, and enqueue uses a dedupe key: double clicks return the same game and one job. Rating updates use UPDATE ... WHERE rating_applied = false.</t>
        </is>
      </c>
      <c r="D8" s="43" t="inlineStr">
        <is>
          <t>Not started</t>
        </is>
      </c>
    </row>
    <row r="9" ht="41.8" customHeight="1">
      <c r="A9" s="19" t="inlineStr">
        <is>
          <t>Reliability</t>
        </is>
      </c>
      <c r="B9" s="19" t="inlineStr">
        <is>
          <t>Tell me about a bug you found.</t>
        </is>
      </c>
      <c r="C9" s="15" t="inlineStr">
        <is>
          <t>React StrictMode fired two simultaneous 'start practice' requests; both tried to create the concept rating row and one failed with a UniqueViolation (500). Fixed with INSERT ... ON CONFLICT DO NOTHING + SELECT, a row lock for updates, and a concurrent regression test.</t>
        </is>
      </c>
      <c r="D9" s="43" t="inlineStr">
        <is>
          <t>Not started</t>
        </is>
      </c>
    </row>
    <row r="10" ht="54.4" customHeight="1">
      <c r="A10" s="19" t="inlineStr">
        <is>
          <t>AI</t>
        </is>
      </c>
      <c r="B10" s="19" t="inlineStr">
        <is>
          <t>Where is the AI in this project?</t>
        </is>
      </c>
      <c r="C10" s="15" t="inlineStr">
        <is>
          <t>Stockfish provides search-based playing strength (integrated). My detector is a hybrid: rule-based candidate generation plus engine verification. The learner model is a per-concept Elo that predicts success and drives adaptive selection. An optional LLM only rewrites verified explanations. And the evaluation pipeline measures all of it.</t>
        </is>
      </c>
      <c r="D10" s="43" t="inlineStr">
        <is>
          <t>Not started</t>
        </is>
      </c>
    </row>
    <row r="11" ht="54.4" customHeight="1">
      <c r="A11" s="19" t="inlineStr">
        <is>
          <t>AI</t>
        </is>
      </c>
      <c r="B11" s="19" t="inlineStr">
        <is>
          <t>How does the fork detector avoid false positives?</t>
        </is>
      </c>
      <c r="C11" s="15" t="inlineStr">
        <is>
          <t>Two stages: cheap geometric candidates (legal knight moves attacking 2+ worthwhile targets), then verification: engine scores the candidate and the played move with identical limits; the PV must be legal, capture a forked target and net &gt;= 2 pawns (or mate), and beat the played move by &gt;= 150 cp. Negative tests cover pinned knights, defended targets, capturable knights and equal alternatives.</t>
        </is>
      </c>
      <c r="D11" s="43" t="inlineStr">
        <is>
          <t>Not started</t>
        </is>
      </c>
    </row>
    <row r="12" ht="41.8" customHeight="1">
      <c r="A12" s="19" t="inlineStr">
        <is>
          <t>AI</t>
        </is>
      </c>
      <c r="B12" s="19" t="inlineStr">
        <is>
          <t>Why not let an LLM explain the mistakes?</t>
        </is>
      </c>
      <c r="C12" s="15" t="inlineStr">
        <is>
          <t>LLMs can state plausible but false chess. Evidence records are verified facts; deterministic templates render them. An optional LLM may rephrase, constrained by structured output and guards that reject unknown moves or numbers, with the template as fallback.</t>
        </is>
      </c>
      <c r="D12" s="43" t="inlineStr">
        <is>
          <t>Not started</t>
        </is>
      </c>
    </row>
    <row r="13" ht="41.8" customHeight="1">
      <c r="A13" s="19" t="inlineStr">
        <is>
          <t>AI</t>
        </is>
      </c>
      <c r="B13" s="19" t="inlineStr">
        <is>
          <t>How did you evaluate the detector?</t>
        </is>
      </c>
      <c r="C13" s="15" t="inlineStr">
        <is>
          <t>Independent labels on [N] real-game positions (sampled ordinary turns + positives + hard negatives, split by game), thresholds frozen beforehand; precision/recall with Wilson 95% intervals; separately, theme agreement on a held-out Lichess eval pool, labelled as agreement not ground truth.</t>
        </is>
      </c>
      <c r="D13" s="43" t="inlineStr">
        <is>
          <t>Not started</t>
        </is>
      </c>
    </row>
    <row r="14" ht="41.8" customHeight="1">
      <c r="A14" s="19" t="inlineStr">
        <is>
          <t>AI</t>
        </is>
      </c>
      <c r="B14" s="19" t="inlineStr">
        <is>
          <t>What is calibration and why does it matter here?</t>
        </is>
      </c>
      <c r="C14" s="15" t="inlineStr">
        <is>
          <t>Predicted probabilities should match observed rates. The selector targets 70% success; if the model is miscalibrated, practice is too easy or too hard. I store predictions before attempts and check reliability bins, Brier score and log loss.</t>
        </is>
      </c>
      <c r="D14" s="43" t="inlineStr">
        <is>
          <t>Not started</t>
        </is>
      </c>
    </row>
    <row r="15" ht="41.8" customHeight="1">
      <c r="A15" s="19" t="inlineStr">
        <is>
          <t>AI</t>
        </is>
      </c>
      <c r="B15" s="19" t="inlineStr">
        <is>
          <t>How does the Elo update work?</t>
        </is>
      </c>
      <c r="C15" s="15" t="inlineStr">
        <is>
          <t>Expected = 1/(1+10^((puzzle - player)/400)); new = old + K(result - expected), K = 40 for the first 10 attempts then 20. To pick a puzzle with 70% predicted success: rating + 400*log10(1/0.7 - 1), about 147 points below the player.</t>
        </is>
      </c>
      <c r="D15" s="43" t="inlineStr">
        <is>
          <t>Not started</t>
        </is>
      </c>
    </row>
    <row r="16" ht="41.8" customHeight="1">
      <c r="A16" s="19" t="inlineStr">
        <is>
          <t>AI</t>
        </is>
      </c>
      <c r="B16" s="19" t="inlineStr">
        <is>
          <t>Why didn't you use deep learning?</t>
        </is>
      </c>
      <c r="C16" s="15" t="inlineStr">
        <is>
          <t>The problem didn't need it: Stockfish already supplies strength, and interpretable rules + verification are easier to trust and test. I built a baseline (Elo) and a harness to compare logistic regression on held-out data; a complex model must beat the baseline to be adopted.</t>
        </is>
      </c>
      <c r="D16" s="43" t="inlineStr">
        <is>
          <t>Not started</t>
        </is>
      </c>
    </row>
    <row r="17" ht="41.8" customHeight="1">
      <c r="A17" s="19" t="inlineStr">
        <is>
          <t>Data</t>
        </is>
      </c>
      <c r="B17" s="19" t="inlineStr">
        <is>
          <t>How did you build the puzzle set?</t>
        </is>
      </c>
      <c r="C17" s="15" t="inlineStr">
        <is>
          <t>Streamed the CC0 Lichess export, filtered by plays/rating deviation/popularity, validated moves, mapped themes to concepts, reservoir-sampled per rating band, assigned pools by id hash (eval never served), and wrote a manifest with a checksum.</t>
        </is>
      </c>
      <c r="D17" s="43" t="inlineStr">
        <is>
          <t>Not started</t>
        </is>
      </c>
    </row>
    <row r="18" ht="29.2" customHeight="1">
      <c r="A18" s="19" t="inlineStr">
        <is>
          <t>Data</t>
        </is>
      </c>
      <c r="B18" s="19" t="inlineStr">
        <is>
          <t>What is data leakage and how did you avoid it?</t>
        </is>
      </c>
      <c r="C18" s="15" t="inlineStr">
        <is>
          <t>Test information influencing the system. Eval puzzles are never served; splits are by game; thresholds were frozen before testing; learner-model evaluation is chronological.</t>
        </is>
      </c>
      <c r="D18" s="43" t="inlineStr">
        <is>
          <t>Not started</t>
        </is>
      </c>
    </row>
    <row r="19" ht="29.2" customHeight="1">
      <c r="A19" s="19" t="inlineStr">
        <is>
          <t>Security</t>
        </is>
      </c>
      <c r="B19" s="19" t="inlineStr">
        <is>
          <t>How do guests authenticate?</t>
        </is>
      </c>
      <c r="C19" s="15" t="inlineStr">
        <is>
          <t>A 256-bit random token returned once; the DB stores sha256(token); bearer header over HTTPS; sliding 30-day expiry; rate-limited creation; no tokens in URLs or logs.</t>
        </is>
      </c>
      <c r="D19" s="43" t="inlineStr">
        <is>
          <t>Not started</t>
        </is>
      </c>
    </row>
    <row r="20" ht="29.2" customHeight="1">
      <c r="A20" s="19" t="inlineStr">
        <is>
          <t>Security</t>
        </is>
      </c>
      <c r="B20" s="19" t="inlineStr">
        <is>
          <t>How do you stop one guest reading another's games?</t>
        </is>
      </c>
      <c r="C20" s="15" t="inlineStr">
        <is>
          <t>Ownership checks on every private lookup (404 if not the owner), including job polling, review, cancel and practice-from-evidence; tested with two guests.</t>
        </is>
      </c>
      <c r="D20" s="43" t="inlineStr">
        <is>
          <t>Not started</t>
        </is>
      </c>
    </row>
    <row r="21" ht="29.2" customHeight="1">
      <c r="A21" s="19" t="inlineStr">
        <is>
          <t>Security</t>
        </is>
      </c>
      <c r="B21" s="19" t="inlineStr">
        <is>
          <t>What limits protect your compute?</t>
        </is>
      </c>
      <c r="C21" s="15" t="inlineStr">
        <is>
          <t>Upload size 2 MB, 200 games, 400 plies, engine depth 14 / 0.5 s per move, 3 candidates per position, one active import per guest, session creation rate limits. The client can't set engine options.</t>
        </is>
      </c>
      <c r="D21" s="43" t="inlineStr">
        <is>
          <t>Not started</t>
        </is>
      </c>
    </row>
    <row r="22" ht="29.2" customHeight="1">
      <c r="A22" s="19" t="inlineStr">
        <is>
          <t>Frontend</t>
        </is>
      </c>
      <c r="B22" s="19" t="inlineStr">
        <is>
          <t>How do you keep the UI responsive while the engine thinks?</t>
        </is>
      </c>
      <c r="C22" s="15" t="inlineStr">
        <is>
          <t>Stockfish WASM and the legacy engine run in Web Workers; the React hook ignores late replies after restart/resign via a game id ref.</t>
        </is>
      </c>
      <c r="D22" s="43" t="inlineStr">
        <is>
          <t>Not started</t>
        </is>
      </c>
    </row>
    <row r="23" ht="29.2" customHeight="1">
      <c r="A23" s="19" t="inlineStr">
        <is>
          <t>Frontend</t>
        </is>
      </c>
      <c r="B23" s="19" t="inlineStr">
        <is>
          <t>How does the UI follow background jobs?</t>
        </is>
      </c>
      <c r="C23" s="15" t="inlineStr">
        <is>
          <t>Polling with backoff, slower in hidden tabs, stopping at terminal states; explicit UI states for queued/running/partial/failed.</t>
        </is>
      </c>
      <c r="D23" s="43" t="inlineStr">
        <is>
          <t>Not started</t>
        </is>
      </c>
    </row>
    <row r="24" ht="41.8" customHeight="1">
      <c r="A24" s="19" t="inlineStr">
        <is>
          <t>Testing</t>
        </is>
      </c>
      <c r="B24" s="19" t="inlineStr">
        <is>
          <t>What does your test suite cover?</t>
        </is>
      </c>
      <c r="C24" s="15" t="inlineStr">
        <is>
          <t>Unit tests for detector, grading, Elo, PGN, templates and guards; Postgres integration tests for ownership, idempotency, SKIP LOCKED, fencing, cancellation, practice flow, deletion and a concurrency regression; Playwright e2e for play, original engine, routing and the full play-review-practice journey.</t>
        </is>
      </c>
      <c r="D24" s="43" t="inlineStr">
        <is>
          <t>Not started</t>
        </is>
      </c>
    </row>
    <row r="25" ht="29.2" customHeight="1">
      <c r="A25" s="19" t="inlineStr">
        <is>
          <t>Testing</t>
        </is>
      </c>
      <c r="B25" s="19" t="inlineStr">
        <is>
          <t>Why integration-test against real Postgres?</t>
        </is>
      </c>
      <c r="C25" s="15" t="inlineStr">
        <is>
          <t>SKIP LOCKED, ON CONFLICT and JSONB don't exist or behave differently in SQLite; the queue's correctness depends on them.</t>
        </is>
      </c>
      <c r="D25" s="43" t="inlineStr">
        <is>
          <t>Not started</t>
        </is>
      </c>
    </row>
    <row r="26" ht="29.2" customHeight="1">
      <c r="A26" s="19" t="inlineStr">
        <is>
          <t>Deployment</t>
        </is>
      </c>
      <c r="B26" s="19" t="inlineStr">
        <is>
          <t>How do you deploy and roll back?</t>
        </is>
      </c>
      <c r="C26" s="15" t="inlineStr">
        <is>
          <t>CI must pass on main; Vercel and Render deploy main; Render runs alembic upgrade head as pre-deploy; rollback = redeploy previous build, safe because schema changes follow expand/migrate/contract.</t>
        </is>
      </c>
      <c r="D26" s="43" t="inlineStr">
        <is>
          <t>Not started</t>
        </is>
      </c>
    </row>
    <row r="27" ht="29.2" customHeight="1">
      <c r="A27" s="19" t="inlineStr">
        <is>
          <t>Deployment</t>
        </is>
      </c>
      <c r="B27" s="19" t="inlineStr">
        <is>
          <t>Why not serverless for the worker?</t>
        </is>
      </c>
      <c r="C27" s="15" t="inlineStr">
        <is>
          <t>Analysis and imports are long-running, need a persistent Stockfish process and must survive request timeouts; serverless functions are request-bound.</t>
        </is>
      </c>
      <c r="D27" s="43" t="inlineStr">
        <is>
          <t>Not started</t>
        </is>
      </c>
    </row>
    <row r="28" ht="29.2" customHeight="1">
      <c r="A28" s="19" t="inlineStr">
        <is>
          <t>Product</t>
        </is>
      </c>
      <c r="B28" s="19" t="inlineStr">
        <is>
          <t>What would you build next?</t>
        </is>
      </c>
      <c r="C28" s="15" t="inlineStr">
        <is>
          <t>Second concept (hanging pieces), Chess.com importer, and an evaluated LLM rewording; then a small pilot with blind pre/post tests. Each behind measurement gates.</t>
        </is>
      </c>
      <c r="D28" s="43" t="inlineStr">
        <is>
          <t>Not started</t>
        </is>
      </c>
    </row>
    <row r="29" ht="29.2" customHeight="1">
      <c r="A29" s="19" t="inlineStr">
        <is>
          <t>Product</t>
        </is>
      </c>
      <c r="B29" s="19" t="inlineStr">
        <is>
          <t>What are the honest limitations?</t>
        </is>
      </c>
      <c r="C29" s="15" t="inlineStr">
        <is>
          <t>Finite search budgets, detections are not a full census, ratings are a local provisional scale, practice gains don't prove tournament improvement, and labels come from a small number of reviewers.</t>
        </is>
      </c>
      <c r="D29" s="43" t="inlineStr">
        <is>
          <t>Not started</t>
        </is>
      </c>
    </row>
    <row r="30" ht="41.8" customHeight="1">
      <c r="A30" s="19" t="inlineStr">
        <is>
          <t>Engine</t>
        </is>
      </c>
      <c r="B30" s="19" t="inlineStr">
        <is>
          <t>Why is your original engine weak?</t>
        </is>
      </c>
      <c r="C30" s="15" t="inlineStr">
        <is>
          <t>Fixed shallow depth, random move ordering, no quiescence (horizon effect), no transposition table or iterative deepening, hand-written evaluation; it searched about 1,600-9,400 positions per move at depth 3 and took up to ~7 s in the benchmark.</t>
        </is>
      </c>
      <c r="D30" s="43" t="inlineStr">
        <is>
          <t>Not started</t>
        </is>
      </c>
    </row>
    <row r="31" ht="29.2" customHeight="1">
      <c r="A31" s="19" t="inlineStr">
        <is>
          <t>Engine</t>
        </is>
      </c>
      <c r="B31" s="19" t="inlineStr">
        <is>
          <t>How did you compare engines fairly?</t>
        </is>
      </c>
      <c r="C31" s="15" t="inlineStr">
        <is>
          <t>Fixed versioned positions, equal time budgets, an independent stronger reference (Stockfish depth 20) to measure centipawn loss, hardware noted; no node-count comparisons or Elo claims from tiny samples.</t>
        </is>
      </c>
      <c r="D31" s="43" t="inlineStr">
        <is>
          <t>Not started</t>
        </is>
      </c>
    </row>
    <row r="32" ht="41.8" customHeight="1">
      <c r="A32" s="19" t="inlineStr">
        <is>
          <t>Teamwork</t>
        </is>
      </c>
      <c r="B32" s="19" t="inlineStr">
        <is>
          <t>How did the two of you split the work?</t>
        </is>
      </c>
      <c r="C32" s="15" t="inlineStr">
        <is>
          <t>Every step had one owner, balanced by hours in every chapter, so each of us built part of every layer: frontend, backend, queue, AI and deployment. We shared one repository, pulled before each step, pushed small commits named after the step, and skimmed each other's commits to learn the other half.</t>
        </is>
      </c>
      <c r="D32" s="43" t="inlineStr">
        <is>
          <t>Not started</t>
        </is>
      </c>
    </row>
  </sheetData>
  <conditionalFormatting sqref="A2:D32">
    <cfRule type="expression" priority="1" dxfId="0">
      <formula>$D2="Done"</formula>
    </cfRule>
    <cfRule type="expression" priority="2" dxfId="1">
      <formula>$D2="In progress"</formula>
    </cfRule>
    <cfRule type="expression" priority="3" dxfId="2">
      <formula>$D2="Blocked"</formula>
    </cfRule>
    <cfRule type="expression" priority="4" dxfId="3">
      <formula>$D2="Skipped"</formula>
    </cfRule>
  </conditionalFormatting>
  <dataValidations count="1">
    <dataValidation sqref="D2:D32" showDropDown="0" showInputMessage="0" showErrorMessage="0" allowBlank="1" error="Choose a status from the list." prompt="Set your progress" type="list">
      <formula1>"Not started,In progress,Done,Skipped,Blocked"</formula1>
    </dataValidation>
  </dataValidations>
  <pageMargins left="0.75" right="0.75" top="1" bottom="1" header="0.5" footer="0.5"/>
</worksheet>
</file>

<file path=xl/worksheets/sheet15.xml><?xml version="1.0" encoding="utf-8"?>
<worksheet xmlns="http://schemas.openxmlformats.org/spreadsheetml/2006/main">
  <sheetPr>
    <tabColor rgb="00808080"/>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52" customWidth="1" min="3" max="3"/>
    <col width="60" customWidth="1" min="4" max="4"/>
  </cols>
  <sheetData>
    <row r="1" ht="30" customHeight="1">
      <c r="A1" s="13" t="inlineStr">
        <is>
          <t>Topic</t>
        </is>
      </c>
      <c r="B1" s="13" t="inlineStr">
        <is>
          <t>PROJECT_PLAN.md</t>
        </is>
      </c>
      <c r="C1" s="13" t="inlineStr">
        <is>
          <t>This plan</t>
        </is>
      </c>
      <c r="D1" s="13" t="inlineStr">
        <is>
          <t>Why</t>
        </is>
      </c>
    </row>
    <row r="2" ht="41.8" customHeight="1">
      <c r="A2" s="19" t="inlineStr">
        <is>
          <t>Where the game is played</t>
        </is>
      </c>
      <c r="B2" s="15" t="inlineStr">
        <is>
          <t>Server-authoritative game loop with engine-turn jobs</t>
        </is>
      </c>
      <c r="C2" s="15" t="inlineStr">
        <is>
          <t>Browser plays the game (Stockfish WASM in a worker); the server re-validates the finished PGN</t>
        </is>
      </c>
      <c r="D2" s="15" t="inlineStr">
        <is>
          <t>Nothing to cheat at in single-player; removes engine-turn jobs, revision races and server CPU per move; trust is enforced where it matters (stored games, analysis, practice).</t>
        </is>
      </c>
    </row>
    <row r="3" ht="41.8" customHeight="1">
      <c r="A3" s="19" t="inlineStr">
        <is>
          <t>Definition of 'done' for the portfolio</t>
        </is>
      </c>
      <c r="B3" s="15" t="inlineStr">
        <is>
          <t>All 14 sections incl. Chess.com, hanging pieces, engine comparison, pilot</t>
        </is>
      </c>
      <c r="C3" s="15" t="inlineStr">
        <is>
          <t>Core = P0-P14 (one concept done well, Lichess + PGN, full learning loop, evaluation, ops, docs); the rest are Stretch phases S1-S7</t>
        </is>
      </c>
      <c r="D3" s="15" t="inlineStr">
        <is>
          <t>About 80% of the portfolio value for far less effort; stretch phases are fully specified when you want them.</t>
        </is>
      </c>
    </row>
    <row r="4" ht="29.2" customHeight="1">
      <c r="A4" s="19" t="inlineStr">
        <is>
          <t>Job queue</t>
        </is>
      </c>
      <c r="B4" s="15" t="inlineStr">
        <is>
          <t>Postgres jobs table with leases</t>
        </is>
      </c>
      <c r="C4" s="15" t="inlineStr">
        <is>
          <t>Same (kept), plus fencing via attempts, priority aging, exhausted-lease sweep</t>
        </is>
      </c>
      <c r="D4" s="15" t="inlineStr">
        <is>
          <t>Same reasoning as the plan; additions verified by tests.</t>
        </is>
      </c>
    </row>
    <row r="5" ht="29.2" customHeight="1">
      <c r="A5" s="19" t="inlineStr">
        <is>
          <t>Server engine</t>
        </is>
      </c>
      <c r="B5" s="15" t="inlineStr">
        <is>
          <t>Pinned Stockfish binary/network</t>
        </is>
      </c>
      <c r="C5" s="15" t="inlineStr">
        <is>
          <t>Debian package stockfish in python:3.12-slim-bookworm (verified: Stockfish 15.1)</t>
        </is>
      </c>
      <c r="D5" s="15" t="inlineStr">
        <is>
          <t>Simplest reproducible Linux build; upgrade path documented.</t>
        </is>
      </c>
    </row>
    <row r="6" ht="29.2" customHeight="1">
      <c r="A6" s="19" t="inlineStr">
        <is>
          <t>Frontend board</t>
        </is>
      </c>
      <c r="B6" s="15" t="inlineStr">
        <is>
          <t>Any maintained board component</t>
        </is>
      </c>
      <c r="C6" s="15" t="inlineStr">
        <is>
          <t>react-chessboard 4.x (MIT), chess.js 1.x, React Router 6.x</t>
        </is>
      </c>
      <c r="D6" s="15" t="inlineStr">
        <is>
          <t>Versions verified together with React 19 and Vite 8 in this plan's test run.</t>
        </is>
      </c>
    </row>
    <row r="7" ht="29.2" customHeight="1">
      <c r="A7" s="19" t="inlineStr">
        <is>
          <t>Explanations</t>
        </is>
      </c>
      <c r="B7" s="15" t="inlineStr">
        <is>
          <t>Deterministic templates first, LLM optional</t>
        </is>
      </c>
      <c r="C7" s="15" t="inlineStr">
        <is>
          <t>Same; LLM stretch uses Claude with structured outputs + guards + template fallback</t>
        </is>
      </c>
      <c r="D7" s="15" t="inlineStr">
        <is>
          <t>LLM is a writer, not a judge.</t>
        </is>
      </c>
    </row>
    <row r="8" ht="16.6" customHeight="1">
      <c r="A8" s="19" t="inlineStr">
        <is>
          <t>Local ports</t>
        </is>
      </c>
      <c r="B8" s="15" t="inlineStr">
        <is>
          <t>Defaults (5432/8000/5173)</t>
        </is>
      </c>
      <c r="C8" s="15" t="inlineStr">
        <is>
          <t>5433/8010/5180</t>
        </is>
      </c>
      <c r="D8" s="15" t="inlineStr">
        <is>
          <t>Defaults collide with other projects running on this machine.</t>
        </is>
      </c>
    </row>
    <row r="9" ht="16.6" customHeight="1">
      <c r="A9" s="19" t="inlineStr">
        <is>
          <t>Python version</t>
        </is>
      </c>
      <c r="B9" s="15" t="inlineStr">
        <is>
          <t>Unspecified</t>
        </is>
      </c>
      <c r="C9" s="15" t="inlineStr">
        <is>
          <t>3.12 via uv</t>
        </is>
      </c>
      <c r="D9" s="15" t="inlineStr">
        <is>
          <t>Widest wheel support; 3.14 on this machine is very new.</t>
        </is>
      </c>
    </row>
    <row r="10" ht="29.2" customHeight="1">
      <c r="A10" s="19" t="inlineStr">
        <is>
          <t>Terminal</t>
        </is>
      </c>
      <c r="B10" s="15" t="inlineStr">
        <is>
          <t>PowerShell commands</t>
        </is>
      </c>
      <c r="C10" s="15" t="inlineStr">
        <is>
          <t>Git Bash commands everywhere; MSYS_NO_PATHCONV=1 on docker commands with container paths</t>
        </is>
      </c>
      <c r="D10" s="15" t="inlineStr">
        <is>
          <t>Same shell as Linux servers, Docker and CI; one syntax for both laptops.</t>
        </is>
      </c>
    </row>
    <row r="11" ht="41.8" customHeight="1">
      <c r="A11" s="19" t="inlineStr">
        <is>
          <t>Version control</t>
        </is>
      </c>
      <c r="B11" s="15" t="inlineStr">
        <is>
          <t>One branch, occasional commits</t>
        </is>
      </c>
      <c r="C11" s="15" t="inlineStr">
        <is>
          <t>One shared repository (msris93197-dev/ChessLab); pull --rebase, commit, push straight to main after every step that changes files</t>
        </is>
      </c>
      <c r="D11" s="15" t="inlineStr">
        <is>
          <t>Two people, finishing fast: no branches, pull requests or journals to manage.</t>
        </is>
      </c>
    </row>
    <row r="12" ht="41.8" customHeight="1">
      <c r="A12" s="19" t="inlineStr">
        <is>
          <t>Team</t>
        </is>
      </c>
      <c r="B12" s="15" t="inlineStr">
        <is>
          <t>One builder</t>
        </is>
      </c>
      <c r="C12" s="15" t="inlineStr">
        <is>
          <t>Every step owned by Srikanth or Siva prasad (Both only for per-laptop installs and the pilot), balanced by hours in each chapter</t>
        </is>
      </c>
      <c r="D12" s="15" t="inlineStr">
        <is>
          <t>Equal share of the work across every layer of the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2026-10-22T07:17:33Z</dcterms:created>
  <dcterms:modified xsi:type="dcterms:W3CDTF">2026-10-22T07:17:34Z</dcterms:modified>
</cp:coreProperties>
</file>